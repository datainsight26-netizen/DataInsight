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C:\Users\mecon\OneDrive\Área de Trabalho\"/>
    </mc:Choice>
  </mc:AlternateContent>
  <xr:revisionPtr revIDLastSave="0" documentId="13_ncr:1_{CC804B3A-48D3-452B-9E6B-CDF5D179D86A}" xr6:coauthVersionLast="43" xr6:coauthVersionMax="43" xr10:uidLastSave="{00000000-0000-0000-0000-000000000000}"/>
  <bookViews>
    <workbookView xWindow="-110" yWindow="-110" windowWidth="19420" windowHeight="10300" firstSheet="2" activeTab="17" xr2:uid="{00000000-000D-0000-FFFF-FFFF00000000}"/>
  </bookViews>
  <sheets>
    <sheet name="Cliente Custos" sheetId="45" r:id="rId1"/>
    <sheet name="Custo ARGAMASSA" sheetId="48" state="hidden" r:id="rId2"/>
    <sheet name="Custo Prod." sheetId="10" r:id="rId3"/>
    <sheet name="Entrada de materiais" sheetId="8" r:id="rId4"/>
    <sheet name="Saída de materiais" sheetId="9" r:id="rId5"/>
    <sheet name="Estoque" sheetId="7" r:id="rId6"/>
    <sheet name="Caixa" sheetId="12" r:id="rId7"/>
    <sheet name="Vendas - JAN" sheetId="4" state="hidden" r:id="rId8"/>
    <sheet name="Vendas - FEV" sheetId="20" state="hidden" r:id="rId9"/>
    <sheet name="Vendas - MAR" sheetId="21" state="hidden" r:id="rId10"/>
    <sheet name="Vendas - ABR" sheetId="19" state="hidden" r:id="rId11"/>
    <sheet name="Vendas - MAI" sheetId="22" state="hidden" r:id="rId12"/>
    <sheet name="Vendas - JUN" sheetId="23" state="hidden" r:id="rId13"/>
    <sheet name="Vendas - JUL" sheetId="29" state="hidden" r:id="rId14"/>
    <sheet name="Vendas - AGO" sheetId="24" state="hidden" r:id="rId15"/>
    <sheet name="Vendas - SET" sheetId="25" state="hidden" r:id="rId16"/>
    <sheet name="Vendas - OUT" sheetId="26" state="hidden" r:id="rId17"/>
    <sheet name="Vendas - NOV" sheetId="27" r:id="rId18"/>
    <sheet name="Vendas - DEZ" sheetId="28" r:id="rId19"/>
    <sheet name="Cachoeirinha" sheetId="32" state="hidden" r:id="rId20"/>
    <sheet name="A2" sheetId="44" r:id="rId21"/>
    <sheet name="Dolar" sheetId="39" state="hidden" r:id="rId22"/>
    <sheet name="Tab Caixa" sheetId="41" state="hidden" r:id="rId23"/>
  </sheets>
  <definedNames>
    <definedName name="_xlnm._FilterDatabase" localSheetId="10" hidden="1">'Vendas - ABR'!$B$3:$AA$102</definedName>
    <definedName name="_xlnm._FilterDatabase" localSheetId="14" hidden="1">'Vendas - AGO'!$B$3:$AA$102</definedName>
    <definedName name="_xlnm._FilterDatabase" localSheetId="18" hidden="1">'Vendas - DEZ'!$B$3:$AA$102</definedName>
    <definedName name="_xlnm._FilterDatabase" localSheetId="8" hidden="1">'Vendas - FEV'!$B$3:$AA$102</definedName>
    <definedName name="_xlnm._FilterDatabase" localSheetId="7" hidden="1">'Vendas - JAN'!$B$3:$AA$102</definedName>
    <definedName name="_xlnm._FilterDatabase" localSheetId="13" hidden="1">'Vendas - JUL'!$B$3:$AA$102</definedName>
    <definedName name="_xlnm._FilterDatabase" localSheetId="12" hidden="1">'Vendas - JUN'!$B$3:$AA$102</definedName>
    <definedName name="_xlnm._FilterDatabase" localSheetId="11" hidden="1">'Vendas - MAI'!$B$3:$AA$102</definedName>
    <definedName name="_xlnm._FilterDatabase" localSheetId="9" hidden="1">'Vendas - MAR'!$B$3:$AA$102</definedName>
    <definedName name="_xlnm._FilterDatabase" localSheetId="17" hidden="1">'Vendas - NOV'!$B$3:$AA$102</definedName>
    <definedName name="_xlnm._FilterDatabase" localSheetId="16" hidden="1">'Vendas - OUT'!$B$3:$AA$102</definedName>
    <definedName name="_xlnm._FilterDatabase" localSheetId="15" hidden="1">'Vendas - SET'!$B$3:$AA$102</definedName>
    <definedName name="_xlnm.Print_Area" localSheetId="1">'Custo ARGAMASSA'!$A$14:$K$131</definedName>
    <definedName name="_xlnm.Print_Area" localSheetId="2">'Custo Prod.'!$A$1:$L$24</definedName>
    <definedName name="_xlnm.Print_Area" localSheetId="21">Dolar!$A$1:$U$33</definedName>
    <definedName name="CC" localSheetId="6">#REF!</definedName>
    <definedName name="CC" localSheetId="1">#REF!</definedName>
    <definedName name="CC" localSheetId="10">#REF!</definedName>
    <definedName name="CC" localSheetId="14">#REF!</definedName>
    <definedName name="CC" localSheetId="18">#REF!</definedName>
    <definedName name="CC" localSheetId="13">#REF!</definedName>
    <definedName name="CC" localSheetId="9">#REF!</definedName>
    <definedName name="CC" localSheetId="17">#REF!</definedName>
    <definedName name="CC" localSheetId="15">#REF!</definedName>
    <definedName name="CC">#REF!</definedName>
    <definedName name="GABRIEL" localSheetId="6">#REF!</definedName>
    <definedName name="GABRIEL" localSheetId="1">#REF!</definedName>
    <definedName name="GABRIEL" localSheetId="10">#REF!</definedName>
    <definedName name="GABRIEL" localSheetId="14">#REF!</definedName>
    <definedName name="GABRIEL" localSheetId="18">#REF!</definedName>
    <definedName name="GABRIEL" localSheetId="13">#REF!</definedName>
    <definedName name="GABRIEL" localSheetId="9">#REF!</definedName>
    <definedName name="GABRIEL" localSheetId="17">#REF!</definedName>
    <definedName name="GABRIEL" localSheetId="15">#REF!</definedName>
    <definedName name="GABRIEL">#REF!</definedName>
  </definedNames>
  <calcPr calcId="191029" concurrentCalc="0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45" l="1"/>
  <c r="D6" i="45"/>
  <c r="H17" i="45"/>
  <c r="K17" i="45"/>
  <c r="D3" i="45"/>
  <c r="I17" i="45"/>
  <c r="D5" i="45"/>
  <c r="I16" i="45"/>
  <c r="D4" i="45"/>
  <c r="H16" i="45"/>
  <c r="K16" i="45"/>
  <c r="B30" i="12"/>
  <c r="B44" i="12"/>
  <c r="B41" i="12"/>
  <c r="B40" i="12"/>
  <c r="B39" i="12"/>
  <c r="B42" i="12"/>
  <c r="B38" i="12"/>
  <c r="B24" i="12"/>
  <c r="AI22" i="44"/>
  <c r="AI24" i="44"/>
  <c r="B25" i="12"/>
  <c r="G73" i="27"/>
  <c r="L73" i="27"/>
  <c r="J74" i="27"/>
  <c r="G74" i="27"/>
  <c r="L74" i="27"/>
  <c r="G75" i="27"/>
  <c r="L75" i="27"/>
  <c r="J82" i="27"/>
  <c r="G82" i="27"/>
  <c r="L82" i="27"/>
  <c r="G83" i="27"/>
  <c r="L83" i="27"/>
  <c r="J84" i="27"/>
  <c r="G84" i="27"/>
  <c r="L84" i="27"/>
  <c r="G85" i="27"/>
  <c r="L85" i="27"/>
  <c r="J86" i="27"/>
  <c r="G86" i="27"/>
  <c r="L86" i="27"/>
  <c r="J87" i="27"/>
  <c r="G87" i="27"/>
  <c r="L87" i="27"/>
  <c r="G76" i="27"/>
  <c r="J76" i="27"/>
  <c r="L76" i="27"/>
  <c r="G77" i="27"/>
  <c r="L77" i="27"/>
  <c r="G78" i="27"/>
  <c r="J78" i="27"/>
  <c r="L78" i="27"/>
  <c r="G79" i="27"/>
  <c r="L79" i="27"/>
  <c r="G80" i="27"/>
  <c r="J80" i="27"/>
  <c r="L80" i="27"/>
  <c r="G81" i="27"/>
  <c r="L81" i="27"/>
  <c r="G88" i="27"/>
  <c r="G89" i="27"/>
  <c r="G90" i="27"/>
  <c r="G71" i="27"/>
  <c r="L71" i="27"/>
  <c r="B37" i="12"/>
  <c r="C15" i="8"/>
  <c r="E32" i="10"/>
  <c r="F29" i="10"/>
  <c r="D32" i="10"/>
  <c r="G29" i="10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C15" i="9"/>
  <c r="F17" i="7"/>
  <c r="B31" i="12"/>
  <c r="AE22" i="44"/>
  <c r="AE24" i="44"/>
  <c r="B29" i="12"/>
  <c r="B22" i="12"/>
  <c r="AA22" i="44"/>
  <c r="AA24" i="44"/>
  <c r="B21" i="12"/>
  <c r="B20" i="12"/>
  <c r="B19" i="12"/>
  <c r="B23" i="12"/>
  <c r="W22" i="44"/>
  <c r="W24" i="44"/>
  <c r="B43" i="12"/>
  <c r="B17" i="12"/>
  <c r="B32" i="12"/>
  <c r="B33" i="12"/>
  <c r="S22" i="44"/>
  <c r="S24" i="44"/>
  <c r="B28" i="12"/>
  <c r="O22" i="44"/>
  <c r="O24" i="44"/>
  <c r="D7" i="10"/>
  <c r="I19" i="10"/>
  <c r="I17" i="10"/>
  <c r="D6" i="10"/>
  <c r="E6" i="10"/>
  <c r="L17" i="10"/>
  <c r="J17" i="10"/>
  <c r="I18" i="10"/>
  <c r="K22" i="44"/>
  <c r="K24" i="44"/>
  <c r="AH8" i="10"/>
  <c r="B36" i="12"/>
  <c r="B35" i="12"/>
  <c r="B34" i="12"/>
  <c r="B45" i="12"/>
  <c r="E251" i="48"/>
  <c r="D251" i="48"/>
  <c r="F250" i="48"/>
  <c r="G250" i="48"/>
  <c r="H250" i="48"/>
  <c r="F249" i="48"/>
  <c r="G249" i="48"/>
  <c r="H249" i="48"/>
  <c r="F248" i="48"/>
  <c r="F247" i="48"/>
  <c r="G247" i="48"/>
  <c r="H247" i="48"/>
  <c r="F246" i="48"/>
  <c r="G246" i="48"/>
  <c r="E241" i="48"/>
  <c r="D241" i="48"/>
  <c r="F240" i="48"/>
  <c r="G240" i="48"/>
  <c r="H240" i="48"/>
  <c r="F239" i="48"/>
  <c r="G239" i="48"/>
  <c r="H239" i="48"/>
  <c r="F238" i="48"/>
  <c r="G238" i="48"/>
  <c r="H238" i="48"/>
  <c r="F237" i="48"/>
  <c r="G237" i="48"/>
  <c r="H237" i="48"/>
  <c r="F236" i="48"/>
  <c r="G236" i="48"/>
  <c r="H236" i="48"/>
  <c r="H241" i="48"/>
  <c r="G241" i="48"/>
  <c r="H231" i="48"/>
  <c r="G231" i="48"/>
  <c r="E231" i="48"/>
  <c r="D231" i="48"/>
  <c r="E221" i="48"/>
  <c r="F218" i="48"/>
  <c r="L214" i="48"/>
  <c r="E211" i="48"/>
  <c r="D211" i="48"/>
  <c r="F210" i="48"/>
  <c r="G210" i="48"/>
  <c r="H210" i="48"/>
  <c r="F209" i="48"/>
  <c r="G209" i="48"/>
  <c r="F208" i="48"/>
  <c r="G208" i="48"/>
  <c r="F207" i="48"/>
  <c r="G207" i="48"/>
  <c r="H207" i="48"/>
  <c r="F206" i="48"/>
  <c r="G206" i="48"/>
  <c r="H206" i="48"/>
  <c r="F205" i="48"/>
  <c r="G205" i="48"/>
  <c r="F204" i="48"/>
  <c r="G204" i="48"/>
  <c r="F203" i="48"/>
  <c r="G203" i="48"/>
  <c r="E199" i="48"/>
  <c r="F196" i="48"/>
  <c r="E187" i="48"/>
  <c r="F186" i="48"/>
  <c r="D187" i="48"/>
  <c r="G186" i="48"/>
  <c r="F185" i="48"/>
  <c r="G185" i="48"/>
  <c r="F184" i="48"/>
  <c r="F183" i="48"/>
  <c r="G183" i="48"/>
  <c r="F182" i="48"/>
  <c r="G182" i="48"/>
  <c r="F181" i="48"/>
  <c r="G181" i="48"/>
  <c r="F180" i="48"/>
  <c r="F187" i="48"/>
  <c r="E176" i="48"/>
  <c r="D176" i="48"/>
  <c r="F175" i="48"/>
  <c r="G175" i="48"/>
  <c r="H175" i="48"/>
  <c r="F174" i="48"/>
  <c r="G174" i="48"/>
  <c r="F173" i="48"/>
  <c r="G173" i="48"/>
  <c r="F172" i="48"/>
  <c r="G172" i="48"/>
  <c r="H172" i="48"/>
  <c r="F171" i="48"/>
  <c r="G171" i="48"/>
  <c r="H171" i="48"/>
  <c r="F170" i="48"/>
  <c r="G170" i="48"/>
  <c r="F169" i="48"/>
  <c r="G169" i="48"/>
  <c r="E165" i="48"/>
  <c r="D165" i="48"/>
  <c r="F164" i="48"/>
  <c r="G164" i="48"/>
  <c r="F163" i="48"/>
  <c r="G163" i="48"/>
  <c r="H163" i="48"/>
  <c r="F162" i="48"/>
  <c r="F161" i="48"/>
  <c r="G161" i="48"/>
  <c r="F160" i="48"/>
  <c r="G160" i="48"/>
  <c r="F159" i="48"/>
  <c r="G159" i="48"/>
  <c r="H159" i="48"/>
  <c r="F158" i="48"/>
  <c r="F157" i="48"/>
  <c r="E153" i="48"/>
  <c r="F151" i="48"/>
  <c r="F152" i="48"/>
  <c r="F150" i="48"/>
  <c r="F148" i="48"/>
  <c r="F147" i="48"/>
  <c r="F146" i="48"/>
  <c r="F145" i="48"/>
  <c r="E140" i="48"/>
  <c r="F139" i="48"/>
  <c r="D140" i="48"/>
  <c r="G139" i="48"/>
  <c r="H139" i="48"/>
  <c r="F138" i="48"/>
  <c r="G138" i="48"/>
  <c r="F137" i="48"/>
  <c r="G137" i="48"/>
  <c r="F136" i="48"/>
  <c r="G136" i="48"/>
  <c r="F135" i="48"/>
  <c r="G135" i="48"/>
  <c r="H135" i="48"/>
  <c r="E131" i="48"/>
  <c r="D131" i="48"/>
  <c r="F130" i="48"/>
  <c r="G130" i="48"/>
  <c r="H130" i="48"/>
  <c r="F129" i="48"/>
  <c r="G129" i="48"/>
  <c r="H129" i="48"/>
  <c r="F128" i="48"/>
  <c r="G128" i="48"/>
  <c r="H128" i="48"/>
  <c r="F127" i="48"/>
  <c r="G127" i="48"/>
  <c r="H127" i="48"/>
  <c r="F126" i="48"/>
  <c r="G126" i="48"/>
  <c r="F125" i="48"/>
  <c r="G125" i="48"/>
  <c r="F124" i="48"/>
  <c r="G124" i="48"/>
  <c r="D3" i="48"/>
  <c r="I124" i="48"/>
  <c r="F131" i="48"/>
  <c r="E120" i="48"/>
  <c r="F115" i="48"/>
  <c r="F116" i="48"/>
  <c r="F117" i="48"/>
  <c r="F118" i="48"/>
  <c r="F119" i="48"/>
  <c r="F120" i="48"/>
  <c r="D120" i="48"/>
  <c r="G119" i="48"/>
  <c r="H119" i="48"/>
  <c r="G118" i="48"/>
  <c r="G117" i="48"/>
  <c r="G116" i="48"/>
  <c r="G115" i="48"/>
  <c r="I115" i="48"/>
  <c r="H115" i="48"/>
  <c r="E111" i="48"/>
  <c r="D111" i="48"/>
  <c r="F110" i="48"/>
  <c r="G110" i="48"/>
  <c r="H110" i="48"/>
  <c r="F109" i="48"/>
  <c r="G109" i="48"/>
  <c r="F108" i="48"/>
  <c r="G108" i="48"/>
  <c r="F107" i="48"/>
  <c r="G107" i="48"/>
  <c r="F106" i="48"/>
  <c r="G106" i="48"/>
  <c r="D5" i="48"/>
  <c r="I106" i="48"/>
  <c r="H106" i="48"/>
  <c r="F105" i="48"/>
  <c r="G105" i="48"/>
  <c r="F104" i="48"/>
  <c r="G104" i="48"/>
  <c r="E100" i="48"/>
  <c r="F99" i="48"/>
  <c r="D100" i="48"/>
  <c r="G99" i="48"/>
  <c r="F97" i="48"/>
  <c r="G97" i="48"/>
  <c r="H97" i="48"/>
  <c r="F98" i="48"/>
  <c r="F96" i="48"/>
  <c r="G96" i="48"/>
  <c r="E91" i="48"/>
  <c r="F90" i="48"/>
  <c r="D91" i="48"/>
  <c r="G90" i="48"/>
  <c r="F88" i="48"/>
  <c r="G88" i="48"/>
  <c r="H88" i="48"/>
  <c r="F89" i="48"/>
  <c r="I88" i="48"/>
  <c r="F87" i="48"/>
  <c r="E83" i="48"/>
  <c r="F81" i="48"/>
  <c r="F82" i="48"/>
  <c r="F80" i="48"/>
  <c r="F79" i="48"/>
  <c r="F78" i="48"/>
  <c r="E74" i="48"/>
  <c r="F72" i="48"/>
  <c r="F73" i="48"/>
  <c r="F71" i="48"/>
  <c r="F70" i="48"/>
  <c r="F69" i="48"/>
  <c r="F68" i="48"/>
  <c r="E64" i="48"/>
  <c r="D64" i="48"/>
  <c r="F61" i="48"/>
  <c r="G61" i="48"/>
  <c r="H61" i="48"/>
  <c r="F63" i="48"/>
  <c r="G63" i="48"/>
  <c r="F62" i="48"/>
  <c r="G62" i="48"/>
  <c r="F60" i="48"/>
  <c r="E56" i="48"/>
  <c r="F54" i="48"/>
  <c r="F55" i="48"/>
  <c r="F53" i="48"/>
  <c r="E46" i="48"/>
  <c r="D46" i="48"/>
  <c r="F45" i="48"/>
  <c r="G45" i="48"/>
  <c r="H45" i="48"/>
  <c r="F44" i="48"/>
  <c r="G44" i="48"/>
  <c r="H44" i="48"/>
  <c r="F43" i="48"/>
  <c r="G43" i="48"/>
  <c r="D6" i="48"/>
  <c r="I43" i="48"/>
  <c r="H43" i="48"/>
  <c r="F42" i="48"/>
  <c r="G42" i="48"/>
  <c r="H42" i="48"/>
  <c r="F41" i="48"/>
  <c r="G41" i="48"/>
  <c r="H41" i="48"/>
  <c r="H46" i="48"/>
  <c r="E37" i="48"/>
  <c r="D37" i="48"/>
  <c r="F34" i="48"/>
  <c r="E29" i="48"/>
  <c r="D29" i="48"/>
  <c r="F26" i="48"/>
  <c r="G26" i="48"/>
  <c r="F28" i="48"/>
  <c r="F27" i="48"/>
  <c r="F25" i="48"/>
  <c r="O21" i="48"/>
  <c r="E20" i="48"/>
  <c r="D20" i="48"/>
  <c r="F19" i="48"/>
  <c r="G19" i="48"/>
  <c r="F18" i="48"/>
  <c r="G18" i="48"/>
  <c r="H18" i="48"/>
  <c r="F17" i="48"/>
  <c r="F20" i="48"/>
  <c r="D11" i="48"/>
  <c r="D10" i="48"/>
  <c r="D9" i="48"/>
  <c r="D8" i="48"/>
  <c r="D7" i="48"/>
  <c r="I128" i="48"/>
  <c r="M6" i="48"/>
  <c r="I206" i="48"/>
  <c r="D4" i="48"/>
  <c r="K42" i="48"/>
  <c r="I139" i="48"/>
  <c r="D2" i="48"/>
  <c r="I19" i="48"/>
  <c r="H19" i="48"/>
  <c r="K19" i="48"/>
  <c r="I99" i="48"/>
  <c r="H99" i="48"/>
  <c r="G25" i="48"/>
  <c r="I90" i="48"/>
  <c r="H90" i="48"/>
  <c r="G27" i="48"/>
  <c r="H26" i="48"/>
  <c r="K26" i="48"/>
  <c r="I26" i="48"/>
  <c r="G28" i="48"/>
  <c r="I175" i="48"/>
  <c r="I130" i="48"/>
  <c r="I210" i="48"/>
  <c r="I108" i="48"/>
  <c r="H108" i="48"/>
  <c r="J108" i="48"/>
  <c r="F111" i="48"/>
  <c r="I126" i="48"/>
  <c r="H126" i="48"/>
  <c r="J159" i="48"/>
  <c r="J126" i="48"/>
  <c r="J106" i="48"/>
  <c r="J88" i="48"/>
  <c r="C33" i="48"/>
  <c r="G34" i="48"/>
  <c r="I34" i="48"/>
  <c r="I61" i="48"/>
  <c r="F74" i="48"/>
  <c r="F91" i="48"/>
  <c r="G87" i="48"/>
  <c r="H96" i="48"/>
  <c r="J96" i="48"/>
  <c r="I107" i="48"/>
  <c r="I109" i="48"/>
  <c r="H109" i="48"/>
  <c r="J109" i="48"/>
  <c r="I110" i="48"/>
  <c r="I116" i="48"/>
  <c r="I118" i="48"/>
  <c r="H118" i="48"/>
  <c r="J118" i="48"/>
  <c r="I119" i="48"/>
  <c r="I125" i="48"/>
  <c r="I208" i="48"/>
  <c r="H208" i="48"/>
  <c r="J128" i="48"/>
  <c r="J207" i="48"/>
  <c r="J172" i="48"/>
  <c r="J90" i="48"/>
  <c r="H63" i="48"/>
  <c r="J63" i="48"/>
  <c r="H161" i="48"/>
  <c r="J161" i="48"/>
  <c r="F29" i="48"/>
  <c r="I96" i="48"/>
  <c r="I117" i="48"/>
  <c r="H117" i="48"/>
  <c r="I127" i="48"/>
  <c r="I129" i="48"/>
  <c r="I131" i="48"/>
  <c r="F46" i="48"/>
  <c r="I63" i="48"/>
  <c r="K41" i="48"/>
  <c r="I135" i="48"/>
  <c r="H137" i="48"/>
  <c r="J137" i="48"/>
  <c r="J206" i="48"/>
  <c r="J171" i="48"/>
  <c r="J117" i="48"/>
  <c r="I171" i="48"/>
  <c r="J127" i="48"/>
  <c r="J97" i="48"/>
  <c r="K43" i="48"/>
  <c r="J208" i="48"/>
  <c r="J163" i="48"/>
  <c r="J210" i="48"/>
  <c r="J175" i="48"/>
  <c r="J139" i="48"/>
  <c r="J130" i="48"/>
  <c r="J129" i="48"/>
  <c r="J99" i="48"/>
  <c r="H209" i="48"/>
  <c r="J209" i="48"/>
  <c r="J110" i="48"/>
  <c r="G17" i="48"/>
  <c r="I18" i="48"/>
  <c r="F33" i="48"/>
  <c r="F35" i="48"/>
  <c r="G35" i="48"/>
  <c r="I35" i="48"/>
  <c r="F36" i="48"/>
  <c r="I45" i="48"/>
  <c r="F64" i="48"/>
  <c r="G60" i="48"/>
  <c r="I62" i="48"/>
  <c r="F83" i="48"/>
  <c r="D83" i="48"/>
  <c r="G78" i="48"/>
  <c r="H107" i="48"/>
  <c r="J107" i="48"/>
  <c r="H116" i="48"/>
  <c r="H120" i="48"/>
  <c r="H125" i="48"/>
  <c r="J125" i="48"/>
  <c r="I164" i="48"/>
  <c r="H164" i="48"/>
  <c r="J164" i="48"/>
  <c r="I205" i="48"/>
  <c r="H205" i="48"/>
  <c r="J205" i="48"/>
  <c r="J116" i="48"/>
  <c r="J61" i="48"/>
  <c r="G46" i="48"/>
  <c r="I41" i="48"/>
  <c r="I42" i="48"/>
  <c r="I44" i="48"/>
  <c r="I46" i="48"/>
  <c r="J41" i="48"/>
  <c r="I105" i="48"/>
  <c r="H105" i="48"/>
  <c r="J105" i="48"/>
  <c r="I120" i="48"/>
  <c r="J119" i="48"/>
  <c r="J135" i="48"/>
  <c r="K45" i="48"/>
  <c r="J115" i="48"/>
  <c r="K18" i="48"/>
  <c r="G33" i="48"/>
  <c r="G36" i="48"/>
  <c r="I36" i="48"/>
  <c r="K44" i="48"/>
  <c r="H62" i="48"/>
  <c r="J62" i="48"/>
  <c r="D74" i="48"/>
  <c r="G69" i="48"/>
  <c r="I97" i="48"/>
  <c r="I104" i="48"/>
  <c r="I111" i="48"/>
  <c r="G111" i="48"/>
  <c r="H104" i="48"/>
  <c r="J104" i="48"/>
  <c r="I160" i="48"/>
  <c r="H160" i="48"/>
  <c r="J160" i="48"/>
  <c r="I186" i="48"/>
  <c r="H186" i="48"/>
  <c r="J186" i="48"/>
  <c r="G211" i="48"/>
  <c r="I203" i="48"/>
  <c r="H203" i="48"/>
  <c r="F211" i="48"/>
  <c r="F52" i="48"/>
  <c r="D56" i="48"/>
  <c r="G55" i="48"/>
  <c r="G54" i="48"/>
  <c r="G73" i="48"/>
  <c r="G82" i="48"/>
  <c r="G120" i="48"/>
  <c r="I137" i="48"/>
  <c r="F149" i="48"/>
  <c r="F153" i="48"/>
  <c r="F165" i="48"/>
  <c r="G157" i="48"/>
  <c r="I159" i="48"/>
  <c r="I161" i="48"/>
  <c r="I163" i="48"/>
  <c r="G162" i="48"/>
  <c r="G158" i="48"/>
  <c r="I169" i="48"/>
  <c r="G176" i="48"/>
  <c r="H169" i="48"/>
  <c r="I182" i="48"/>
  <c r="H182" i="48"/>
  <c r="J182" i="48"/>
  <c r="G184" i="48"/>
  <c r="G180" i="48"/>
  <c r="F192" i="48"/>
  <c r="D199" i="48"/>
  <c r="G192" i="48"/>
  <c r="I207" i="48"/>
  <c r="I209" i="48"/>
  <c r="D221" i="48"/>
  <c r="F217" i="48"/>
  <c r="F220" i="48"/>
  <c r="G220" i="48"/>
  <c r="F216" i="48"/>
  <c r="G216" i="48"/>
  <c r="F219" i="48"/>
  <c r="G219" i="48"/>
  <c r="G218" i="48"/>
  <c r="G131" i="48"/>
  <c r="I136" i="48"/>
  <c r="I138" i="48"/>
  <c r="H138" i="48"/>
  <c r="J138" i="48"/>
  <c r="I170" i="48"/>
  <c r="H170" i="48"/>
  <c r="J170" i="48"/>
  <c r="I173" i="48"/>
  <c r="H173" i="48"/>
  <c r="J173" i="48"/>
  <c r="F176" i="48"/>
  <c r="I181" i="48"/>
  <c r="I183" i="48"/>
  <c r="H183" i="48"/>
  <c r="J183" i="48"/>
  <c r="I185" i="48"/>
  <c r="F195" i="48"/>
  <c r="G195" i="48"/>
  <c r="F191" i="48"/>
  <c r="F198" i="48"/>
  <c r="G198" i="48"/>
  <c r="F197" i="48"/>
  <c r="G197" i="48"/>
  <c r="F194" i="48"/>
  <c r="G194" i="48"/>
  <c r="F193" i="48"/>
  <c r="G193" i="48"/>
  <c r="G196" i="48"/>
  <c r="H246" i="48"/>
  <c r="H251" i="48"/>
  <c r="G251" i="48"/>
  <c r="F51" i="48"/>
  <c r="G53" i="48"/>
  <c r="G71" i="48"/>
  <c r="G80" i="48"/>
  <c r="G89" i="48"/>
  <c r="F95" i="48"/>
  <c r="G98" i="48"/>
  <c r="H124" i="48"/>
  <c r="H131" i="48"/>
  <c r="H136" i="48"/>
  <c r="H140" i="48"/>
  <c r="F140" i="48"/>
  <c r="D153" i="48"/>
  <c r="G146" i="48"/>
  <c r="I172" i="48"/>
  <c r="I174" i="48"/>
  <c r="H174" i="48"/>
  <c r="J174" i="48"/>
  <c r="H181" i="48"/>
  <c r="J181" i="48"/>
  <c r="H185" i="48"/>
  <c r="J185" i="48"/>
  <c r="I204" i="48"/>
  <c r="H204" i="48"/>
  <c r="J204" i="48"/>
  <c r="G248" i="48"/>
  <c r="H248" i="48"/>
  <c r="G140" i="48"/>
  <c r="G148" i="48"/>
  <c r="G149" i="48"/>
  <c r="G152" i="48"/>
  <c r="G150" i="48"/>
  <c r="I198" i="48"/>
  <c r="H198" i="48"/>
  <c r="J198" i="48"/>
  <c r="I220" i="48"/>
  <c r="H220" i="48"/>
  <c r="J220" i="48"/>
  <c r="I194" i="48"/>
  <c r="H194" i="48"/>
  <c r="J194" i="48"/>
  <c r="J111" i="48"/>
  <c r="I195" i="48"/>
  <c r="H195" i="48"/>
  <c r="J195" i="48"/>
  <c r="H219" i="48"/>
  <c r="J219" i="48"/>
  <c r="I219" i="48"/>
  <c r="I192" i="48"/>
  <c r="H192" i="48"/>
  <c r="J192" i="48"/>
  <c r="I216" i="48"/>
  <c r="H216" i="48"/>
  <c r="I54" i="48"/>
  <c r="H54" i="48"/>
  <c r="K54" i="48"/>
  <c r="I152" i="48"/>
  <c r="H152" i="48"/>
  <c r="J152" i="48"/>
  <c r="I146" i="48"/>
  <c r="H146" i="48"/>
  <c r="J146" i="48"/>
  <c r="I80" i="48"/>
  <c r="H80" i="48"/>
  <c r="J80" i="48"/>
  <c r="H197" i="48"/>
  <c r="J197" i="48"/>
  <c r="I197" i="48"/>
  <c r="J124" i="48"/>
  <c r="J131" i="48"/>
  <c r="I78" i="48"/>
  <c r="H78" i="48"/>
  <c r="K46" i="48"/>
  <c r="H149" i="48"/>
  <c r="J149" i="48"/>
  <c r="I149" i="48"/>
  <c r="I98" i="48"/>
  <c r="H98" i="48"/>
  <c r="J98" i="48"/>
  <c r="I71" i="48"/>
  <c r="H71" i="48"/>
  <c r="J71" i="48"/>
  <c r="G187" i="48"/>
  <c r="H180" i="48"/>
  <c r="I180" i="48"/>
  <c r="H176" i="48"/>
  <c r="H162" i="48"/>
  <c r="J162" i="48"/>
  <c r="I162" i="48"/>
  <c r="G79" i="48"/>
  <c r="G81" i="48"/>
  <c r="G83" i="48"/>
  <c r="H211" i="48"/>
  <c r="J203" i="48"/>
  <c r="J211" i="48"/>
  <c r="J136" i="48"/>
  <c r="J140" i="48"/>
  <c r="F37" i="48"/>
  <c r="H17" i="48"/>
  <c r="G20" i="48"/>
  <c r="I17" i="48"/>
  <c r="I20" i="48"/>
  <c r="J17" i="48"/>
  <c r="G91" i="48"/>
  <c r="I87" i="48"/>
  <c r="H87" i="48"/>
  <c r="I27" i="48"/>
  <c r="H27" i="48"/>
  <c r="K27" i="48"/>
  <c r="H158" i="48"/>
  <c r="J158" i="48"/>
  <c r="I158" i="48"/>
  <c r="I73" i="48"/>
  <c r="H73" i="48"/>
  <c r="J73" i="48"/>
  <c r="I69" i="48"/>
  <c r="H69" i="48"/>
  <c r="J69" i="48"/>
  <c r="I148" i="48"/>
  <c r="H148" i="48"/>
  <c r="J148" i="48"/>
  <c r="F100" i="48"/>
  <c r="G95" i="48"/>
  <c r="H193" i="48"/>
  <c r="J193" i="48"/>
  <c r="I193" i="48"/>
  <c r="G217" i="48"/>
  <c r="H184" i="48"/>
  <c r="J184" i="48"/>
  <c r="I184" i="48"/>
  <c r="G165" i="48"/>
  <c r="I157" i="48"/>
  <c r="I165" i="48"/>
  <c r="H157" i="48"/>
  <c r="I82" i="48"/>
  <c r="H82" i="48"/>
  <c r="J82" i="48"/>
  <c r="I55" i="48"/>
  <c r="H55" i="48"/>
  <c r="K55" i="48"/>
  <c r="I211" i="48"/>
  <c r="H35" i="48"/>
  <c r="K35" i="48"/>
  <c r="H34" i="48"/>
  <c r="K34" i="48"/>
  <c r="H36" i="48"/>
  <c r="K36" i="48"/>
  <c r="H33" i="48"/>
  <c r="H28" i="48"/>
  <c r="K28" i="48"/>
  <c r="I28" i="48"/>
  <c r="I196" i="48"/>
  <c r="H196" i="48"/>
  <c r="J196" i="48"/>
  <c r="I218" i="48"/>
  <c r="H218" i="48"/>
  <c r="J218" i="48"/>
  <c r="G37" i="48"/>
  <c r="I33" i="48"/>
  <c r="I37" i="48"/>
  <c r="J33" i="48"/>
  <c r="H25" i="48"/>
  <c r="G29" i="48"/>
  <c r="I25" i="48"/>
  <c r="I29" i="48"/>
  <c r="J25" i="48"/>
  <c r="I150" i="48"/>
  <c r="H150" i="48"/>
  <c r="J150" i="48"/>
  <c r="I53" i="48"/>
  <c r="H53" i="48"/>
  <c r="K53" i="48"/>
  <c r="F199" i="48"/>
  <c r="G191" i="48"/>
  <c r="F221" i="48"/>
  <c r="G145" i="48"/>
  <c r="G147" i="48"/>
  <c r="G151" i="48"/>
  <c r="I89" i="48"/>
  <c r="H89" i="48"/>
  <c r="J89" i="48"/>
  <c r="F56" i="48"/>
  <c r="G51" i="48"/>
  <c r="I176" i="48"/>
  <c r="G70" i="48"/>
  <c r="G68" i="48"/>
  <c r="G52" i="48"/>
  <c r="H111" i="48"/>
  <c r="J120" i="48"/>
  <c r="J169" i="48"/>
  <c r="J176" i="48"/>
  <c r="G64" i="48"/>
  <c r="I60" i="48"/>
  <c r="I64" i="48"/>
  <c r="H60" i="48"/>
  <c r="I140" i="48"/>
  <c r="G72" i="48"/>
  <c r="G22" i="44"/>
  <c r="G24" i="44"/>
  <c r="H70" i="48"/>
  <c r="J70" i="48"/>
  <c r="I70" i="48"/>
  <c r="I187" i="48"/>
  <c r="I79" i="48"/>
  <c r="I81" i="48"/>
  <c r="I83" i="48"/>
  <c r="J216" i="48"/>
  <c r="H165" i="48"/>
  <c r="J157" i="48"/>
  <c r="J165" i="48"/>
  <c r="G100" i="48"/>
  <c r="I95" i="48"/>
  <c r="I100" i="48"/>
  <c r="H95" i="48"/>
  <c r="H91" i="48"/>
  <c r="J87" i="48"/>
  <c r="J91" i="48"/>
  <c r="H187" i="48"/>
  <c r="J180" i="48"/>
  <c r="J187" i="48"/>
  <c r="I217" i="48"/>
  <c r="I221" i="48"/>
  <c r="H145" i="48"/>
  <c r="I145" i="48"/>
  <c r="G153" i="48"/>
  <c r="I72" i="48"/>
  <c r="H72" i="48"/>
  <c r="J72" i="48"/>
  <c r="I51" i="48"/>
  <c r="H51" i="48"/>
  <c r="G56" i="48"/>
  <c r="H217" i="48"/>
  <c r="J217" i="48"/>
  <c r="I91" i="48"/>
  <c r="H20" i="48"/>
  <c r="K17" i="48"/>
  <c r="K20" i="48"/>
  <c r="G221" i="48"/>
  <c r="H64" i="48"/>
  <c r="J60" i="48"/>
  <c r="J64" i="48"/>
  <c r="H79" i="48"/>
  <c r="J79" i="48"/>
  <c r="H52" i="48"/>
  <c r="K52" i="48"/>
  <c r="I52" i="48"/>
  <c r="I151" i="48"/>
  <c r="H151" i="48"/>
  <c r="J151" i="48"/>
  <c r="G199" i="48"/>
  <c r="I191" i="48"/>
  <c r="I199" i="48"/>
  <c r="H191" i="48"/>
  <c r="H29" i="48"/>
  <c r="K25" i="48"/>
  <c r="K29" i="48"/>
  <c r="I68" i="48"/>
  <c r="I74" i="48"/>
  <c r="H68" i="48"/>
  <c r="G74" i="48"/>
  <c r="I147" i="48"/>
  <c r="H147" i="48"/>
  <c r="J147" i="48"/>
  <c r="H37" i="48"/>
  <c r="K33" i="48"/>
  <c r="K37" i="48"/>
  <c r="H81" i="48"/>
  <c r="J81" i="48"/>
  <c r="J78" i="48"/>
  <c r="H56" i="48"/>
  <c r="K51" i="48"/>
  <c r="K56" i="48"/>
  <c r="H100" i="48"/>
  <c r="J95" i="48"/>
  <c r="J100" i="48"/>
  <c r="J83" i="48"/>
  <c r="I56" i="48"/>
  <c r="J51" i="48"/>
  <c r="I153" i="48"/>
  <c r="J221" i="48"/>
  <c r="H83" i="48"/>
  <c r="H74" i="48"/>
  <c r="J68" i="48"/>
  <c r="J74" i="48"/>
  <c r="H199" i="48"/>
  <c r="J191" i="48"/>
  <c r="J199" i="48"/>
  <c r="H153" i="48"/>
  <c r="J145" i="48"/>
  <c r="J153" i="48"/>
  <c r="H221" i="48"/>
  <c r="C22" i="44"/>
  <c r="C24" i="44"/>
  <c r="B88" i="12"/>
  <c r="D18" i="45"/>
  <c r="C18" i="45"/>
  <c r="D7" i="45"/>
  <c r="E13" i="45"/>
  <c r="E14" i="45"/>
  <c r="G17" i="45"/>
  <c r="F14" i="45"/>
  <c r="I14" i="45"/>
  <c r="E15" i="45"/>
  <c r="F15" i="45"/>
  <c r="I15" i="45"/>
  <c r="G16" i="45"/>
  <c r="H14" i="45"/>
  <c r="K14" i="45"/>
  <c r="E18" i="45"/>
  <c r="F13" i="45"/>
  <c r="H15" i="45"/>
  <c r="G14" i="45"/>
  <c r="G15" i="45"/>
  <c r="K15" i="45"/>
  <c r="I13" i="45"/>
  <c r="F18" i="45"/>
  <c r="H13" i="45"/>
  <c r="H18" i="45"/>
  <c r="B82" i="12"/>
  <c r="B83" i="12"/>
  <c r="B84" i="12"/>
  <c r="J13" i="45"/>
  <c r="I18" i="45"/>
  <c r="K13" i="45"/>
  <c r="G13" i="45"/>
  <c r="K18" i="45"/>
  <c r="L13" i="45"/>
  <c r="L14" i="45"/>
  <c r="L17" i="45"/>
  <c r="L15" i="45"/>
  <c r="L16" i="45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B96" i="12"/>
  <c r="B26" i="12"/>
  <c r="K28" i="39"/>
  <c r="K29" i="39"/>
  <c r="J28" i="39"/>
  <c r="J29" i="39"/>
  <c r="I28" i="39"/>
  <c r="I29" i="39"/>
  <c r="H28" i="39"/>
  <c r="H29" i="39"/>
  <c r="C24" i="39"/>
  <c r="G24" i="39"/>
  <c r="C23" i="39"/>
  <c r="E23" i="39"/>
  <c r="C22" i="39"/>
  <c r="G22" i="39"/>
  <c r="C21" i="39"/>
  <c r="E21" i="39"/>
  <c r="G21" i="39"/>
  <c r="C20" i="39"/>
  <c r="E20" i="39"/>
  <c r="C19" i="39"/>
  <c r="G19" i="39"/>
  <c r="E19" i="39"/>
  <c r="C18" i="39"/>
  <c r="G18" i="39"/>
  <c r="C17" i="39"/>
  <c r="E17" i="39"/>
  <c r="G17" i="39"/>
  <c r="C16" i="39"/>
  <c r="E16" i="39"/>
  <c r="G16" i="39"/>
  <c r="G20" i="39"/>
  <c r="E18" i="39"/>
  <c r="E22" i="39"/>
  <c r="G23" i="39"/>
  <c r="E24" i="39"/>
  <c r="K2" i="10"/>
  <c r="L2" i="10"/>
  <c r="B93" i="12"/>
  <c r="B94" i="12"/>
  <c r="B95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27" i="12"/>
  <c r="Z5" i="10"/>
  <c r="Z6" i="10"/>
  <c r="Z7" i="10"/>
  <c r="Z8" i="10"/>
  <c r="Z9" i="10"/>
  <c r="Z10" i="10"/>
  <c r="Z11" i="10"/>
  <c r="Z12" i="10"/>
  <c r="Z13" i="10"/>
  <c r="Z14" i="10"/>
  <c r="Z15" i="10"/>
  <c r="Z16" i="10"/>
  <c r="Z4" i="10"/>
  <c r="AL3" i="10"/>
  <c r="AH3" i="10"/>
  <c r="AD3" i="10"/>
  <c r="Z3" i="10"/>
  <c r="G4" i="10"/>
  <c r="G3" i="10"/>
  <c r="AH14" i="10"/>
  <c r="C2" i="39"/>
  <c r="E2" i="39"/>
  <c r="F2" i="39"/>
  <c r="C3" i="39"/>
  <c r="E3" i="39"/>
  <c r="F3" i="39"/>
  <c r="C4" i="39"/>
  <c r="E4" i="39"/>
  <c r="F4" i="39"/>
  <c r="C5" i="39"/>
  <c r="E5" i="39"/>
  <c r="F5" i="39"/>
  <c r="C6" i="39"/>
  <c r="E6" i="39"/>
  <c r="F6" i="39"/>
  <c r="C7" i="39"/>
  <c r="E7" i="39"/>
  <c r="F7" i="39"/>
  <c r="C8" i="39"/>
  <c r="E8" i="39"/>
  <c r="F8" i="39"/>
  <c r="D123" i="12"/>
  <c r="I79" i="10"/>
  <c r="E72" i="10"/>
  <c r="E88" i="10"/>
  <c r="AM3" i="10"/>
  <c r="B89" i="12"/>
  <c r="J38" i="10"/>
  <c r="J39" i="10"/>
  <c r="J40" i="10"/>
  <c r="J41" i="10"/>
  <c r="J42" i="10"/>
  <c r="J43" i="10"/>
  <c r="J44" i="10"/>
  <c r="J45" i="10"/>
  <c r="J37" i="10"/>
  <c r="AO3" i="10"/>
  <c r="AP3" i="10"/>
  <c r="G42" i="10"/>
  <c r="H42" i="10"/>
  <c r="G44" i="10"/>
  <c r="H44" i="10"/>
  <c r="G45" i="10"/>
  <c r="G43" i="10"/>
  <c r="G41" i="10"/>
  <c r="H41" i="10"/>
  <c r="G40" i="10"/>
  <c r="H40" i="10"/>
  <c r="G39" i="10"/>
  <c r="G38" i="10"/>
  <c r="G37" i="10"/>
  <c r="H37" i="10"/>
  <c r="H45" i="10"/>
  <c r="H39" i="10"/>
  <c r="H43" i="10"/>
  <c r="H38" i="10"/>
  <c r="D3" i="10"/>
  <c r="D4" i="10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7" i="9"/>
  <c r="I31" i="10"/>
  <c r="H31" i="10"/>
  <c r="D16" i="9"/>
  <c r="G19" i="7"/>
  <c r="H18" i="10"/>
  <c r="E8" i="10"/>
  <c r="J31" i="10"/>
  <c r="J19" i="10"/>
  <c r="L19" i="10"/>
  <c r="C17" i="9"/>
  <c r="H19" i="10"/>
  <c r="B144" i="12"/>
  <c r="B92" i="12"/>
  <c r="B46" i="12"/>
  <c r="B18" i="12"/>
  <c r="AL14" i="10"/>
  <c r="AL15" i="10"/>
  <c r="AL16" i="10"/>
  <c r="AH15" i="10"/>
  <c r="AH16" i="10"/>
  <c r="AD14" i="10"/>
  <c r="AD15" i="10"/>
  <c r="AD16" i="10"/>
  <c r="C48" i="32"/>
  <c r="C39" i="32"/>
  <c r="G15" i="32"/>
  <c r="S13" i="28"/>
  <c r="S101" i="28"/>
  <c r="Q101" i="28"/>
  <c r="P101" i="28"/>
  <c r="O101" i="28"/>
  <c r="N101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J62" i="28"/>
  <c r="J63" i="28"/>
  <c r="J64" i="28"/>
  <c r="J65" i="28"/>
  <c r="J66" i="28"/>
  <c r="J67" i="28"/>
  <c r="J68" i="28"/>
  <c r="J69" i="28"/>
  <c r="J70" i="28"/>
  <c r="J71" i="28"/>
  <c r="J72" i="28"/>
  <c r="J73" i="28"/>
  <c r="J74" i="28"/>
  <c r="J75" i="28"/>
  <c r="J76" i="28"/>
  <c r="J77" i="28"/>
  <c r="J78" i="28"/>
  <c r="J79" i="28"/>
  <c r="J80" i="28"/>
  <c r="J81" i="28"/>
  <c r="J82" i="28"/>
  <c r="J83" i="28"/>
  <c r="J84" i="28"/>
  <c r="J85" i="28"/>
  <c r="J86" i="28"/>
  <c r="J87" i="28"/>
  <c r="J88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H101" i="28"/>
  <c r="E101" i="28"/>
  <c r="D101" i="28"/>
  <c r="R100" i="28"/>
  <c r="N100" i="28"/>
  <c r="G100" i="28"/>
  <c r="L100" i="28"/>
  <c r="R99" i="28"/>
  <c r="N99" i="28"/>
  <c r="G99" i="28"/>
  <c r="L99" i="28"/>
  <c r="R98" i="28"/>
  <c r="N98" i="28"/>
  <c r="G98" i="28"/>
  <c r="L98" i="28"/>
  <c r="R97" i="28"/>
  <c r="N97" i="28"/>
  <c r="G97" i="28"/>
  <c r="L97" i="28"/>
  <c r="R96" i="28"/>
  <c r="N96" i="28"/>
  <c r="G96" i="28"/>
  <c r="L96" i="28"/>
  <c r="R95" i="28"/>
  <c r="N95" i="28"/>
  <c r="G95" i="28"/>
  <c r="L95" i="28"/>
  <c r="R94" i="28"/>
  <c r="N94" i="28"/>
  <c r="G94" i="28"/>
  <c r="L94" i="28"/>
  <c r="R93" i="28"/>
  <c r="N93" i="28"/>
  <c r="G93" i="28"/>
  <c r="L93" i="28"/>
  <c r="R92" i="28"/>
  <c r="N92" i="28"/>
  <c r="G92" i="28"/>
  <c r="L92" i="28"/>
  <c r="R91" i="28"/>
  <c r="N91" i="28"/>
  <c r="G91" i="28"/>
  <c r="L91" i="28"/>
  <c r="R90" i="28"/>
  <c r="N90" i="28"/>
  <c r="G90" i="28"/>
  <c r="L90" i="28"/>
  <c r="R89" i="28"/>
  <c r="N89" i="28"/>
  <c r="G89" i="28"/>
  <c r="L89" i="28"/>
  <c r="R88" i="28"/>
  <c r="N88" i="28"/>
  <c r="G88" i="28"/>
  <c r="L88" i="28"/>
  <c r="R87" i="28"/>
  <c r="N87" i="28"/>
  <c r="G87" i="28"/>
  <c r="L87" i="28"/>
  <c r="R86" i="28"/>
  <c r="N86" i="28"/>
  <c r="G86" i="28"/>
  <c r="L86" i="28"/>
  <c r="R85" i="28"/>
  <c r="N85" i="28"/>
  <c r="G85" i="28"/>
  <c r="L85" i="28"/>
  <c r="R84" i="28"/>
  <c r="N84" i="28"/>
  <c r="G84" i="28"/>
  <c r="L84" i="28"/>
  <c r="R83" i="28"/>
  <c r="N83" i="28"/>
  <c r="G83" i="28"/>
  <c r="L83" i="28"/>
  <c r="R82" i="28"/>
  <c r="N82" i="28"/>
  <c r="G82" i="28"/>
  <c r="L82" i="28"/>
  <c r="R81" i="28"/>
  <c r="N81" i="28"/>
  <c r="G81" i="28"/>
  <c r="L81" i="28"/>
  <c r="R80" i="28"/>
  <c r="N80" i="28"/>
  <c r="G80" i="28"/>
  <c r="L80" i="28"/>
  <c r="R79" i="28"/>
  <c r="N79" i="28"/>
  <c r="G79" i="28"/>
  <c r="L79" i="28"/>
  <c r="R78" i="28"/>
  <c r="N78" i="28"/>
  <c r="G78" i="28"/>
  <c r="L78" i="28"/>
  <c r="R77" i="28"/>
  <c r="N77" i="28"/>
  <c r="G77" i="28"/>
  <c r="L77" i="28"/>
  <c r="R76" i="28"/>
  <c r="N76" i="28"/>
  <c r="G76" i="28"/>
  <c r="L76" i="28"/>
  <c r="R75" i="28"/>
  <c r="N75" i="28"/>
  <c r="G75" i="28"/>
  <c r="L75" i="28"/>
  <c r="R74" i="28"/>
  <c r="N74" i="28"/>
  <c r="G74" i="28"/>
  <c r="L74" i="28"/>
  <c r="R73" i="28"/>
  <c r="N73" i="28"/>
  <c r="G73" i="28"/>
  <c r="L73" i="28"/>
  <c r="R72" i="28"/>
  <c r="N72" i="28"/>
  <c r="G72" i="28"/>
  <c r="L72" i="28"/>
  <c r="R71" i="28"/>
  <c r="N71" i="28"/>
  <c r="G71" i="28"/>
  <c r="L71" i="28"/>
  <c r="R70" i="28"/>
  <c r="N70" i="28"/>
  <c r="G70" i="28"/>
  <c r="L70" i="28"/>
  <c r="R69" i="28"/>
  <c r="N69" i="28"/>
  <c r="G69" i="28"/>
  <c r="L69" i="28"/>
  <c r="R68" i="28"/>
  <c r="N68" i="28"/>
  <c r="G68" i="28"/>
  <c r="L68" i="28"/>
  <c r="R67" i="28"/>
  <c r="N67" i="28"/>
  <c r="G67" i="28"/>
  <c r="L67" i="28"/>
  <c r="R66" i="28"/>
  <c r="N66" i="28"/>
  <c r="G66" i="28"/>
  <c r="L66" i="28"/>
  <c r="R65" i="28"/>
  <c r="N65" i="28"/>
  <c r="G65" i="28"/>
  <c r="L65" i="28"/>
  <c r="R64" i="28"/>
  <c r="N64" i="28"/>
  <c r="G64" i="28"/>
  <c r="L64" i="28"/>
  <c r="R63" i="28"/>
  <c r="N63" i="28"/>
  <c r="G63" i="28"/>
  <c r="L63" i="28"/>
  <c r="R62" i="28"/>
  <c r="N62" i="28"/>
  <c r="G62" i="28"/>
  <c r="L62" i="28"/>
  <c r="R61" i="28"/>
  <c r="N61" i="28"/>
  <c r="G61" i="28"/>
  <c r="L61" i="28"/>
  <c r="R60" i="28"/>
  <c r="N60" i="28"/>
  <c r="G60" i="28"/>
  <c r="L60" i="28"/>
  <c r="R59" i="28"/>
  <c r="N59" i="28"/>
  <c r="G59" i="28"/>
  <c r="L59" i="28"/>
  <c r="R58" i="28"/>
  <c r="N58" i="28"/>
  <c r="G58" i="28"/>
  <c r="L58" i="28"/>
  <c r="R57" i="28"/>
  <c r="N57" i="28"/>
  <c r="G57" i="28"/>
  <c r="L57" i="28"/>
  <c r="R56" i="28"/>
  <c r="N56" i="28"/>
  <c r="G56" i="28"/>
  <c r="L56" i="28"/>
  <c r="R55" i="28"/>
  <c r="N55" i="28"/>
  <c r="G55" i="28"/>
  <c r="L55" i="28"/>
  <c r="R54" i="28"/>
  <c r="N54" i="28"/>
  <c r="G54" i="28"/>
  <c r="L54" i="28"/>
  <c r="R53" i="28"/>
  <c r="N53" i="28"/>
  <c r="G53" i="28"/>
  <c r="L53" i="28"/>
  <c r="R52" i="28"/>
  <c r="N52" i="28"/>
  <c r="G52" i="28"/>
  <c r="L52" i="28"/>
  <c r="R51" i="28"/>
  <c r="N51" i="28"/>
  <c r="G51" i="28"/>
  <c r="L51" i="28"/>
  <c r="R50" i="28"/>
  <c r="N50" i="28"/>
  <c r="G50" i="28"/>
  <c r="L50" i="28"/>
  <c r="R49" i="28"/>
  <c r="N49" i="28"/>
  <c r="G49" i="28"/>
  <c r="L49" i="28"/>
  <c r="R48" i="28"/>
  <c r="N48" i="28"/>
  <c r="G48" i="28"/>
  <c r="L48" i="28"/>
  <c r="R47" i="28"/>
  <c r="N47" i="28"/>
  <c r="G47" i="28"/>
  <c r="L47" i="28"/>
  <c r="R46" i="28"/>
  <c r="N46" i="28"/>
  <c r="G46" i="28"/>
  <c r="L46" i="28"/>
  <c r="R45" i="28"/>
  <c r="N45" i="28"/>
  <c r="G45" i="28"/>
  <c r="L45" i="28"/>
  <c r="R44" i="28"/>
  <c r="N44" i="28"/>
  <c r="G44" i="28"/>
  <c r="L44" i="28"/>
  <c r="R43" i="28"/>
  <c r="N43" i="28"/>
  <c r="G43" i="28"/>
  <c r="L43" i="28"/>
  <c r="R42" i="28"/>
  <c r="N42" i="28"/>
  <c r="G42" i="28"/>
  <c r="L42" i="28"/>
  <c r="R41" i="28"/>
  <c r="N41" i="28"/>
  <c r="G41" i="28"/>
  <c r="L41" i="28"/>
  <c r="R40" i="28"/>
  <c r="N40" i="28"/>
  <c r="G40" i="28"/>
  <c r="L40" i="28"/>
  <c r="R39" i="28"/>
  <c r="N39" i="28"/>
  <c r="G39" i="28"/>
  <c r="L39" i="28"/>
  <c r="R38" i="28"/>
  <c r="N38" i="28"/>
  <c r="G38" i="28"/>
  <c r="L38" i="28"/>
  <c r="R37" i="28"/>
  <c r="N37" i="28"/>
  <c r="G37" i="28"/>
  <c r="L37" i="28"/>
  <c r="R36" i="28"/>
  <c r="N36" i="28"/>
  <c r="G36" i="28"/>
  <c r="L36" i="28"/>
  <c r="R35" i="28"/>
  <c r="N35" i="28"/>
  <c r="G35" i="28"/>
  <c r="L35" i="28"/>
  <c r="R34" i="28"/>
  <c r="N34" i="28"/>
  <c r="G34" i="28"/>
  <c r="L34" i="28"/>
  <c r="R33" i="28"/>
  <c r="N33" i="28"/>
  <c r="G33" i="28"/>
  <c r="L33" i="28"/>
  <c r="R32" i="28"/>
  <c r="N32" i="28"/>
  <c r="G32" i="28"/>
  <c r="L32" i="28"/>
  <c r="R31" i="28"/>
  <c r="N31" i="28"/>
  <c r="G31" i="28"/>
  <c r="L31" i="28"/>
  <c r="R30" i="28"/>
  <c r="N30" i="28"/>
  <c r="G30" i="28"/>
  <c r="L30" i="28"/>
  <c r="R29" i="28"/>
  <c r="N29" i="28"/>
  <c r="G29" i="28"/>
  <c r="L29" i="28"/>
  <c r="R28" i="28"/>
  <c r="N28" i="28"/>
  <c r="G28" i="28"/>
  <c r="L28" i="28"/>
  <c r="R27" i="28"/>
  <c r="N27" i="28"/>
  <c r="G27" i="28"/>
  <c r="L27" i="28"/>
  <c r="R26" i="28"/>
  <c r="N26" i="28"/>
  <c r="G26" i="28"/>
  <c r="L26" i="28"/>
  <c r="R25" i="28"/>
  <c r="N25" i="28"/>
  <c r="G25" i="28"/>
  <c r="L25" i="28"/>
  <c r="R24" i="28"/>
  <c r="N24" i="28"/>
  <c r="G24" i="28"/>
  <c r="L24" i="28"/>
  <c r="R23" i="28"/>
  <c r="N23" i="28"/>
  <c r="G23" i="28"/>
  <c r="L23" i="28"/>
  <c r="R22" i="28"/>
  <c r="N22" i="28"/>
  <c r="G22" i="28"/>
  <c r="L22" i="28"/>
  <c r="R21" i="28"/>
  <c r="N21" i="28"/>
  <c r="G21" i="28"/>
  <c r="L21" i="28"/>
  <c r="R20" i="28"/>
  <c r="N20" i="28"/>
  <c r="G20" i="28"/>
  <c r="L20" i="28"/>
  <c r="R19" i="28"/>
  <c r="N19" i="28"/>
  <c r="G19" i="28"/>
  <c r="L19" i="28"/>
  <c r="R18" i="28"/>
  <c r="N18" i="28"/>
  <c r="G18" i="28"/>
  <c r="L18" i="28"/>
  <c r="R17" i="28"/>
  <c r="N17" i="28"/>
  <c r="G17" i="28"/>
  <c r="L17" i="28"/>
  <c r="R16" i="28"/>
  <c r="N16" i="28"/>
  <c r="G16" i="28"/>
  <c r="L16" i="28"/>
  <c r="R15" i="28"/>
  <c r="N15" i="28"/>
  <c r="G15" i="28"/>
  <c r="L15" i="28"/>
  <c r="R14" i="28"/>
  <c r="N14" i="28"/>
  <c r="G14" i="28"/>
  <c r="L14" i="28"/>
  <c r="N13" i="28"/>
  <c r="G13" i="28"/>
  <c r="L13" i="28"/>
  <c r="R13" i="28"/>
  <c r="AA12" i="28"/>
  <c r="R12" i="28"/>
  <c r="N12" i="28"/>
  <c r="G12" i="28"/>
  <c r="L12" i="28"/>
  <c r="AA11" i="28"/>
  <c r="R11" i="28"/>
  <c r="N11" i="28"/>
  <c r="G11" i="28"/>
  <c r="L11" i="28"/>
  <c r="AA10" i="28"/>
  <c r="R10" i="28"/>
  <c r="N10" i="28"/>
  <c r="G10" i="28"/>
  <c r="L10" i="28"/>
  <c r="AA9" i="28"/>
  <c r="R9" i="28"/>
  <c r="N9" i="28"/>
  <c r="G9" i="28"/>
  <c r="L9" i="28"/>
  <c r="N8" i="28"/>
  <c r="G8" i="28"/>
  <c r="L8" i="28"/>
  <c r="R8" i="28"/>
  <c r="R7" i="28"/>
  <c r="N7" i="28"/>
  <c r="G7" i="28"/>
  <c r="L7" i="28"/>
  <c r="R6" i="28"/>
  <c r="N6" i="28"/>
  <c r="G6" i="28"/>
  <c r="L6" i="28"/>
  <c r="R5" i="28"/>
  <c r="N5" i="28"/>
  <c r="G5" i="28"/>
  <c r="L5" i="28"/>
  <c r="R4" i="28"/>
  <c r="N4" i="28"/>
  <c r="G4" i="28"/>
  <c r="Q101" i="27"/>
  <c r="P101" i="27"/>
  <c r="O101" i="27"/>
  <c r="N101" i="27"/>
  <c r="H101" i="27"/>
  <c r="E101" i="27"/>
  <c r="D101" i="27"/>
  <c r="R100" i="27"/>
  <c r="N100" i="27"/>
  <c r="J100" i="27"/>
  <c r="G100" i="27"/>
  <c r="R99" i="27"/>
  <c r="N99" i="27"/>
  <c r="J99" i="27"/>
  <c r="G99" i="27"/>
  <c r="R98" i="27"/>
  <c r="N98" i="27"/>
  <c r="J98" i="27"/>
  <c r="G98" i="27"/>
  <c r="R97" i="27"/>
  <c r="N97" i="27"/>
  <c r="J97" i="27"/>
  <c r="G97" i="27"/>
  <c r="R96" i="27"/>
  <c r="N96" i="27"/>
  <c r="J96" i="27"/>
  <c r="G96" i="27"/>
  <c r="R95" i="27"/>
  <c r="N95" i="27"/>
  <c r="J95" i="27"/>
  <c r="G95" i="27"/>
  <c r="L95" i="27"/>
  <c r="R94" i="27"/>
  <c r="N94" i="27"/>
  <c r="J94" i="27"/>
  <c r="G94" i="27"/>
  <c r="L94" i="27"/>
  <c r="R93" i="27"/>
  <c r="N93" i="27"/>
  <c r="J93" i="27"/>
  <c r="G93" i="27"/>
  <c r="L93" i="27"/>
  <c r="R92" i="27"/>
  <c r="N92" i="27"/>
  <c r="J92" i="27"/>
  <c r="G92" i="27"/>
  <c r="R91" i="27"/>
  <c r="N91" i="27"/>
  <c r="J91" i="27"/>
  <c r="G91" i="27"/>
  <c r="R90" i="27"/>
  <c r="N90" i="27"/>
  <c r="J90" i="27"/>
  <c r="R89" i="27"/>
  <c r="N89" i="27"/>
  <c r="J89" i="27"/>
  <c r="R88" i="27"/>
  <c r="N88" i="27"/>
  <c r="J88" i="27"/>
  <c r="R87" i="27"/>
  <c r="N87" i="27"/>
  <c r="R86" i="27"/>
  <c r="N86" i="27"/>
  <c r="R84" i="27"/>
  <c r="N84" i="27"/>
  <c r="R82" i="27"/>
  <c r="N82" i="27"/>
  <c r="R80" i="27"/>
  <c r="N80" i="27"/>
  <c r="R78" i="27"/>
  <c r="N78" i="27"/>
  <c r="R76" i="27"/>
  <c r="N76" i="27"/>
  <c r="R74" i="27"/>
  <c r="N74" i="27"/>
  <c r="R72" i="27"/>
  <c r="N72" i="27"/>
  <c r="J72" i="27"/>
  <c r="G72" i="27"/>
  <c r="R70" i="27"/>
  <c r="N70" i="27"/>
  <c r="J70" i="27"/>
  <c r="G70" i="27"/>
  <c r="R69" i="27"/>
  <c r="N69" i="27"/>
  <c r="J69" i="27"/>
  <c r="G69" i="27"/>
  <c r="R68" i="27"/>
  <c r="N68" i="27"/>
  <c r="J68" i="27"/>
  <c r="G68" i="27"/>
  <c r="R67" i="27"/>
  <c r="N67" i="27"/>
  <c r="J67" i="27"/>
  <c r="G67" i="27"/>
  <c r="R66" i="27"/>
  <c r="N66" i="27"/>
  <c r="J66" i="27"/>
  <c r="G66" i="27"/>
  <c r="R65" i="27"/>
  <c r="N65" i="27"/>
  <c r="J65" i="27"/>
  <c r="G65" i="27"/>
  <c r="R64" i="27"/>
  <c r="N64" i="27"/>
  <c r="J64" i="27"/>
  <c r="G64" i="27"/>
  <c r="R63" i="27"/>
  <c r="N63" i="27"/>
  <c r="J63" i="27"/>
  <c r="G63" i="27"/>
  <c r="R62" i="27"/>
  <c r="N62" i="27"/>
  <c r="J62" i="27"/>
  <c r="G62" i="27"/>
  <c r="R61" i="27"/>
  <c r="N61" i="27"/>
  <c r="J61" i="27"/>
  <c r="G61" i="27"/>
  <c r="R60" i="27"/>
  <c r="N60" i="27"/>
  <c r="J60" i="27"/>
  <c r="G60" i="27"/>
  <c r="R59" i="27"/>
  <c r="N59" i="27"/>
  <c r="J59" i="27"/>
  <c r="G59" i="27"/>
  <c r="R58" i="27"/>
  <c r="N58" i="27"/>
  <c r="J58" i="27"/>
  <c r="G58" i="27"/>
  <c r="R57" i="27"/>
  <c r="N57" i="27"/>
  <c r="J57" i="27"/>
  <c r="G57" i="27"/>
  <c r="R56" i="27"/>
  <c r="N56" i="27"/>
  <c r="J56" i="27"/>
  <c r="G56" i="27"/>
  <c r="R55" i="27"/>
  <c r="N55" i="27"/>
  <c r="J55" i="27"/>
  <c r="G55" i="27"/>
  <c r="R54" i="27"/>
  <c r="N54" i="27"/>
  <c r="J54" i="27"/>
  <c r="G54" i="27"/>
  <c r="R53" i="27"/>
  <c r="N53" i="27"/>
  <c r="J53" i="27"/>
  <c r="G53" i="27"/>
  <c r="R52" i="27"/>
  <c r="N52" i="27"/>
  <c r="J52" i="27"/>
  <c r="G52" i="27"/>
  <c r="R51" i="27"/>
  <c r="N51" i="27"/>
  <c r="J51" i="27"/>
  <c r="G51" i="27"/>
  <c r="R50" i="27"/>
  <c r="N50" i="27"/>
  <c r="J50" i="27"/>
  <c r="G50" i="27"/>
  <c r="R49" i="27"/>
  <c r="N49" i="27"/>
  <c r="J49" i="27"/>
  <c r="G49" i="27"/>
  <c r="R48" i="27"/>
  <c r="N48" i="27"/>
  <c r="J48" i="27"/>
  <c r="G48" i="27"/>
  <c r="R47" i="27"/>
  <c r="N47" i="27"/>
  <c r="J47" i="27"/>
  <c r="G47" i="27"/>
  <c r="R46" i="27"/>
  <c r="N46" i="27"/>
  <c r="J46" i="27"/>
  <c r="G46" i="27"/>
  <c r="R45" i="27"/>
  <c r="N45" i="27"/>
  <c r="J45" i="27"/>
  <c r="G45" i="27"/>
  <c r="R44" i="27"/>
  <c r="N44" i="27"/>
  <c r="J44" i="27"/>
  <c r="G44" i="27"/>
  <c r="R43" i="27"/>
  <c r="N43" i="27"/>
  <c r="J43" i="27"/>
  <c r="G43" i="27"/>
  <c r="R42" i="27"/>
  <c r="N42" i="27"/>
  <c r="J42" i="27"/>
  <c r="G42" i="27"/>
  <c r="R41" i="27"/>
  <c r="N41" i="27"/>
  <c r="J41" i="27"/>
  <c r="G41" i="27"/>
  <c r="R40" i="27"/>
  <c r="N40" i="27"/>
  <c r="J40" i="27"/>
  <c r="G40" i="27"/>
  <c r="R39" i="27"/>
  <c r="N39" i="27"/>
  <c r="J39" i="27"/>
  <c r="G39" i="27"/>
  <c r="R38" i="27"/>
  <c r="N38" i="27"/>
  <c r="J38" i="27"/>
  <c r="G38" i="27"/>
  <c r="R37" i="27"/>
  <c r="N37" i="27"/>
  <c r="J37" i="27"/>
  <c r="G37" i="27"/>
  <c r="R36" i="27"/>
  <c r="N36" i="27"/>
  <c r="J36" i="27"/>
  <c r="G36" i="27"/>
  <c r="R35" i="27"/>
  <c r="N35" i="27"/>
  <c r="J35" i="27"/>
  <c r="G35" i="27"/>
  <c r="R34" i="27"/>
  <c r="N34" i="27"/>
  <c r="J34" i="27"/>
  <c r="G34" i="27"/>
  <c r="R33" i="27"/>
  <c r="N33" i="27"/>
  <c r="J33" i="27"/>
  <c r="G33" i="27"/>
  <c r="R32" i="27"/>
  <c r="N32" i="27"/>
  <c r="J32" i="27"/>
  <c r="G32" i="27"/>
  <c r="R31" i="27"/>
  <c r="N31" i="27"/>
  <c r="J31" i="27"/>
  <c r="G31" i="27"/>
  <c r="R30" i="27"/>
  <c r="N30" i="27"/>
  <c r="J30" i="27"/>
  <c r="G30" i="27"/>
  <c r="R29" i="27"/>
  <c r="N29" i="27"/>
  <c r="J29" i="27"/>
  <c r="G29" i="27"/>
  <c r="R28" i="27"/>
  <c r="N28" i="27"/>
  <c r="J28" i="27"/>
  <c r="G28" i="27"/>
  <c r="R27" i="27"/>
  <c r="N27" i="27"/>
  <c r="J27" i="27"/>
  <c r="G27" i="27"/>
  <c r="R26" i="27"/>
  <c r="N26" i="27"/>
  <c r="J26" i="27"/>
  <c r="G26" i="27"/>
  <c r="R25" i="27"/>
  <c r="N25" i="27"/>
  <c r="J25" i="27"/>
  <c r="G25" i="27"/>
  <c r="R24" i="27"/>
  <c r="N24" i="27"/>
  <c r="J24" i="27"/>
  <c r="G24" i="27"/>
  <c r="R23" i="27"/>
  <c r="N23" i="27"/>
  <c r="J23" i="27"/>
  <c r="G23" i="27"/>
  <c r="R22" i="27"/>
  <c r="N22" i="27"/>
  <c r="J22" i="27"/>
  <c r="G22" i="27"/>
  <c r="R21" i="27"/>
  <c r="N21" i="27"/>
  <c r="J21" i="27"/>
  <c r="G21" i="27"/>
  <c r="R20" i="27"/>
  <c r="N20" i="27"/>
  <c r="J20" i="27"/>
  <c r="G20" i="27"/>
  <c r="R19" i="27"/>
  <c r="N19" i="27"/>
  <c r="J19" i="27"/>
  <c r="G19" i="27"/>
  <c r="R18" i="27"/>
  <c r="N18" i="27"/>
  <c r="J18" i="27"/>
  <c r="G18" i="27"/>
  <c r="R17" i="27"/>
  <c r="N17" i="27"/>
  <c r="J17" i="27"/>
  <c r="G17" i="27"/>
  <c r="R16" i="27"/>
  <c r="N16" i="27"/>
  <c r="J16" i="27"/>
  <c r="G16" i="27"/>
  <c r="R15" i="27"/>
  <c r="N15" i="27"/>
  <c r="J15" i="27"/>
  <c r="G15" i="27"/>
  <c r="R14" i="27"/>
  <c r="N14" i="27"/>
  <c r="J14" i="27"/>
  <c r="G14" i="27"/>
  <c r="S13" i="27"/>
  <c r="S101" i="27"/>
  <c r="N13" i="27"/>
  <c r="J13" i="27"/>
  <c r="G13" i="27"/>
  <c r="AA12" i="27"/>
  <c r="R12" i="27"/>
  <c r="N12" i="27"/>
  <c r="J12" i="27"/>
  <c r="G12" i="27"/>
  <c r="AA11" i="27"/>
  <c r="R11" i="27"/>
  <c r="N11" i="27"/>
  <c r="J11" i="27"/>
  <c r="G11" i="27"/>
  <c r="AA10" i="27"/>
  <c r="R10" i="27"/>
  <c r="N10" i="27"/>
  <c r="J10" i="27"/>
  <c r="G10" i="27"/>
  <c r="AA9" i="27"/>
  <c r="R9" i="27"/>
  <c r="N9" i="27"/>
  <c r="J9" i="27"/>
  <c r="G9" i="27"/>
  <c r="N8" i="27"/>
  <c r="J8" i="27"/>
  <c r="G8" i="27"/>
  <c r="R7" i="27"/>
  <c r="N7" i="27"/>
  <c r="J7" i="27"/>
  <c r="G7" i="27"/>
  <c r="R6" i="27"/>
  <c r="N6" i="27"/>
  <c r="J6" i="27"/>
  <c r="G6" i="27"/>
  <c r="R5" i="27"/>
  <c r="N5" i="27"/>
  <c r="J5" i="27"/>
  <c r="G5" i="27"/>
  <c r="R4" i="27"/>
  <c r="N4" i="27"/>
  <c r="J4" i="27"/>
  <c r="G4" i="27"/>
  <c r="S13" i="26"/>
  <c r="S101" i="26"/>
  <c r="Q101" i="26"/>
  <c r="P101" i="26"/>
  <c r="O101" i="26"/>
  <c r="N101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H101" i="26"/>
  <c r="E101" i="26"/>
  <c r="D101" i="26"/>
  <c r="R100" i="26"/>
  <c r="N100" i="26"/>
  <c r="G100" i="26"/>
  <c r="L100" i="26"/>
  <c r="R99" i="26"/>
  <c r="N99" i="26"/>
  <c r="G99" i="26"/>
  <c r="L99" i="26"/>
  <c r="R98" i="26"/>
  <c r="N98" i="26"/>
  <c r="G98" i="26"/>
  <c r="L98" i="26"/>
  <c r="R97" i="26"/>
  <c r="N97" i="26"/>
  <c r="G97" i="26"/>
  <c r="L97" i="26"/>
  <c r="R96" i="26"/>
  <c r="N96" i="26"/>
  <c r="G96" i="26"/>
  <c r="L96" i="26"/>
  <c r="R95" i="26"/>
  <c r="N95" i="26"/>
  <c r="G95" i="26"/>
  <c r="L95" i="26"/>
  <c r="R94" i="26"/>
  <c r="N94" i="26"/>
  <c r="G94" i="26"/>
  <c r="L94" i="26"/>
  <c r="R93" i="26"/>
  <c r="N93" i="26"/>
  <c r="G93" i="26"/>
  <c r="L93" i="26"/>
  <c r="R92" i="26"/>
  <c r="N92" i="26"/>
  <c r="G92" i="26"/>
  <c r="L92" i="26"/>
  <c r="R91" i="26"/>
  <c r="N91" i="26"/>
  <c r="G91" i="26"/>
  <c r="L91" i="26"/>
  <c r="R90" i="26"/>
  <c r="N90" i="26"/>
  <c r="G90" i="26"/>
  <c r="L90" i="26"/>
  <c r="R89" i="26"/>
  <c r="N89" i="26"/>
  <c r="G89" i="26"/>
  <c r="L89" i="26"/>
  <c r="R88" i="26"/>
  <c r="N88" i="26"/>
  <c r="G88" i="26"/>
  <c r="L88" i="26"/>
  <c r="R87" i="26"/>
  <c r="N87" i="26"/>
  <c r="G87" i="26"/>
  <c r="L87" i="26"/>
  <c r="R86" i="26"/>
  <c r="N86" i="26"/>
  <c r="G86" i="26"/>
  <c r="L86" i="26"/>
  <c r="R85" i="26"/>
  <c r="N85" i="26"/>
  <c r="G85" i="26"/>
  <c r="L85" i="26"/>
  <c r="R84" i="26"/>
  <c r="N84" i="26"/>
  <c r="G84" i="26"/>
  <c r="L84" i="26"/>
  <c r="R83" i="26"/>
  <c r="N83" i="26"/>
  <c r="G83" i="26"/>
  <c r="L83" i="26"/>
  <c r="R82" i="26"/>
  <c r="N82" i="26"/>
  <c r="G82" i="26"/>
  <c r="L82" i="26"/>
  <c r="R81" i="26"/>
  <c r="N81" i="26"/>
  <c r="G81" i="26"/>
  <c r="L81" i="26"/>
  <c r="R80" i="26"/>
  <c r="N80" i="26"/>
  <c r="G80" i="26"/>
  <c r="L80" i="26"/>
  <c r="R79" i="26"/>
  <c r="N79" i="26"/>
  <c r="G79" i="26"/>
  <c r="L79" i="26"/>
  <c r="R78" i="26"/>
  <c r="N78" i="26"/>
  <c r="G78" i="26"/>
  <c r="L78" i="26"/>
  <c r="R77" i="26"/>
  <c r="N77" i="26"/>
  <c r="G77" i="26"/>
  <c r="L77" i="26"/>
  <c r="R76" i="26"/>
  <c r="N76" i="26"/>
  <c r="G76" i="26"/>
  <c r="L76" i="26"/>
  <c r="R75" i="26"/>
  <c r="N75" i="26"/>
  <c r="G75" i="26"/>
  <c r="L75" i="26"/>
  <c r="R74" i="26"/>
  <c r="N74" i="26"/>
  <c r="G74" i="26"/>
  <c r="L74" i="26"/>
  <c r="R73" i="26"/>
  <c r="N73" i="26"/>
  <c r="G73" i="26"/>
  <c r="L73" i="26"/>
  <c r="R72" i="26"/>
  <c r="N72" i="26"/>
  <c r="G72" i="26"/>
  <c r="L72" i="26"/>
  <c r="R71" i="26"/>
  <c r="N71" i="26"/>
  <c r="G71" i="26"/>
  <c r="L71" i="26"/>
  <c r="R70" i="26"/>
  <c r="N70" i="26"/>
  <c r="G70" i="26"/>
  <c r="L70" i="26"/>
  <c r="R69" i="26"/>
  <c r="N69" i="26"/>
  <c r="G69" i="26"/>
  <c r="L69" i="26"/>
  <c r="R68" i="26"/>
  <c r="N68" i="26"/>
  <c r="G68" i="26"/>
  <c r="L68" i="26"/>
  <c r="R67" i="26"/>
  <c r="N67" i="26"/>
  <c r="G67" i="26"/>
  <c r="L67" i="26"/>
  <c r="R66" i="26"/>
  <c r="N66" i="26"/>
  <c r="G66" i="26"/>
  <c r="L66" i="26"/>
  <c r="R65" i="26"/>
  <c r="N65" i="26"/>
  <c r="G65" i="26"/>
  <c r="L65" i="26"/>
  <c r="R64" i="26"/>
  <c r="N64" i="26"/>
  <c r="G64" i="26"/>
  <c r="L64" i="26"/>
  <c r="R63" i="26"/>
  <c r="N63" i="26"/>
  <c r="G63" i="26"/>
  <c r="L63" i="26"/>
  <c r="R62" i="26"/>
  <c r="N62" i="26"/>
  <c r="G62" i="26"/>
  <c r="L62" i="26"/>
  <c r="R61" i="26"/>
  <c r="N61" i="26"/>
  <c r="G61" i="26"/>
  <c r="L61" i="26"/>
  <c r="R60" i="26"/>
  <c r="N60" i="26"/>
  <c r="G60" i="26"/>
  <c r="L60" i="26"/>
  <c r="R59" i="26"/>
  <c r="N59" i="26"/>
  <c r="G59" i="26"/>
  <c r="L59" i="26"/>
  <c r="R58" i="26"/>
  <c r="N58" i="26"/>
  <c r="G58" i="26"/>
  <c r="L58" i="26"/>
  <c r="R57" i="26"/>
  <c r="N57" i="26"/>
  <c r="G57" i="26"/>
  <c r="L57" i="26"/>
  <c r="R56" i="26"/>
  <c r="N56" i="26"/>
  <c r="G56" i="26"/>
  <c r="L56" i="26"/>
  <c r="R55" i="26"/>
  <c r="N55" i="26"/>
  <c r="G55" i="26"/>
  <c r="L55" i="26"/>
  <c r="R54" i="26"/>
  <c r="N54" i="26"/>
  <c r="G54" i="26"/>
  <c r="L54" i="26"/>
  <c r="R53" i="26"/>
  <c r="N53" i="26"/>
  <c r="G53" i="26"/>
  <c r="L53" i="26"/>
  <c r="R52" i="26"/>
  <c r="N52" i="26"/>
  <c r="G52" i="26"/>
  <c r="L52" i="26"/>
  <c r="R51" i="26"/>
  <c r="N51" i="26"/>
  <c r="G51" i="26"/>
  <c r="L51" i="26"/>
  <c r="R50" i="26"/>
  <c r="N50" i="26"/>
  <c r="G50" i="26"/>
  <c r="L50" i="26"/>
  <c r="R49" i="26"/>
  <c r="N49" i="26"/>
  <c r="G49" i="26"/>
  <c r="L49" i="26"/>
  <c r="R48" i="26"/>
  <c r="N48" i="26"/>
  <c r="G48" i="26"/>
  <c r="L48" i="26"/>
  <c r="R47" i="26"/>
  <c r="N47" i="26"/>
  <c r="G47" i="26"/>
  <c r="L47" i="26"/>
  <c r="R46" i="26"/>
  <c r="N46" i="26"/>
  <c r="G46" i="26"/>
  <c r="L46" i="26"/>
  <c r="R45" i="26"/>
  <c r="N45" i="26"/>
  <c r="G45" i="26"/>
  <c r="L45" i="26"/>
  <c r="R44" i="26"/>
  <c r="N44" i="26"/>
  <c r="G44" i="26"/>
  <c r="L44" i="26"/>
  <c r="R43" i="26"/>
  <c r="N43" i="26"/>
  <c r="G43" i="26"/>
  <c r="L43" i="26"/>
  <c r="R42" i="26"/>
  <c r="N42" i="26"/>
  <c r="G42" i="26"/>
  <c r="L42" i="26"/>
  <c r="R41" i="26"/>
  <c r="N41" i="26"/>
  <c r="G41" i="26"/>
  <c r="L41" i="26"/>
  <c r="R40" i="26"/>
  <c r="N40" i="26"/>
  <c r="G40" i="26"/>
  <c r="L40" i="26"/>
  <c r="R39" i="26"/>
  <c r="N39" i="26"/>
  <c r="G39" i="26"/>
  <c r="L39" i="26"/>
  <c r="R38" i="26"/>
  <c r="N38" i="26"/>
  <c r="G38" i="26"/>
  <c r="L38" i="26"/>
  <c r="R37" i="26"/>
  <c r="N37" i="26"/>
  <c r="G37" i="26"/>
  <c r="L37" i="26"/>
  <c r="R36" i="26"/>
  <c r="N36" i="26"/>
  <c r="G36" i="26"/>
  <c r="L36" i="26"/>
  <c r="R35" i="26"/>
  <c r="N35" i="26"/>
  <c r="G35" i="26"/>
  <c r="L35" i="26"/>
  <c r="R34" i="26"/>
  <c r="N34" i="26"/>
  <c r="G34" i="26"/>
  <c r="L34" i="26"/>
  <c r="R33" i="26"/>
  <c r="N33" i="26"/>
  <c r="G33" i="26"/>
  <c r="L33" i="26"/>
  <c r="R32" i="26"/>
  <c r="N32" i="26"/>
  <c r="G32" i="26"/>
  <c r="L32" i="26"/>
  <c r="R31" i="26"/>
  <c r="N31" i="26"/>
  <c r="G31" i="26"/>
  <c r="L31" i="26"/>
  <c r="R30" i="26"/>
  <c r="N30" i="26"/>
  <c r="G30" i="26"/>
  <c r="L30" i="26"/>
  <c r="R29" i="26"/>
  <c r="N29" i="26"/>
  <c r="G29" i="26"/>
  <c r="L29" i="26"/>
  <c r="R28" i="26"/>
  <c r="N28" i="26"/>
  <c r="G28" i="26"/>
  <c r="L28" i="26"/>
  <c r="R27" i="26"/>
  <c r="N27" i="26"/>
  <c r="G27" i="26"/>
  <c r="L27" i="26"/>
  <c r="R26" i="26"/>
  <c r="N26" i="26"/>
  <c r="G26" i="26"/>
  <c r="L26" i="26"/>
  <c r="R25" i="26"/>
  <c r="N25" i="26"/>
  <c r="G25" i="26"/>
  <c r="L25" i="26"/>
  <c r="R24" i="26"/>
  <c r="N24" i="26"/>
  <c r="G24" i="26"/>
  <c r="L24" i="26"/>
  <c r="R23" i="26"/>
  <c r="N23" i="26"/>
  <c r="G23" i="26"/>
  <c r="L23" i="26"/>
  <c r="R22" i="26"/>
  <c r="N22" i="26"/>
  <c r="G22" i="26"/>
  <c r="L22" i="26"/>
  <c r="R21" i="26"/>
  <c r="N21" i="26"/>
  <c r="G21" i="26"/>
  <c r="L21" i="26"/>
  <c r="R20" i="26"/>
  <c r="N20" i="26"/>
  <c r="G20" i="26"/>
  <c r="L20" i="26"/>
  <c r="R19" i="26"/>
  <c r="N19" i="26"/>
  <c r="G19" i="26"/>
  <c r="L19" i="26"/>
  <c r="R18" i="26"/>
  <c r="N18" i="26"/>
  <c r="G18" i="26"/>
  <c r="L18" i="26"/>
  <c r="R17" i="26"/>
  <c r="N17" i="26"/>
  <c r="G17" i="26"/>
  <c r="L17" i="26"/>
  <c r="R16" i="26"/>
  <c r="N16" i="26"/>
  <c r="G16" i="26"/>
  <c r="L16" i="26"/>
  <c r="R15" i="26"/>
  <c r="N15" i="26"/>
  <c r="G15" i="26"/>
  <c r="L15" i="26"/>
  <c r="R14" i="26"/>
  <c r="N14" i="26"/>
  <c r="G14" i="26"/>
  <c r="L14" i="26"/>
  <c r="N13" i="26"/>
  <c r="G13" i="26"/>
  <c r="L13" i="26"/>
  <c r="R13" i="26"/>
  <c r="AA12" i="26"/>
  <c r="R12" i="26"/>
  <c r="N12" i="26"/>
  <c r="G12" i="26"/>
  <c r="L12" i="26"/>
  <c r="AA11" i="26"/>
  <c r="R11" i="26"/>
  <c r="N11" i="26"/>
  <c r="G11" i="26"/>
  <c r="L11" i="26"/>
  <c r="AA10" i="26"/>
  <c r="R10" i="26"/>
  <c r="N10" i="26"/>
  <c r="G10" i="26"/>
  <c r="L10" i="26"/>
  <c r="AA9" i="26"/>
  <c r="R9" i="26"/>
  <c r="N9" i="26"/>
  <c r="G9" i="26"/>
  <c r="L9" i="26"/>
  <c r="N8" i="26"/>
  <c r="G8" i="26"/>
  <c r="L8" i="26"/>
  <c r="R8" i="26"/>
  <c r="R7" i="26"/>
  <c r="N7" i="26"/>
  <c r="G7" i="26"/>
  <c r="L7" i="26"/>
  <c r="R6" i="26"/>
  <c r="N6" i="26"/>
  <c r="G6" i="26"/>
  <c r="L6" i="26"/>
  <c r="R5" i="26"/>
  <c r="N5" i="26"/>
  <c r="G5" i="26"/>
  <c r="L5" i="26"/>
  <c r="R4" i="26"/>
  <c r="N4" i="26"/>
  <c r="G4" i="26"/>
  <c r="S13" i="25"/>
  <c r="S101" i="25"/>
  <c r="Q101" i="25"/>
  <c r="P101" i="25"/>
  <c r="O101" i="25"/>
  <c r="N101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33" i="25"/>
  <c r="J34" i="25"/>
  <c r="J35" i="25"/>
  <c r="J36" i="25"/>
  <c r="J37" i="25"/>
  <c r="J38" i="25"/>
  <c r="J39" i="25"/>
  <c r="J40" i="25"/>
  <c r="J41" i="25"/>
  <c r="J42" i="25"/>
  <c r="J43" i="25"/>
  <c r="J44" i="25"/>
  <c r="J45" i="25"/>
  <c r="J46" i="25"/>
  <c r="J47" i="25"/>
  <c r="J48" i="25"/>
  <c r="J49" i="25"/>
  <c r="J50" i="25"/>
  <c r="J51" i="25"/>
  <c r="J52" i="25"/>
  <c r="J53" i="25"/>
  <c r="J54" i="25"/>
  <c r="J55" i="25"/>
  <c r="J56" i="25"/>
  <c r="J57" i="25"/>
  <c r="J58" i="25"/>
  <c r="J59" i="25"/>
  <c r="J60" i="25"/>
  <c r="J61" i="25"/>
  <c r="J62" i="25"/>
  <c r="J63" i="25"/>
  <c r="J64" i="25"/>
  <c r="J65" i="25"/>
  <c r="J66" i="25"/>
  <c r="J67" i="25"/>
  <c r="J68" i="25"/>
  <c r="J69" i="25"/>
  <c r="J70" i="25"/>
  <c r="J71" i="25"/>
  <c r="J72" i="25"/>
  <c r="J73" i="25"/>
  <c r="J74" i="25"/>
  <c r="J75" i="25"/>
  <c r="J76" i="25"/>
  <c r="J77" i="25"/>
  <c r="J78" i="25"/>
  <c r="J79" i="25"/>
  <c r="J80" i="25"/>
  <c r="J81" i="25"/>
  <c r="J82" i="25"/>
  <c r="J83" i="25"/>
  <c r="J84" i="25"/>
  <c r="J85" i="25"/>
  <c r="J86" i="25"/>
  <c r="J87" i="25"/>
  <c r="J88" i="25"/>
  <c r="J89" i="25"/>
  <c r="J90" i="25"/>
  <c r="J91" i="25"/>
  <c r="J92" i="25"/>
  <c r="J93" i="25"/>
  <c r="J94" i="25"/>
  <c r="J95" i="25"/>
  <c r="J96" i="25"/>
  <c r="J97" i="25"/>
  <c r="J98" i="25"/>
  <c r="J99" i="25"/>
  <c r="J100" i="25"/>
  <c r="J101" i="25"/>
  <c r="H101" i="25"/>
  <c r="E101" i="25"/>
  <c r="D101" i="25"/>
  <c r="R100" i="25"/>
  <c r="N100" i="25"/>
  <c r="G100" i="25"/>
  <c r="L100" i="25"/>
  <c r="R99" i="25"/>
  <c r="N99" i="25"/>
  <c r="G99" i="25"/>
  <c r="L99" i="25"/>
  <c r="R98" i="25"/>
  <c r="N98" i="25"/>
  <c r="G98" i="25"/>
  <c r="L98" i="25"/>
  <c r="R97" i="25"/>
  <c r="N97" i="25"/>
  <c r="G97" i="25"/>
  <c r="L97" i="25"/>
  <c r="R96" i="25"/>
  <c r="N96" i="25"/>
  <c r="G96" i="25"/>
  <c r="L96" i="25"/>
  <c r="R95" i="25"/>
  <c r="N95" i="25"/>
  <c r="G95" i="25"/>
  <c r="L95" i="25"/>
  <c r="R94" i="25"/>
  <c r="N94" i="25"/>
  <c r="G94" i="25"/>
  <c r="L94" i="25"/>
  <c r="R93" i="25"/>
  <c r="N93" i="25"/>
  <c r="G93" i="25"/>
  <c r="L93" i="25"/>
  <c r="R92" i="25"/>
  <c r="N92" i="25"/>
  <c r="G92" i="25"/>
  <c r="L92" i="25"/>
  <c r="R91" i="25"/>
  <c r="N91" i="25"/>
  <c r="G91" i="25"/>
  <c r="L91" i="25"/>
  <c r="R90" i="25"/>
  <c r="N90" i="25"/>
  <c r="G90" i="25"/>
  <c r="L90" i="25"/>
  <c r="R89" i="25"/>
  <c r="N89" i="25"/>
  <c r="G89" i="25"/>
  <c r="L89" i="25"/>
  <c r="R88" i="25"/>
  <c r="N88" i="25"/>
  <c r="G88" i="25"/>
  <c r="L88" i="25"/>
  <c r="R87" i="25"/>
  <c r="N87" i="25"/>
  <c r="G87" i="25"/>
  <c r="L87" i="25"/>
  <c r="R86" i="25"/>
  <c r="N86" i="25"/>
  <c r="G86" i="25"/>
  <c r="L86" i="25"/>
  <c r="R85" i="25"/>
  <c r="N85" i="25"/>
  <c r="G85" i="25"/>
  <c r="L85" i="25"/>
  <c r="R84" i="25"/>
  <c r="N84" i="25"/>
  <c r="G84" i="25"/>
  <c r="L84" i="25"/>
  <c r="R83" i="25"/>
  <c r="N83" i="25"/>
  <c r="G83" i="25"/>
  <c r="L83" i="25"/>
  <c r="R82" i="25"/>
  <c r="N82" i="25"/>
  <c r="G82" i="25"/>
  <c r="L82" i="25"/>
  <c r="R81" i="25"/>
  <c r="N81" i="25"/>
  <c r="G81" i="25"/>
  <c r="L81" i="25"/>
  <c r="R80" i="25"/>
  <c r="N80" i="25"/>
  <c r="G80" i="25"/>
  <c r="L80" i="25"/>
  <c r="R79" i="25"/>
  <c r="N79" i="25"/>
  <c r="G79" i="25"/>
  <c r="L79" i="25"/>
  <c r="R78" i="25"/>
  <c r="N78" i="25"/>
  <c r="G78" i="25"/>
  <c r="L78" i="25"/>
  <c r="R77" i="25"/>
  <c r="N77" i="25"/>
  <c r="G77" i="25"/>
  <c r="L77" i="25"/>
  <c r="R76" i="25"/>
  <c r="N76" i="25"/>
  <c r="G76" i="25"/>
  <c r="L76" i="25"/>
  <c r="R75" i="25"/>
  <c r="N75" i="25"/>
  <c r="G75" i="25"/>
  <c r="L75" i="25"/>
  <c r="R74" i="25"/>
  <c r="N74" i="25"/>
  <c r="G74" i="25"/>
  <c r="L74" i="25"/>
  <c r="R73" i="25"/>
  <c r="N73" i="25"/>
  <c r="G73" i="25"/>
  <c r="L73" i="25"/>
  <c r="R72" i="25"/>
  <c r="N72" i="25"/>
  <c r="G72" i="25"/>
  <c r="L72" i="25"/>
  <c r="R71" i="25"/>
  <c r="N71" i="25"/>
  <c r="G71" i="25"/>
  <c r="L71" i="25"/>
  <c r="R70" i="25"/>
  <c r="N70" i="25"/>
  <c r="G70" i="25"/>
  <c r="L70" i="25"/>
  <c r="R69" i="25"/>
  <c r="N69" i="25"/>
  <c r="G69" i="25"/>
  <c r="L69" i="25"/>
  <c r="R68" i="25"/>
  <c r="N68" i="25"/>
  <c r="G68" i="25"/>
  <c r="L68" i="25"/>
  <c r="R67" i="25"/>
  <c r="N67" i="25"/>
  <c r="G67" i="25"/>
  <c r="L67" i="25"/>
  <c r="R66" i="25"/>
  <c r="N66" i="25"/>
  <c r="G66" i="25"/>
  <c r="L66" i="25"/>
  <c r="R65" i="25"/>
  <c r="N65" i="25"/>
  <c r="G65" i="25"/>
  <c r="L65" i="25"/>
  <c r="R64" i="25"/>
  <c r="N64" i="25"/>
  <c r="G64" i="25"/>
  <c r="L64" i="25"/>
  <c r="R63" i="25"/>
  <c r="N63" i="25"/>
  <c r="G63" i="25"/>
  <c r="L63" i="25"/>
  <c r="R62" i="25"/>
  <c r="N62" i="25"/>
  <c r="G62" i="25"/>
  <c r="L62" i="25"/>
  <c r="R61" i="25"/>
  <c r="N61" i="25"/>
  <c r="G61" i="25"/>
  <c r="L61" i="25"/>
  <c r="R60" i="25"/>
  <c r="N60" i="25"/>
  <c r="G60" i="25"/>
  <c r="L60" i="25"/>
  <c r="R59" i="25"/>
  <c r="N59" i="25"/>
  <c r="G59" i="25"/>
  <c r="L59" i="25"/>
  <c r="R58" i="25"/>
  <c r="N58" i="25"/>
  <c r="G58" i="25"/>
  <c r="L58" i="25"/>
  <c r="R57" i="25"/>
  <c r="N57" i="25"/>
  <c r="G57" i="25"/>
  <c r="L57" i="25"/>
  <c r="R56" i="25"/>
  <c r="N56" i="25"/>
  <c r="G56" i="25"/>
  <c r="L56" i="25"/>
  <c r="R55" i="25"/>
  <c r="N55" i="25"/>
  <c r="G55" i="25"/>
  <c r="L55" i="25"/>
  <c r="R54" i="25"/>
  <c r="N54" i="25"/>
  <c r="G54" i="25"/>
  <c r="L54" i="25"/>
  <c r="R53" i="25"/>
  <c r="N53" i="25"/>
  <c r="G53" i="25"/>
  <c r="L53" i="25"/>
  <c r="R52" i="25"/>
  <c r="N52" i="25"/>
  <c r="G52" i="25"/>
  <c r="L52" i="25"/>
  <c r="R51" i="25"/>
  <c r="N51" i="25"/>
  <c r="G51" i="25"/>
  <c r="L51" i="25"/>
  <c r="R50" i="25"/>
  <c r="N50" i="25"/>
  <c r="G50" i="25"/>
  <c r="L50" i="25"/>
  <c r="R49" i="25"/>
  <c r="N49" i="25"/>
  <c r="G49" i="25"/>
  <c r="L49" i="25"/>
  <c r="R48" i="25"/>
  <c r="N48" i="25"/>
  <c r="G48" i="25"/>
  <c r="L48" i="25"/>
  <c r="R47" i="25"/>
  <c r="N47" i="25"/>
  <c r="G47" i="25"/>
  <c r="L47" i="25"/>
  <c r="R46" i="25"/>
  <c r="N46" i="25"/>
  <c r="G46" i="25"/>
  <c r="L46" i="25"/>
  <c r="R45" i="25"/>
  <c r="N45" i="25"/>
  <c r="G45" i="25"/>
  <c r="L45" i="25"/>
  <c r="R44" i="25"/>
  <c r="N44" i="25"/>
  <c r="G44" i="25"/>
  <c r="L44" i="25"/>
  <c r="R43" i="25"/>
  <c r="N43" i="25"/>
  <c r="G43" i="25"/>
  <c r="L43" i="25"/>
  <c r="R42" i="25"/>
  <c r="N42" i="25"/>
  <c r="G42" i="25"/>
  <c r="L42" i="25"/>
  <c r="R41" i="25"/>
  <c r="N41" i="25"/>
  <c r="G41" i="25"/>
  <c r="L41" i="25"/>
  <c r="R40" i="25"/>
  <c r="N40" i="25"/>
  <c r="G40" i="25"/>
  <c r="L40" i="25"/>
  <c r="R39" i="25"/>
  <c r="N39" i="25"/>
  <c r="G39" i="25"/>
  <c r="L39" i="25"/>
  <c r="R38" i="25"/>
  <c r="N38" i="25"/>
  <c r="G38" i="25"/>
  <c r="L38" i="25"/>
  <c r="R37" i="25"/>
  <c r="N37" i="25"/>
  <c r="G37" i="25"/>
  <c r="L37" i="25"/>
  <c r="R36" i="25"/>
  <c r="N36" i="25"/>
  <c r="G36" i="25"/>
  <c r="L36" i="25"/>
  <c r="R35" i="25"/>
  <c r="N35" i="25"/>
  <c r="G35" i="25"/>
  <c r="L35" i="25"/>
  <c r="R34" i="25"/>
  <c r="N34" i="25"/>
  <c r="G34" i="25"/>
  <c r="L34" i="25"/>
  <c r="R33" i="25"/>
  <c r="N33" i="25"/>
  <c r="G33" i="25"/>
  <c r="L33" i="25"/>
  <c r="R32" i="25"/>
  <c r="N32" i="25"/>
  <c r="G32" i="25"/>
  <c r="L32" i="25"/>
  <c r="R31" i="25"/>
  <c r="N31" i="25"/>
  <c r="G31" i="25"/>
  <c r="L31" i="25"/>
  <c r="R30" i="25"/>
  <c r="N30" i="25"/>
  <c r="G30" i="25"/>
  <c r="L30" i="25"/>
  <c r="R29" i="25"/>
  <c r="N29" i="25"/>
  <c r="G29" i="25"/>
  <c r="L29" i="25"/>
  <c r="R28" i="25"/>
  <c r="N28" i="25"/>
  <c r="G28" i="25"/>
  <c r="L28" i="25"/>
  <c r="R27" i="25"/>
  <c r="N27" i="25"/>
  <c r="G27" i="25"/>
  <c r="L27" i="25"/>
  <c r="R26" i="25"/>
  <c r="N26" i="25"/>
  <c r="G26" i="25"/>
  <c r="L26" i="25"/>
  <c r="R25" i="25"/>
  <c r="N25" i="25"/>
  <c r="G25" i="25"/>
  <c r="L25" i="25"/>
  <c r="R24" i="25"/>
  <c r="N24" i="25"/>
  <c r="G24" i="25"/>
  <c r="L24" i="25"/>
  <c r="R23" i="25"/>
  <c r="N23" i="25"/>
  <c r="G23" i="25"/>
  <c r="L23" i="25"/>
  <c r="R22" i="25"/>
  <c r="N22" i="25"/>
  <c r="G22" i="25"/>
  <c r="L22" i="25"/>
  <c r="R21" i="25"/>
  <c r="N21" i="25"/>
  <c r="G21" i="25"/>
  <c r="L21" i="25"/>
  <c r="R20" i="25"/>
  <c r="N20" i="25"/>
  <c r="G20" i="25"/>
  <c r="L20" i="25"/>
  <c r="R19" i="25"/>
  <c r="N19" i="25"/>
  <c r="G19" i="25"/>
  <c r="L19" i="25"/>
  <c r="R18" i="25"/>
  <c r="N18" i="25"/>
  <c r="G18" i="25"/>
  <c r="L18" i="25"/>
  <c r="R17" i="25"/>
  <c r="N17" i="25"/>
  <c r="G17" i="25"/>
  <c r="L17" i="25"/>
  <c r="R16" i="25"/>
  <c r="N16" i="25"/>
  <c r="G16" i="25"/>
  <c r="L16" i="25"/>
  <c r="R15" i="25"/>
  <c r="N15" i="25"/>
  <c r="G15" i="25"/>
  <c r="L15" i="25"/>
  <c r="R14" i="25"/>
  <c r="N14" i="25"/>
  <c r="G14" i="25"/>
  <c r="L14" i="25"/>
  <c r="N13" i="25"/>
  <c r="G13" i="25"/>
  <c r="L13" i="25"/>
  <c r="R13" i="25"/>
  <c r="AA12" i="25"/>
  <c r="R12" i="25"/>
  <c r="N12" i="25"/>
  <c r="G12" i="25"/>
  <c r="L12" i="25"/>
  <c r="AA11" i="25"/>
  <c r="R11" i="25"/>
  <c r="N11" i="25"/>
  <c r="G11" i="25"/>
  <c r="L11" i="25"/>
  <c r="AA10" i="25"/>
  <c r="R10" i="25"/>
  <c r="N10" i="25"/>
  <c r="G10" i="25"/>
  <c r="L10" i="25"/>
  <c r="AA9" i="25"/>
  <c r="R9" i="25"/>
  <c r="N9" i="25"/>
  <c r="G9" i="25"/>
  <c r="L9" i="25"/>
  <c r="N8" i="25"/>
  <c r="G8" i="25"/>
  <c r="L8" i="25"/>
  <c r="R8" i="25"/>
  <c r="R7" i="25"/>
  <c r="N7" i="25"/>
  <c r="G7" i="25"/>
  <c r="L7" i="25"/>
  <c r="R6" i="25"/>
  <c r="N6" i="25"/>
  <c r="G6" i="25"/>
  <c r="L6" i="25"/>
  <c r="R5" i="25"/>
  <c r="N5" i="25"/>
  <c r="G5" i="25"/>
  <c r="L5" i="25"/>
  <c r="R4" i="25"/>
  <c r="N4" i="25"/>
  <c r="G4" i="25"/>
  <c r="S13" i="24"/>
  <c r="S101" i="24"/>
  <c r="Q101" i="24"/>
  <c r="P101" i="24"/>
  <c r="O101" i="24"/>
  <c r="N101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H101" i="24"/>
  <c r="E101" i="24"/>
  <c r="D101" i="24"/>
  <c r="R100" i="24"/>
  <c r="N100" i="24"/>
  <c r="G100" i="24"/>
  <c r="L100" i="24"/>
  <c r="R99" i="24"/>
  <c r="N99" i="24"/>
  <c r="G99" i="24"/>
  <c r="L99" i="24"/>
  <c r="R98" i="24"/>
  <c r="N98" i="24"/>
  <c r="G98" i="24"/>
  <c r="L98" i="24"/>
  <c r="R97" i="24"/>
  <c r="N97" i="24"/>
  <c r="G97" i="24"/>
  <c r="L97" i="24"/>
  <c r="R96" i="24"/>
  <c r="N96" i="24"/>
  <c r="G96" i="24"/>
  <c r="L96" i="24"/>
  <c r="R95" i="24"/>
  <c r="N95" i="24"/>
  <c r="G95" i="24"/>
  <c r="L95" i="24"/>
  <c r="R94" i="24"/>
  <c r="N94" i="24"/>
  <c r="G94" i="24"/>
  <c r="L94" i="24"/>
  <c r="R93" i="24"/>
  <c r="N93" i="24"/>
  <c r="G93" i="24"/>
  <c r="L93" i="24"/>
  <c r="R92" i="24"/>
  <c r="N92" i="24"/>
  <c r="G92" i="24"/>
  <c r="L92" i="24"/>
  <c r="R91" i="24"/>
  <c r="N91" i="24"/>
  <c r="G91" i="24"/>
  <c r="L91" i="24"/>
  <c r="R90" i="24"/>
  <c r="N90" i="24"/>
  <c r="G90" i="24"/>
  <c r="L90" i="24"/>
  <c r="R89" i="24"/>
  <c r="N89" i="24"/>
  <c r="G89" i="24"/>
  <c r="L89" i="24"/>
  <c r="R88" i="24"/>
  <c r="N88" i="24"/>
  <c r="G88" i="24"/>
  <c r="L88" i="24"/>
  <c r="R87" i="24"/>
  <c r="N87" i="24"/>
  <c r="G87" i="24"/>
  <c r="L87" i="24"/>
  <c r="R86" i="24"/>
  <c r="N86" i="24"/>
  <c r="G86" i="24"/>
  <c r="L86" i="24"/>
  <c r="R85" i="24"/>
  <c r="N85" i="24"/>
  <c r="G85" i="24"/>
  <c r="L85" i="24"/>
  <c r="R84" i="24"/>
  <c r="N84" i="24"/>
  <c r="G84" i="24"/>
  <c r="L84" i="24"/>
  <c r="R83" i="24"/>
  <c r="N83" i="24"/>
  <c r="G83" i="24"/>
  <c r="L83" i="24"/>
  <c r="R82" i="24"/>
  <c r="N82" i="24"/>
  <c r="G82" i="24"/>
  <c r="L82" i="24"/>
  <c r="R81" i="24"/>
  <c r="N81" i="24"/>
  <c r="G81" i="24"/>
  <c r="L81" i="24"/>
  <c r="R80" i="24"/>
  <c r="N80" i="24"/>
  <c r="G80" i="24"/>
  <c r="L80" i="24"/>
  <c r="R79" i="24"/>
  <c r="N79" i="24"/>
  <c r="G79" i="24"/>
  <c r="L79" i="24"/>
  <c r="R78" i="24"/>
  <c r="N78" i="24"/>
  <c r="G78" i="24"/>
  <c r="L78" i="24"/>
  <c r="R77" i="24"/>
  <c r="N77" i="24"/>
  <c r="G77" i="24"/>
  <c r="L77" i="24"/>
  <c r="R76" i="24"/>
  <c r="N76" i="24"/>
  <c r="G76" i="24"/>
  <c r="L76" i="24"/>
  <c r="R75" i="24"/>
  <c r="N75" i="24"/>
  <c r="G75" i="24"/>
  <c r="L75" i="24"/>
  <c r="R74" i="24"/>
  <c r="N74" i="24"/>
  <c r="G74" i="24"/>
  <c r="L74" i="24"/>
  <c r="R73" i="24"/>
  <c r="N73" i="24"/>
  <c r="G73" i="24"/>
  <c r="L73" i="24"/>
  <c r="R72" i="24"/>
  <c r="N72" i="24"/>
  <c r="G72" i="24"/>
  <c r="L72" i="24"/>
  <c r="R71" i="24"/>
  <c r="N71" i="24"/>
  <c r="G71" i="24"/>
  <c r="L71" i="24"/>
  <c r="R70" i="24"/>
  <c r="N70" i="24"/>
  <c r="G70" i="24"/>
  <c r="L70" i="24"/>
  <c r="R69" i="24"/>
  <c r="N69" i="24"/>
  <c r="G69" i="24"/>
  <c r="L69" i="24"/>
  <c r="R68" i="24"/>
  <c r="N68" i="24"/>
  <c r="G68" i="24"/>
  <c r="L68" i="24"/>
  <c r="R67" i="24"/>
  <c r="N67" i="24"/>
  <c r="G67" i="24"/>
  <c r="L67" i="24"/>
  <c r="R66" i="24"/>
  <c r="N66" i="24"/>
  <c r="G66" i="24"/>
  <c r="L66" i="24"/>
  <c r="R65" i="24"/>
  <c r="N65" i="24"/>
  <c r="G65" i="24"/>
  <c r="L65" i="24"/>
  <c r="R64" i="24"/>
  <c r="N64" i="24"/>
  <c r="G64" i="24"/>
  <c r="L64" i="24"/>
  <c r="R63" i="24"/>
  <c r="N63" i="24"/>
  <c r="G63" i="24"/>
  <c r="L63" i="24"/>
  <c r="R62" i="24"/>
  <c r="N62" i="24"/>
  <c r="G62" i="24"/>
  <c r="L62" i="24"/>
  <c r="R61" i="24"/>
  <c r="N61" i="24"/>
  <c r="G61" i="24"/>
  <c r="L61" i="24"/>
  <c r="R60" i="24"/>
  <c r="N60" i="24"/>
  <c r="G60" i="24"/>
  <c r="L60" i="24"/>
  <c r="R59" i="24"/>
  <c r="N59" i="24"/>
  <c r="G59" i="24"/>
  <c r="L59" i="24"/>
  <c r="R58" i="24"/>
  <c r="N58" i="24"/>
  <c r="G58" i="24"/>
  <c r="L58" i="24"/>
  <c r="R57" i="24"/>
  <c r="N57" i="24"/>
  <c r="G57" i="24"/>
  <c r="L57" i="24"/>
  <c r="R56" i="24"/>
  <c r="N56" i="24"/>
  <c r="G56" i="24"/>
  <c r="L56" i="24"/>
  <c r="R55" i="24"/>
  <c r="N55" i="24"/>
  <c r="G55" i="24"/>
  <c r="L55" i="24"/>
  <c r="R54" i="24"/>
  <c r="N54" i="24"/>
  <c r="G54" i="24"/>
  <c r="L54" i="24"/>
  <c r="R53" i="24"/>
  <c r="N53" i="24"/>
  <c r="G53" i="24"/>
  <c r="L53" i="24"/>
  <c r="R52" i="24"/>
  <c r="N52" i="24"/>
  <c r="G52" i="24"/>
  <c r="L52" i="24"/>
  <c r="R51" i="24"/>
  <c r="N51" i="24"/>
  <c r="G51" i="24"/>
  <c r="L51" i="24"/>
  <c r="R50" i="24"/>
  <c r="N50" i="24"/>
  <c r="G50" i="24"/>
  <c r="L50" i="24"/>
  <c r="R49" i="24"/>
  <c r="N49" i="24"/>
  <c r="G49" i="24"/>
  <c r="L49" i="24"/>
  <c r="R48" i="24"/>
  <c r="N48" i="24"/>
  <c r="G48" i="24"/>
  <c r="L48" i="24"/>
  <c r="R47" i="24"/>
  <c r="N47" i="24"/>
  <c r="G47" i="24"/>
  <c r="L47" i="24"/>
  <c r="R46" i="24"/>
  <c r="N46" i="24"/>
  <c r="G46" i="24"/>
  <c r="L46" i="24"/>
  <c r="R45" i="24"/>
  <c r="N45" i="24"/>
  <c r="G45" i="24"/>
  <c r="L45" i="24"/>
  <c r="R44" i="24"/>
  <c r="N44" i="24"/>
  <c r="G44" i="24"/>
  <c r="L44" i="24"/>
  <c r="R43" i="24"/>
  <c r="N43" i="24"/>
  <c r="G43" i="24"/>
  <c r="R42" i="24"/>
  <c r="N42" i="24"/>
  <c r="G42" i="24"/>
  <c r="L42" i="24"/>
  <c r="R41" i="24"/>
  <c r="N41" i="24"/>
  <c r="G41" i="24"/>
  <c r="L41" i="24"/>
  <c r="R40" i="24"/>
  <c r="N40" i="24"/>
  <c r="G40" i="24"/>
  <c r="L40" i="24"/>
  <c r="R39" i="24"/>
  <c r="N39" i="24"/>
  <c r="G39" i="24"/>
  <c r="L39" i="24"/>
  <c r="R38" i="24"/>
  <c r="N38" i="24"/>
  <c r="G38" i="24"/>
  <c r="L38" i="24"/>
  <c r="R37" i="24"/>
  <c r="N37" i="24"/>
  <c r="G37" i="24"/>
  <c r="L37" i="24"/>
  <c r="R36" i="24"/>
  <c r="N36" i="24"/>
  <c r="G36" i="24"/>
  <c r="L36" i="24"/>
  <c r="R35" i="24"/>
  <c r="N35" i="24"/>
  <c r="G35" i="24"/>
  <c r="L35" i="24"/>
  <c r="R34" i="24"/>
  <c r="N34" i="24"/>
  <c r="G34" i="24"/>
  <c r="L34" i="24"/>
  <c r="R33" i="24"/>
  <c r="N33" i="24"/>
  <c r="G33" i="24"/>
  <c r="L33" i="24"/>
  <c r="R32" i="24"/>
  <c r="N32" i="24"/>
  <c r="G32" i="24"/>
  <c r="L32" i="24"/>
  <c r="R31" i="24"/>
  <c r="N31" i="24"/>
  <c r="G31" i="24"/>
  <c r="L31" i="24"/>
  <c r="R30" i="24"/>
  <c r="N30" i="24"/>
  <c r="G30" i="24"/>
  <c r="L30" i="24"/>
  <c r="R29" i="24"/>
  <c r="N29" i="24"/>
  <c r="G29" i="24"/>
  <c r="L29" i="24"/>
  <c r="R28" i="24"/>
  <c r="N28" i="24"/>
  <c r="G28" i="24"/>
  <c r="L28" i="24"/>
  <c r="R27" i="24"/>
  <c r="N27" i="24"/>
  <c r="G27" i="24"/>
  <c r="L27" i="24"/>
  <c r="R26" i="24"/>
  <c r="N26" i="24"/>
  <c r="G26" i="24"/>
  <c r="L26" i="24"/>
  <c r="R25" i="24"/>
  <c r="N25" i="24"/>
  <c r="G25" i="24"/>
  <c r="L25" i="24"/>
  <c r="R24" i="24"/>
  <c r="N24" i="24"/>
  <c r="G24" i="24"/>
  <c r="L24" i="24"/>
  <c r="R23" i="24"/>
  <c r="N23" i="24"/>
  <c r="G23" i="24"/>
  <c r="L23" i="24"/>
  <c r="R22" i="24"/>
  <c r="N22" i="24"/>
  <c r="G22" i="24"/>
  <c r="L22" i="24"/>
  <c r="R21" i="24"/>
  <c r="N21" i="24"/>
  <c r="G21" i="24"/>
  <c r="L21" i="24"/>
  <c r="R20" i="24"/>
  <c r="N20" i="24"/>
  <c r="G20" i="24"/>
  <c r="L20" i="24"/>
  <c r="R19" i="24"/>
  <c r="N19" i="24"/>
  <c r="G19" i="24"/>
  <c r="L19" i="24"/>
  <c r="R18" i="24"/>
  <c r="N18" i="24"/>
  <c r="G18" i="24"/>
  <c r="L18" i="24"/>
  <c r="R17" i="24"/>
  <c r="N17" i="24"/>
  <c r="G17" i="24"/>
  <c r="L17" i="24"/>
  <c r="R16" i="24"/>
  <c r="N16" i="24"/>
  <c r="G16" i="24"/>
  <c r="L16" i="24"/>
  <c r="R15" i="24"/>
  <c r="N15" i="24"/>
  <c r="G15" i="24"/>
  <c r="L15" i="24"/>
  <c r="R14" i="24"/>
  <c r="N14" i="24"/>
  <c r="G14" i="24"/>
  <c r="L14" i="24"/>
  <c r="N13" i="24"/>
  <c r="G13" i="24"/>
  <c r="L13" i="24"/>
  <c r="R13" i="24"/>
  <c r="AA12" i="24"/>
  <c r="R12" i="24"/>
  <c r="N12" i="24"/>
  <c r="G12" i="24"/>
  <c r="L12" i="24"/>
  <c r="AA11" i="24"/>
  <c r="R11" i="24"/>
  <c r="N11" i="24"/>
  <c r="G11" i="24"/>
  <c r="L11" i="24"/>
  <c r="AA10" i="24"/>
  <c r="R10" i="24"/>
  <c r="N10" i="24"/>
  <c r="G10" i="24"/>
  <c r="L10" i="24"/>
  <c r="AA9" i="24"/>
  <c r="R9" i="24"/>
  <c r="N9" i="24"/>
  <c r="G9" i="24"/>
  <c r="L9" i="24"/>
  <c r="N8" i="24"/>
  <c r="G8" i="24"/>
  <c r="L8" i="24"/>
  <c r="R8" i="24"/>
  <c r="R7" i="24"/>
  <c r="N7" i="24"/>
  <c r="G7" i="24"/>
  <c r="L7" i="24"/>
  <c r="R6" i="24"/>
  <c r="N6" i="24"/>
  <c r="G6" i="24"/>
  <c r="L6" i="24"/>
  <c r="R5" i="24"/>
  <c r="N5" i="24"/>
  <c r="G5" i="24"/>
  <c r="L5" i="24"/>
  <c r="R4" i="24"/>
  <c r="N4" i="24"/>
  <c r="G4" i="24"/>
  <c r="L4" i="24"/>
  <c r="Q101" i="29"/>
  <c r="P101" i="29"/>
  <c r="O101" i="29"/>
  <c r="N101" i="29"/>
  <c r="H101" i="29"/>
  <c r="E101" i="29"/>
  <c r="D101" i="29"/>
  <c r="R100" i="29"/>
  <c r="N100" i="29"/>
  <c r="J100" i="29"/>
  <c r="G100" i="29"/>
  <c r="L100" i="29"/>
  <c r="R99" i="29"/>
  <c r="N99" i="29"/>
  <c r="J99" i="29"/>
  <c r="G99" i="29"/>
  <c r="L99" i="29"/>
  <c r="R98" i="29"/>
  <c r="N98" i="29"/>
  <c r="J98" i="29"/>
  <c r="G98" i="29"/>
  <c r="R97" i="29"/>
  <c r="N97" i="29"/>
  <c r="J97" i="29"/>
  <c r="G97" i="29"/>
  <c r="L97" i="29"/>
  <c r="R96" i="29"/>
  <c r="N96" i="29"/>
  <c r="J96" i="29"/>
  <c r="G96" i="29"/>
  <c r="L96" i="29"/>
  <c r="R95" i="29"/>
  <c r="N95" i="29"/>
  <c r="J95" i="29"/>
  <c r="G95" i="29"/>
  <c r="L95" i="29"/>
  <c r="R94" i="29"/>
  <c r="N94" i="29"/>
  <c r="J94" i="29"/>
  <c r="G94" i="29"/>
  <c r="R93" i="29"/>
  <c r="N93" i="29"/>
  <c r="J93" i="29"/>
  <c r="G93" i="29"/>
  <c r="L93" i="29"/>
  <c r="R92" i="29"/>
  <c r="N92" i="29"/>
  <c r="J92" i="29"/>
  <c r="G92" i="29"/>
  <c r="L92" i="29"/>
  <c r="R91" i="29"/>
  <c r="N91" i="29"/>
  <c r="J91" i="29"/>
  <c r="G91" i="29"/>
  <c r="L91" i="29"/>
  <c r="R90" i="29"/>
  <c r="N90" i="29"/>
  <c r="J90" i="29"/>
  <c r="G90" i="29"/>
  <c r="R89" i="29"/>
  <c r="N89" i="29"/>
  <c r="J89" i="29"/>
  <c r="G89" i="29"/>
  <c r="R88" i="29"/>
  <c r="N88" i="29"/>
  <c r="J88" i="29"/>
  <c r="G88" i="29"/>
  <c r="R87" i="29"/>
  <c r="N87" i="29"/>
  <c r="J87" i="29"/>
  <c r="G87" i="29"/>
  <c r="R86" i="29"/>
  <c r="N86" i="29"/>
  <c r="J86" i="29"/>
  <c r="G86" i="29"/>
  <c r="L86" i="29"/>
  <c r="R85" i="29"/>
  <c r="N85" i="29"/>
  <c r="J85" i="29"/>
  <c r="G85" i="29"/>
  <c r="L85" i="29"/>
  <c r="R84" i="29"/>
  <c r="N84" i="29"/>
  <c r="J84" i="29"/>
  <c r="G84" i="29"/>
  <c r="L84" i="29"/>
  <c r="R83" i="29"/>
  <c r="N83" i="29"/>
  <c r="J83" i="29"/>
  <c r="G83" i="29"/>
  <c r="R82" i="29"/>
  <c r="N82" i="29"/>
  <c r="J82" i="29"/>
  <c r="G82" i="29"/>
  <c r="R81" i="29"/>
  <c r="N81" i="29"/>
  <c r="J81" i="29"/>
  <c r="G81" i="29"/>
  <c r="R80" i="29"/>
  <c r="N80" i="29"/>
  <c r="J80" i="29"/>
  <c r="G80" i="29"/>
  <c r="R79" i="29"/>
  <c r="N79" i="29"/>
  <c r="J79" i="29"/>
  <c r="G79" i="29"/>
  <c r="L79" i="29"/>
  <c r="R78" i="29"/>
  <c r="N78" i="29"/>
  <c r="J78" i="29"/>
  <c r="G78" i="29"/>
  <c r="R77" i="29"/>
  <c r="N77" i="29"/>
  <c r="J77" i="29"/>
  <c r="G77" i="29"/>
  <c r="R76" i="29"/>
  <c r="N76" i="29"/>
  <c r="J76" i="29"/>
  <c r="G76" i="29"/>
  <c r="R75" i="29"/>
  <c r="N75" i="29"/>
  <c r="J75" i="29"/>
  <c r="G75" i="29"/>
  <c r="R74" i="29"/>
  <c r="N74" i="29"/>
  <c r="J74" i="29"/>
  <c r="G74" i="29"/>
  <c r="R73" i="29"/>
  <c r="N73" i="29"/>
  <c r="J73" i="29"/>
  <c r="G73" i="29"/>
  <c r="R72" i="29"/>
  <c r="N72" i="29"/>
  <c r="J72" i="29"/>
  <c r="G72" i="29"/>
  <c r="R71" i="29"/>
  <c r="N71" i="29"/>
  <c r="J71" i="29"/>
  <c r="G71" i="29"/>
  <c r="R70" i="29"/>
  <c r="N70" i="29"/>
  <c r="J70" i="29"/>
  <c r="G70" i="29"/>
  <c r="R69" i="29"/>
  <c r="N69" i="29"/>
  <c r="J69" i="29"/>
  <c r="G69" i="29"/>
  <c r="R68" i="29"/>
  <c r="N68" i="29"/>
  <c r="J68" i="29"/>
  <c r="G68" i="29"/>
  <c r="R67" i="29"/>
  <c r="N67" i="29"/>
  <c r="J67" i="29"/>
  <c r="G67" i="29"/>
  <c r="R66" i="29"/>
  <c r="N66" i="29"/>
  <c r="J66" i="29"/>
  <c r="G66" i="29"/>
  <c r="R65" i="29"/>
  <c r="N65" i="29"/>
  <c r="J65" i="29"/>
  <c r="G65" i="29"/>
  <c r="R64" i="29"/>
  <c r="N64" i="29"/>
  <c r="J64" i="29"/>
  <c r="G64" i="29"/>
  <c r="L64" i="29"/>
  <c r="R63" i="29"/>
  <c r="N63" i="29"/>
  <c r="J63" i="29"/>
  <c r="G63" i="29"/>
  <c r="L63" i="29"/>
  <c r="R62" i="29"/>
  <c r="N62" i="29"/>
  <c r="J62" i="29"/>
  <c r="G62" i="29"/>
  <c r="L62" i="29"/>
  <c r="R61" i="29"/>
  <c r="N61" i="29"/>
  <c r="J61" i="29"/>
  <c r="G61" i="29"/>
  <c r="L61" i="29"/>
  <c r="R60" i="29"/>
  <c r="N60" i="29"/>
  <c r="J60" i="29"/>
  <c r="G60" i="29"/>
  <c r="L60" i="29"/>
  <c r="R59" i="29"/>
  <c r="N59" i="29"/>
  <c r="J59" i="29"/>
  <c r="G59" i="29"/>
  <c r="L59" i="29"/>
  <c r="R58" i="29"/>
  <c r="N58" i="29"/>
  <c r="J58" i="29"/>
  <c r="G58" i="29"/>
  <c r="L58" i="29"/>
  <c r="R57" i="29"/>
  <c r="N57" i="29"/>
  <c r="J57" i="29"/>
  <c r="G57" i="29"/>
  <c r="L57" i="29"/>
  <c r="R56" i="29"/>
  <c r="N56" i="29"/>
  <c r="J56" i="29"/>
  <c r="G56" i="29"/>
  <c r="L56" i="29"/>
  <c r="R55" i="29"/>
  <c r="N55" i="29"/>
  <c r="J55" i="29"/>
  <c r="G55" i="29"/>
  <c r="L55" i="29"/>
  <c r="R54" i="29"/>
  <c r="N54" i="29"/>
  <c r="J54" i="29"/>
  <c r="G54" i="29"/>
  <c r="L54" i="29"/>
  <c r="R53" i="29"/>
  <c r="N53" i="29"/>
  <c r="J53" i="29"/>
  <c r="G53" i="29"/>
  <c r="L53" i="29"/>
  <c r="R52" i="29"/>
  <c r="N52" i="29"/>
  <c r="J52" i="29"/>
  <c r="G52" i="29"/>
  <c r="L52" i="29"/>
  <c r="R51" i="29"/>
  <c r="N51" i="29"/>
  <c r="J51" i="29"/>
  <c r="G51" i="29"/>
  <c r="L51" i="29"/>
  <c r="R50" i="29"/>
  <c r="N50" i="29"/>
  <c r="J50" i="29"/>
  <c r="G50" i="29"/>
  <c r="L50" i="29"/>
  <c r="R49" i="29"/>
  <c r="N49" i="29"/>
  <c r="J49" i="29"/>
  <c r="G49" i="29"/>
  <c r="L49" i="29"/>
  <c r="R48" i="29"/>
  <c r="N48" i="29"/>
  <c r="J48" i="29"/>
  <c r="G48" i="29"/>
  <c r="L48" i="29"/>
  <c r="R47" i="29"/>
  <c r="N47" i="29"/>
  <c r="J47" i="29"/>
  <c r="G47" i="29"/>
  <c r="L47" i="29"/>
  <c r="R46" i="29"/>
  <c r="N46" i="29"/>
  <c r="J46" i="29"/>
  <c r="G46" i="29"/>
  <c r="L46" i="29"/>
  <c r="R45" i="29"/>
  <c r="N45" i="29"/>
  <c r="J45" i="29"/>
  <c r="G45" i="29"/>
  <c r="L45" i="29"/>
  <c r="R44" i="29"/>
  <c r="N44" i="29"/>
  <c r="J44" i="29"/>
  <c r="G44" i="29"/>
  <c r="L44" i="29"/>
  <c r="R43" i="29"/>
  <c r="N43" i="29"/>
  <c r="J43" i="29"/>
  <c r="G43" i="29"/>
  <c r="L43" i="29"/>
  <c r="R42" i="29"/>
  <c r="N42" i="29"/>
  <c r="J42" i="29"/>
  <c r="G42" i="29"/>
  <c r="L42" i="29"/>
  <c r="R41" i="29"/>
  <c r="N41" i="29"/>
  <c r="J41" i="29"/>
  <c r="G41" i="29"/>
  <c r="L41" i="29"/>
  <c r="R40" i="29"/>
  <c r="N40" i="29"/>
  <c r="J40" i="29"/>
  <c r="G40" i="29"/>
  <c r="L40" i="29"/>
  <c r="R39" i="29"/>
  <c r="N39" i="29"/>
  <c r="J39" i="29"/>
  <c r="G39" i="29"/>
  <c r="L39" i="29"/>
  <c r="R38" i="29"/>
  <c r="N38" i="29"/>
  <c r="J38" i="29"/>
  <c r="G38" i="29"/>
  <c r="L38" i="29"/>
  <c r="R37" i="29"/>
  <c r="N37" i="29"/>
  <c r="J37" i="29"/>
  <c r="G37" i="29"/>
  <c r="L37" i="29"/>
  <c r="R36" i="29"/>
  <c r="N36" i="29"/>
  <c r="J36" i="29"/>
  <c r="G36" i="29"/>
  <c r="L36" i="29"/>
  <c r="R35" i="29"/>
  <c r="N35" i="29"/>
  <c r="J35" i="29"/>
  <c r="G35" i="29"/>
  <c r="L35" i="29"/>
  <c r="R34" i="29"/>
  <c r="N34" i="29"/>
  <c r="J34" i="29"/>
  <c r="G34" i="29"/>
  <c r="L34" i="29"/>
  <c r="R33" i="29"/>
  <c r="N33" i="29"/>
  <c r="J33" i="29"/>
  <c r="G33" i="29"/>
  <c r="L33" i="29"/>
  <c r="R32" i="29"/>
  <c r="N32" i="29"/>
  <c r="J32" i="29"/>
  <c r="G32" i="29"/>
  <c r="L32" i="29"/>
  <c r="R31" i="29"/>
  <c r="N31" i="29"/>
  <c r="J31" i="29"/>
  <c r="G31" i="29"/>
  <c r="L31" i="29"/>
  <c r="R30" i="29"/>
  <c r="N30" i="29"/>
  <c r="J30" i="29"/>
  <c r="G30" i="29"/>
  <c r="L30" i="29"/>
  <c r="R29" i="29"/>
  <c r="N29" i="29"/>
  <c r="J29" i="29"/>
  <c r="G29" i="29"/>
  <c r="L29" i="29"/>
  <c r="R28" i="29"/>
  <c r="N28" i="29"/>
  <c r="J28" i="29"/>
  <c r="G28" i="29"/>
  <c r="L28" i="29"/>
  <c r="R27" i="29"/>
  <c r="N27" i="29"/>
  <c r="J27" i="29"/>
  <c r="G27" i="29"/>
  <c r="L27" i="29"/>
  <c r="R26" i="29"/>
  <c r="N26" i="29"/>
  <c r="J26" i="29"/>
  <c r="G26" i="29"/>
  <c r="L26" i="29"/>
  <c r="R25" i="29"/>
  <c r="N25" i="29"/>
  <c r="J25" i="29"/>
  <c r="G25" i="29"/>
  <c r="L25" i="29"/>
  <c r="R24" i="29"/>
  <c r="N24" i="29"/>
  <c r="J24" i="29"/>
  <c r="G24" i="29"/>
  <c r="L24" i="29"/>
  <c r="R23" i="29"/>
  <c r="N23" i="29"/>
  <c r="J23" i="29"/>
  <c r="G23" i="29"/>
  <c r="L23" i="29"/>
  <c r="R22" i="29"/>
  <c r="N22" i="29"/>
  <c r="J22" i="29"/>
  <c r="G22" i="29"/>
  <c r="L22" i="29"/>
  <c r="R21" i="29"/>
  <c r="N21" i="29"/>
  <c r="J21" i="29"/>
  <c r="G21" i="29"/>
  <c r="L21" i="29"/>
  <c r="R20" i="29"/>
  <c r="N20" i="29"/>
  <c r="J20" i="29"/>
  <c r="G20" i="29"/>
  <c r="L20" i="29"/>
  <c r="R19" i="29"/>
  <c r="N19" i="29"/>
  <c r="J19" i="29"/>
  <c r="G19" i="29"/>
  <c r="L19" i="29"/>
  <c r="R18" i="29"/>
  <c r="N18" i="29"/>
  <c r="J18" i="29"/>
  <c r="G18" i="29"/>
  <c r="L18" i="29"/>
  <c r="R17" i="29"/>
  <c r="N17" i="29"/>
  <c r="J17" i="29"/>
  <c r="G17" i="29"/>
  <c r="L17" i="29"/>
  <c r="R16" i="29"/>
  <c r="N16" i="29"/>
  <c r="J16" i="29"/>
  <c r="G16" i="29"/>
  <c r="L16" i="29"/>
  <c r="R15" i="29"/>
  <c r="N15" i="29"/>
  <c r="J15" i="29"/>
  <c r="G15" i="29"/>
  <c r="L15" i="29"/>
  <c r="R14" i="29"/>
  <c r="N14" i="29"/>
  <c r="J14" i="29"/>
  <c r="G14" i="29"/>
  <c r="L14" i="29"/>
  <c r="S13" i="29"/>
  <c r="S101" i="29"/>
  <c r="N13" i="29"/>
  <c r="J13" i="29"/>
  <c r="G13" i="29"/>
  <c r="L13" i="29"/>
  <c r="R13" i="29"/>
  <c r="AA12" i="29"/>
  <c r="R12" i="29"/>
  <c r="N12" i="29"/>
  <c r="J12" i="29"/>
  <c r="G12" i="29"/>
  <c r="AA11" i="29"/>
  <c r="R11" i="29"/>
  <c r="N11" i="29"/>
  <c r="J11" i="29"/>
  <c r="G11" i="29"/>
  <c r="L11" i="29"/>
  <c r="AA10" i="29"/>
  <c r="R10" i="29"/>
  <c r="N10" i="29"/>
  <c r="J10" i="29"/>
  <c r="G10" i="29"/>
  <c r="AA9" i="29"/>
  <c r="R9" i="29"/>
  <c r="N9" i="29"/>
  <c r="J9" i="29"/>
  <c r="G9" i="29"/>
  <c r="L9" i="29"/>
  <c r="N8" i="29"/>
  <c r="J8" i="29"/>
  <c r="G8" i="29"/>
  <c r="R7" i="29"/>
  <c r="N7" i="29"/>
  <c r="J7" i="29"/>
  <c r="G7" i="29"/>
  <c r="R6" i="29"/>
  <c r="N6" i="29"/>
  <c r="J6" i="29"/>
  <c r="G6" i="29"/>
  <c r="R5" i="29"/>
  <c r="N5" i="29"/>
  <c r="J5" i="29"/>
  <c r="G5" i="29"/>
  <c r="R4" i="29"/>
  <c r="N4" i="29"/>
  <c r="J4" i="29"/>
  <c r="G4" i="29"/>
  <c r="Q101" i="23"/>
  <c r="P101" i="23"/>
  <c r="O101" i="23"/>
  <c r="N101" i="23"/>
  <c r="H101" i="23"/>
  <c r="E101" i="23"/>
  <c r="D101" i="23"/>
  <c r="R100" i="23"/>
  <c r="N100" i="23"/>
  <c r="J100" i="23"/>
  <c r="G100" i="23"/>
  <c r="L100" i="23"/>
  <c r="R99" i="23"/>
  <c r="N99" i="23"/>
  <c r="J99" i="23"/>
  <c r="G99" i="23"/>
  <c r="L99" i="23"/>
  <c r="R98" i="23"/>
  <c r="N98" i="23"/>
  <c r="J98" i="23"/>
  <c r="G98" i="23"/>
  <c r="L98" i="23"/>
  <c r="R97" i="23"/>
  <c r="N97" i="23"/>
  <c r="J97" i="23"/>
  <c r="G97" i="23"/>
  <c r="R96" i="23"/>
  <c r="N96" i="23"/>
  <c r="J96" i="23"/>
  <c r="G96" i="23"/>
  <c r="R95" i="23"/>
  <c r="N95" i="23"/>
  <c r="J95" i="23"/>
  <c r="G95" i="23"/>
  <c r="L95" i="23"/>
  <c r="R94" i="23"/>
  <c r="N94" i="23"/>
  <c r="J94" i="23"/>
  <c r="G94" i="23"/>
  <c r="R93" i="23"/>
  <c r="N93" i="23"/>
  <c r="J93" i="23"/>
  <c r="G93" i="23"/>
  <c r="L93" i="23"/>
  <c r="R92" i="23"/>
  <c r="N92" i="23"/>
  <c r="J92" i="23"/>
  <c r="G92" i="23"/>
  <c r="R91" i="23"/>
  <c r="N91" i="23"/>
  <c r="J91" i="23"/>
  <c r="G91" i="23"/>
  <c r="L91" i="23"/>
  <c r="R90" i="23"/>
  <c r="N90" i="23"/>
  <c r="J90" i="23"/>
  <c r="G90" i="23"/>
  <c r="L90" i="23"/>
  <c r="R89" i="23"/>
  <c r="N89" i="23"/>
  <c r="J89" i="23"/>
  <c r="G89" i="23"/>
  <c r="R88" i="23"/>
  <c r="N88" i="23"/>
  <c r="J88" i="23"/>
  <c r="G88" i="23"/>
  <c r="R87" i="23"/>
  <c r="N87" i="23"/>
  <c r="J87" i="23"/>
  <c r="G87" i="23"/>
  <c r="R86" i="23"/>
  <c r="N86" i="23"/>
  <c r="J86" i="23"/>
  <c r="G86" i="23"/>
  <c r="L86" i="23"/>
  <c r="R85" i="23"/>
  <c r="N85" i="23"/>
  <c r="J85" i="23"/>
  <c r="G85" i="23"/>
  <c r="L85" i="23"/>
  <c r="R84" i="23"/>
  <c r="N84" i="23"/>
  <c r="J84" i="23"/>
  <c r="G84" i="23"/>
  <c r="R83" i="23"/>
  <c r="N83" i="23"/>
  <c r="J83" i="23"/>
  <c r="G83" i="23"/>
  <c r="R82" i="23"/>
  <c r="N82" i="23"/>
  <c r="J82" i="23"/>
  <c r="G82" i="23"/>
  <c r="R81" i="23"/>
  <c r="N81" i="23"/>
  <c r="J81" i="23"/>
  <c r="G81" i="23"/>
  <c r="R80" i="23"/>
  <c r="N80" i="23"/>
  <c r="J80" i="23"/>
  <c r="G80" i="23"/>
  <c r="R79" i="23"/>
  <c r="N79" i="23"/>
  <c r="J79" i="23"/>
  <c r="G79" i="23"/>
  <c r="R78" i="23"/>
  <c r="N78" i="23"/>
  <c r="J78" i="23"/>
  <c r="G78" i="23"/>
  <c r="R77" i="23"/>
  <c r="N77" i="23"/>
  <c r="J77" i="23"/>
  <c r="G77" i="23"/>
  <c r="R76" i="23"/>
  <c r="N76" i="23"/>
  <c r="J76" i="23"/>
  <c r="G76" i="23"/>
  <c r="L76" i="23"/>
  <c r="R75" i="23"/>
  <c r="N75" i="23"/>
  <c r="J75" i="23"/>
  <c r="G75" i="23"/>
  <c r="R74" i="23"/>
  <c r="N74" i="23"/>
  <c r="J74" i="23"/>
  <c r="G74" i="23"/>
  <c r="R73" i="23"/>
  <c r="N73" i="23"/>
  <c r="J73" i="23"/>
  <c r="G73" i="23"/>
  <c r="L73" i="23"/>
  <c r="R72" i="23"/>
  <c r="N72" i="23"/>
  <c r="J72" i="23"/>
  <c r="G72" i="23"/>
  <c r="L72" i="23"/>
  <c r="R71" i="23"/>
  <c r="N71" i="23"/>
  <c r="J71" i="23"/>
  <c r="G71" i="23"/>
  <c r="L71" i="23"/>
  <c r="R70" i="23"/>
  <c r="N70" i="23"/>
  <c r="J70" i="23"/>
  <c r="G70" i="23"/>
  <c r="L70" i="23"/>
  <c r="R69" i="23"/>
  <c r="N69" i="23"/>
  <c r="J69" i="23"/>
  <c r="G69" i="23"/>
  <c r="R68" i="23"/>
  <c r="N68" i="23"/>
  <c r="J68" i="23"/>
  <c r="G68" i="23"/>
  <c r="L68" i="23"/>
  <c r="R67" i="23"/>
  <c r="N67" i="23"/>
  <c r="J67" i="23"/>
  <c r="G67" i="23"/>
  <c r="L67" i="23"/>
  <c r="R66" i="23"/>
  <c r="N66" i="23"/>
  <c r="J66" i="23"/>
  <c r="G66" i="23"/>
  <c r="L66" i="23"/>
  <c r="R65" i="23"/>
  <c r="N65" i="23"/>
  <c r="J65" i="23"/>
  <c r="G65" i="23"/>
  <c r="L65" i="23"/>
  <c r="R64" i="23"/>
  <c r="N64" i="23"/>
  <c r="J64" i="23"/>
  <c r="G64" i="23"/>
  <c r="L64" i="23"/>
  <c r="R63" i="23"/>
  <c r="N63" i="23"/>
  <c r="J63" i="23"/>
  <c r="G63" i="23"/>
  <c r="L63" i="23"/>
  <c r="R62" i="23"/>
  <c r="N62" i="23"/>
  <c r="J62" i="23"/>
  <c r="G62" i="23"/>
  <c r="L62" i="23"/>
  <c r="R61" i="23"/>
  <c r="N61" i="23"/>
  <c r="J61" i="23"/>
  <c r="G61" i="23"/>
  <c r="L61" i="23"/>
  <c r="R60" i="23"/>
  <c r="N60" i="23"/>
  <c r="J60" i="23"/>
  <c r="G60" i="23"/>
  <c r="R59" i="23"/>
  <c r="N59" i="23"/>
  <c r="J59" i="23"/>
  <c r="G59" i="23"/>
  <c r="R58" i="23"/>
  <c r="N58" i="23"/>
  <c r="J58" i="23"/>
  <c r="G58" i="23"/>
  <c r="R57" i="23"/>
  <c r="N57" i="23"/>
  <c r="J57" i="23"/>
  <c r="G57" i="23"/>
  <c r="R56" i="23"/>
  <c r="N56" i="23"/>
  <c r="J56" i="23"/>
  <c r="G56" i="23"/>
  <c r="R55" i="23"/>
  <c r="N55" i="23"/>
  <c r="J55" i="23"/>
  <c r="G55" i="23"/>
  <c r="R54" i="23"/>
  <c r="N54" i="23"/>
  <c r="J54" i="23"/>
  <c r="G54" i="23"/>
  <c r="R53" i="23"/>
  <c r="N53" i="23"/>
  <c r="J53" i="23"/>
  <c r="G53" i="23"/>
  <c r="R52" i="23"/>
  <c r="N52" i="23"/>
  <c r="J52" i="23"/>
  <c r="G52" i="23"/>
  <c r="R51" i="23"/>
  <c r="N51" i="23"/>
  <c r="J51" i="23"/>
  <c r="G51" i="23"/>
  <c r="R50" i="23"/>
  <c r="N50" i="23"/>
  <c r="J50" i="23"/>
  <c r="G50" i="23"/>
  <c r="R49" i="23"/>
  <c r="N49" i="23"/>
  <c r="J49" i="23"/>
  <c r="G49" i="23"/>
  <c r="R48" i="23"/>
  <c r="N48" i="23"/>
  <c r="J48" i="23"/>
  <c r="G48" i="23"/>
  <c r="R47" i="23"/>
  <c r="N47" i="23"/>
  <c r="J47" i="23"/>
  <c r="G47" i="23"/>
  <c r="R46" i="23"/>
  <c r="N46" i="23"/>
  <c r="J46" i="23"/>
  <c r="G46" i="23"/>
  <c r="R45" i="23"/>
  <c r="N45" i="23"/>
  <c r="J45" i="23"/>
  <c r="G45" i="23"/>
  <c r="R44" i="23"/>
  <c r="N44" i="23"/>
  <c r="J44" i="23"/>
  <c r="G44" i="23"/>
  <c r="R43" i="23"/>
  <c r="N43" i="23"/>
  <c r="J43" i="23"/>
  <c r="G43" i="23"/>
  <c r="R42" i="23"/>
  <c r="N42" i="23"/>
  <c r="J42" i="23"/>
  <c r="G42" i="23"/>
  <c r="R41" i="23"/>
  <c r="N41" i="23"/>
  <c r="J41" i="23"/>
  <c r="G41" i="23"/>
  <c r="R40" i="23"/>
  <c r="N40" i="23"/>
  <c r="J40" i="23"/>
  <c r="G40" i="23"/>
  <c r="R39" i="23"/>
  <c r="N39" i="23"/>
  <c r="J39" i="23"/>
  <c r="G39" i="23"/>
  <c r="R38" i="23"/>
  <c r="N38" i="23"/>
  <c r="J38" i="23"/>
  <c r="G38" i="23"/>
  <c r="R37" i="23"/>
  <c r="N37" i="23"/>
  <c r="J37" i="23"/>
  <c r="G37" i="23"/>
  <c r="R36" i="23"/>
  <c r="N36" i="23"/>
  <c r="J36" i="23"/>
  <c r="G36" i="23"/>
  <c r="R35" i="23"/>
  <c r="N35" i="23"/>
  <c r="J35" i="23"/>
  <c r="G35" i="23"/>
  <c r="R34" i="23"/>
  <c r="N34" i="23"/>
  <c r="J34" i="23"/>
  <c r="G34" i="23"/>
  <c r="R33" i="23"/>
  <c r="N33" i="23"/>
  <c r="J33" i="23"/>
  <c r="G33" i="23"/>
  <c r="R32" i="23"/>
  <c r="N32" i="23"/>
  <c r="J32" i="23"/>
  <c r="G32" i="23"/>
  <c r="R31" i="23"/>
  <c r="N31" i="23"/>
  <c r="J31" i="23"/>
  <c r="G31" i="23"/>
  <c r="R30" i="23"/>
  <c r="N30" i="23"/>
  <c r="J30" i="23"/>
  <c r="G30" i="23"/>
  <c r="R29" i="23"/>
  <c r="N29" i="23"/>
  <c r="J29" i="23"/>
  <c r="G29" i="23"/>
  <c r="R28" i="23"/>
  <c r="N28" i="23"/>
  <c r="J28" i="23"/>
  <c r="G28" i="23"/>
  <c r="R27" i="23"/>
  <c r="N27" i="23"/>
  <c r="J27" i="23"/>
  <c r="G27" i="23"/>
  <c r="R26" i="23"/>
  <c r="N26" i="23"/>
  <c r="J26" i="23"/>
  <c r="G26" i="23"/>
  <c r="R25" i="23"/>
  <c r="N25" i="23"/>
  <c r="J25" i="23"/>
  <c r="G25" i="23"/>
  <c r="R24" i="23"/>
  <c r="N24" i="23"/>
  <c r="J24" i="23"/>
  <c r="G24" i="23"/>
  <c r="R23" i="23"/>
  <c r="N23" i="23"/>
  <c r="J23" i="23"/>
  <c r="G23" i="23"/>
  <c r="R22" i="23"/>
  <c r="N22" i="23"/>
  <c r="J22" i="23"/>
  <c r="G22" i="23"/>
  <c r="R21" i="23"/>
  <c r="N21" i="23"/>
  <c r="J21" i="23"/>
  <c r="G21" i="23"/>
  <c r="R20" i="23"/>
  <c r="N20" i="23"/>
  <c r="J20" i="23"/>
  <c r="G20" i="23"/>
  <c r="R19" i="23"/>
  <c r="N19" i="23"/>
  <c r="J19" i="23"/>
  <c r="G19" i="23"/>
  <c r="R18" i="23"/>
  <c r="N18" i="23"/>
  <c r="J18" i="23"/>
  <c r="G18" i="23"/>
  <c r="J17" i="23"/>
  <c r="G17" i="23"/>
  <c r="R16" i="23"/>
  <c r="N16" i="23"/>
  <c r="J16" i="23"/>
  <c r="G16" i="23"/>
  <c r="R15" i="23"/>
  <c r="N15" i="23"/>
  <c r="J15" i="23"/>
  <c r="G15" i="23"/>
  <c r="R14" i="23"/>
  <c r="N14" i="23"/>
  <c r="J14" i="23"/>
  <c r="G14" i="23"/>
  <c r="S13" i="23"/>
  <c r="S101" i="23"/>
  <c r="N13" i="23"/>
  <c r="J13" i="23"/>
  <c r="G13" i="23"/>
  <c r="AA12" i="23"/>
  <c r="R12" i="23"/>
  <c r="N12" i="23"/>
  <c r="J12" i="23"/>
  <c r="G12" i="23"/>
  <c r="AA11" i="23"/>
  <c r="R11" i="23"/>
  <c r="N11" i="23"/>
  <c r="J11" i="23"/>
  <c r="G11" i="23"/>
  <c r="AA10" i="23"/>
  <c r="R10" i="23"/>
  <c r="N10" i="23"/>
  <c r="J10" i="23"/>
  <c r="G10" i="23"/>
  <c r="L10" i="23"/>
  <c r="AA9" i="23"/>
  <c r="R9" i="23"/>
  <c r="N9" i="23"/>
  <c r="J9" i="23"/>
  <c r="G9" i="23"/>
  <c r="N8" i="23"/>
  <c r="J8" i="23"/>
  <c r="G8" i="23"/>
  <c r="L8" i="23"/>
  <c r="R8" i="23"/>
  <c r="R7" i="23"/>
  <c r="N7" i="23"/>
  <c r="J7" i="23"/>
  <c r="G7" i="23"/>
  <c r="L7" i="23"/>
  <c r="R6" i="23"/>
  <c r="N6" i="23"/>
  <c r="J6" i="23"/>
  <c r="G6" i="23"/>
  <c r="L6" i="23"/>
  <c r="R5" i="23"/>
  <c r="N5" i="23"/>
  <c r="J5" i="23"/>
  <c r="G5" i="23"/>
  <c r="L5" i="23"/>
  <c r="R4" i="23"/>
  <c r="N4" i="23"/>
  <c r="J4" i="23"/>
  <c r="G4" i="23"/>
  <c r="Q101" i="22"/>
  <c r="P101" i="22"/>
  <c r="O101" i="22"/>
  <c r="N101" i="22"/>
  <c r="H101" i="22"/>
  <c r="E101" i="22"/>
  <c r="D101" i="22"/>
  <c r="R100" i="22"/>
  <c r="N100" i="22"/>
  <c r="J100" i="22"/>
  <c r="G100" i="22"/>
  <c r="R99" i="22"/>
  <c r="N99" i="22"/>
  <c r="J99" i="22"/>
  <c r="G99" i="22"/>
  <c r="R98" i="22"/>
  <c r="N98" i="22"/>
  <c r="J98" i="22"/>
  <c r="G98" i="22"/>
  <c r="R97" i="22"/>
  <c r="N97" i="22"/>
  <c r="J97" i="22"/>
  <c r="G97" i="22"/>
  <c r="L97" i="22"/>
  <c r="R96" i="22"/>
  <c r="N96" i="22"/>
  <c r="J96" i="22"/>
  <c r="G96" i="22"/>
  <c r="L96" i="22"/>
  <c r="R95" i="22"/>
  <c r="N95" i="22"/>
  <c r="J95" i="22"/>
  <c r="G95" i="22"/>
  <c r="L95" i="22"/>
  <c r="R94" i="22"/>
  <c r="N94" i="22"/>
  <c r="J94" i="22"/>
  <c r="G94" i="22"/>
  <c r="L94" i="22"/>
  <c r="R93" i="22"/>
  <c r="N93" i="22"/>
  <c r="J93" i="22"/>
  <c r="G93" i="22"/>
  <c r="L93" i="22"/>
  <c r="R92" i="22"/>
  <c r="N92" i="22"/>
  <c r="J92" i="22"/>
  <c r="G92" i="22"/>
  <c r="R91" i="22"/>
  <c r="N91" i="22"/>
  <c r="J91" i="22"/>
  <c r="G91" i="22"/>
  <c r="R90" i="22"/>
  <c r="N90" i="22"/>
  <c r="J90" i="22"/>
  <c r="G90" i="22"/>
  <c r="R89" i="22"/>
  <c r="N89" i="22"/>
  <c r="J89" i="22"/>
  <c r="G89" i="22"/>
  <c r="R88" i="22"/>
  <c r="N88" i="22"/>
  <c r="J88" i="22"/>
  <c r="G88" i="22"/>
  <c r="R87" i="22"/>
  <c r="N87" i="22"/>
  <c r="J87" i="22"/>
  <c r="G87" i="22"/>
  <c r="R86" i="22"/>
  <c r="N86" i="22"/>
  <c r="J86" i="22"/>
  <c r="G86" i="22"/>
  <c r="R85" i="22"/>
  <c r="N85" i="22"/>
  <c r="J85" i="22"/>
  <c r="G85" i="22"/>
  <c r="R84" i="22"/>
  <c r="N84" i="22"/>
  <c r="J84" i="22"/>
  <c r="G84" i="22"/>
  <c r="R83" i="22"/>
  <c r="N83" i="22"/>
  <c r="J83" i="22"/>
  <c r="G83" i="22"/>
  <c r="R82" i="22"/>
  <c r="N82" i="22"/>
  <c r="J82" i="22"/>
  <c r="G82" i="22"/>
  <c r="R81" i="22"/>
  <c r="N81" i="22"/>
  <c r="J81" i="22"/>
  <c r="G81" i="22"/>
  <c r="R80" i="22"/>
  <c r="N80" i="22"/>
  <c r="J80" i="22"/>
  <c r="G80" i="22"/>
  <c r="R79" i="22"/>
  <c r="N79" i="22"/>
  <c r="J79" i="22"/>
  <c r="G79" i="22"/>
  <c r="R78" i="22"/>
  <c r="N78" i="22"/>
  <c r="J78" i="22"/>
  <c r="G78" i="22"/>
  <c r="R77" i="22"/>
  <c r="N77" i="22"/>
  <c r="J77" i="22"/>
  <c r="G77" i="22"/>
  <c r="R76" i="22"/>
  <c r="N76" i="22"/>
  <c r="J76" i="22"/>
  <c r="G76" i="22"/>
  <c r="R75" i="22"/>
  <c r="N75" i="22"/>
  <c r="J75" i="22"/>
  <c r="G75" i="22"/>
  <c r="R74" i="22"/>
  <c r="N74" i="22"/>
  <c r="J74" i="22"/>
  <c r="G74" i="22"/>
  <c r="R73" i="22"/>
  <c r="N73" i="22"/>
  <c r="J73" i="22"/>
  <c r="G73" i="22"/>
  <c r="R72" i="22"/>
  <c r="N72" i="22"/>
  <c r="J72" i="22"/>
  <c r="G72" i="22"/>
  <c r="R71" i="22"/>
  <c r="N71" i="22"/>
  <c r="J71" i="22"/>
  <c r="G71" i="22"/>
  <c r="R70" i="22"/>
  <c r="N70" i="22"/>
  <c r="J70" i="22"/>
  <c r="G70" i="22"/>
  <c r="R69" i="22"/>
  <c r="N69" i="22"/>
  <c r="J69" i="22"/>
  <c r="G69" i="22"/>
  <c r="R68" i="22"/>
  <c r="N68" i="22"/>
  <c r="J68" i="22"/>
  <c r="G68" i="22"/>
  <c r="R67" i="22"/>
  <c r="N67" i="22"/>
  <c r="J67" i="22"/>
  <c r="G67" i="22"/>
  <c r="R66" i="22"/>
  <c r="N66" i="22"/>
  <c r="J66" i="22"/>
  <c r="G66" i="22"/>
  <c r="R65" i="22"/>
  <c r="N65" i="22"/>
  <c r="J65" i="22"/>
  <c r="G65" i="22"/>
  <c r="R64" i="22"/>
  <c r="N64" i="22"/>
  <c r="J64" i="22"/>
  <c r="G64" i="22"/>
  <c r="R63" i="22"/>
  <c r="N63" i="22"/>
  <c r="J63" i="22"/>
  <c r="G63" i="22"/>
  <c r="R62" i="22"/>
  <c r="N62" i="22"/>
  <c r="J62" i="22"/>
  <c r="G62" i="22"/>
  <c r="R61" i="22"/>
  <c r="N61" i="22"/>
  <c r="J61" i="22"/>
  <c r="G61" i="22"/>
  <c r="R60" i="22"/>
  <c r="N60" i="22"/>
  <c r="J60" i="22"/>
  <c r="G60" i="22"/>
  <c r="R59" i="22"/>
  <c r="N59" i="22"/>
  <c r="J59" i="22"/>
  <c r="G59" i="22"/>
  <c r="R58" i="22"/>
  <c r="N58" i="22"/>
  <c r="J58" i="22"/>
  <c r="G58" i="22"/>
  <c r="R57" i="22"/>
  <c r="N57" i="22"/>
  <c r="J57" i="22"/>
  <c r="G57" i="22"/>
  <c r="R56" i="22"/>
  <c r="N56" i="22"/>
  <c r="J56" i="22"/>
  <c r="G56" i="22"/>
  <c r="R55" i="22"/>
  <c r="N55" i="22"/>
  <c r="J55" i="22"/>
  <c r="G55" i="22"/>
  <c r="R54" i="22"/>
  <c r="N54" i="22"/>
  <c r="J54" i="22"/>
  <c r="G54" i="22"/>
  <c r="R53" i="22"/>
  <c r="N53" i="22"/>
  <c r="J53" i="22"/>
  <c r="G53" i="22"/>
  <c r="R52" i="22"/>
  <c r="N52" i="22"/>
  <c r="J52" i="22"/>
  <c r="G52" i="22"/>
  <c r="R51" i="22"/>
  <c r="N51" i="22"/>
  <c r="J51" i="22"/>
  <c r="G51" i="22"/>
  <c r="R50" i="22"/>
  <c r="N50" i="22"/>
  <c r="J50" i="22"/>
  <c r="G50" i="22"/>
  <c r="R49" i="22"/>
  <c r="N49" i="22"/>
  <c r="J49" i="22"/>
  <c r="G49" i="22"/>
  <c r="R48" i="22"/>
  <c r="N48" i="22"/>
  <c r="J48" i="22"/>
  <c r="G48" i="22"/>
  <c r="R47" i="22"/>
  <c r="N47" i="22"/>
  <c r="J47" i="22"/>
  <c r="G47" i="22"/>
  <c r="R46" i="22"/>
  <c r="N46" i="22"/>
  <c r="J46" i="22"/>
  <c r="G46" i="22"/>
  <c r="R45" i="22"/>
  <c r="N45" i="22"/>
  <c r="J45" i="22"/>
  <c r="G45" i="22"/>
  <c r="R44" i="22"/>
  <c r="N44" i="22"/>
  <c r="J44" i="22"/>
  <c r="G44" i="22"/>
  <c r="R43" i="22"/>
  <c r="N43" i="22"/>
  <c r="J43" i="22"/>
  <c r="G43" i="22"/>
  <c r="R42" i="22"/>
  <c r="N42" i="22"/>
  <c r="J42" i="22"/>
  <c r="G42" i="22"/>
  <c r="R41" i="22"/>
  <c r="N41" i="22"/>
  <c r="J41" i="22"/>
  <c r="G41" i="22"/>
  <c r="R40" i="22"/>
  <c r="N40" i="22"/>
  <c r="J40" i="22"/>
  <c r="G40" i="22"/>
  <c r="R39" i="22"/>
  <c r="N39" i="22"/>
  <c r="J39" i="22"/>
  <c r="G39" i="22"/>
  <c r="R38" i="22"/>
  <c r="N38" i="22"/>
  <c r="J38" i="22"/>
  <c r="G38" i="22"/>
  <c r="R37" i="22"/>
  <c r="N37" i="22"/>
  <c r="J37" i="22"/>
  <c r="G37" i="22"/>
  <c r="R36" i="22"/>
  <c r="N36" i="22"/>
  <c r="J36" i="22"/>
  <c r="G36" i="22"/>
  <c r="R35" i="22"/>
  <c r="N35" i="22"/>
  <c r="J35" i="22"/>
  <c r="G35" i="22"/>
  <c r="R34" i="22"/>
  <c r="N34" i="22"/>
  <c r="J34" i="22"/>
  <c r="G34" i="22"/>
  <c r="R33" i="22"/>
  <c r="N33" i="22"/>
  <c r="J33" i="22"/>
  <c r="G33" i="22"/>
  <c r="R32" i="22"/>
  <c r="N32" i="22"/>
  <c r="J32" i="22"/>
  <c r="G32" i="22"/>
  <c r="R31" i="22"/>
  <c r="N31" i="22"/>
  <c r="J31" i="22"/>
  <c r="G31" i="22"/>
  <c r="R30" i="22"/>
  <c r="N30" i="22"/>
  <c r="J30" i="22"/>
  <c r="G30" i="22"/>
  <c r="R29" i="22"/>
  <c r="N29" i="22"/>
  <c r="J29" i="22"/>
  <c r="G29" i="22"/>
  <c r="R28" i="22"/>
  <c r="N28" i="22"/>
  <c r="J28" i="22"/>
  <c r="G28" i="22"/>
  <c r="R27" i="22"/>
  <c r="N27" i="22"/>
  <c r="J27" i="22"/>
  <c r="G27" i="22"/>
  <c r="R26" i="22"/>
  <c r="N26" i="22"/>
  <c r="J26" i="22"/>
  <c r="G26" i="22"/>
  <c r="R25" i="22"/>
  <c r="N25" i="22"/>
  <c r="J25" i="22"/>
  <c r="G25" i="22"/>
  <c r="R24" i="22"/>
  <c r="N24" i="22"/>
  <c r="J24" i="22"/>
  <c r="G24" i="22"/>
  <c r="R23" i="22"/>
  <c r="N23" i="22"/>
  <c r="J23" i="22"/>
  <c r="G23" i="22"/>
  <c r="R22" i="22"/>
  <c r="N22" i="22"/>
  <c r="J22" i="22"/>
  <c r="G22" i="22"/>
  <c r="R21" i="22"/>
  <c r="N21" i="22"/>
  <c r="J21" i="22"/>
  <c r="G21" i="22"/>
  <c r="R20" i="22"/>
  <c r="N20" i="22"/>
  <c r="J20" i="22"/>
  <c r="G20" i="22"/>
  <c r="R19" i="22"/>
  <c r="N19" i="22"/>
  <c r="J19" i="22"/>
  <c r="G19" i="22"/>
  <c r="R18" i="22"/>
  <c r="N18" i="22"/>
  <c r="J18" i="22"/>
  <c r="G18" i="22"/>
  <c r="R17" i="22"/>
  <c r="N17" i="22"/>
  <c r="J17" i="22"/>
  <c r="G17" i="22"/>
  <c r="R16" i="22"/>
  <c r="N16" i="22"/>
  <c r="J16" i="22"/>
  <c r="G16" i="22"/>
  <c r="R15" i="22"/>
  <c r="N15" i="22"/>
  <c r="J15" i="22"/>
  <c r="G15" i="22"/>
  <c r="R14" i="22"/>
  <c r="N14" i="22"/>
  <c r="J14" i="22"/>
  <c r="G14" i="22"/>
  <c r="S13" i="22"/>
  <c r="S101" i="22"/>
  <c r="N13" i="22"/>
  <c r="J13" i="22"/>
  <c r="G13" i="22"/>
  <c r="AA12" i="22"/>
  <c r="R12" i="22"/>
  <c r="N12" i="22"/>
  <c r="J12" i="22"/>
  <c r="G12" i="22"/>
  <c r="AA11" i="22"/>
  <c r="R11" i="22"/>
  <c r="N11" i="22"/>
  <c r="J11" i="22"/>
  <c r="G11" i="22"/>
  <c r="AA10" i="22"/>
  <c r="R10" i="22"/>
  <c r="N10" i="22"/>
  <c r="J10" i="22"/>
  <c r="G10" i="22"/>
  <c r="AA9" i="22"/>
  <c r="R9" i="22"/>
  <c r="N9" i="22"/>
  <c r="J9" i="22"/>
  <c r="G9" i="22"/>
  <c r="N8" i="22"/>
  <c r="J8" i="22"/>
  <c r="G8" i="22"/>
  <c r="R7" i="22"/>
  <c r="N7" i="22"/>
  <c r="J7" i="22"/>
  <c r="G7" i="22"/>
  <c r="R6" i="22"/>
  <c r="N6" i="22"/>
  <c r="J6" i="22"/>
  <c r="G6" i="22"/>
  <c r="R5" i="22"/>
  <c r="N5" i="22"/>
  <c r="J5" i="22"/>
  <c r="G5" i="22"/>
  <c r="R4" i="22"/>
  <c r="N4" i="22"/>
  <c r="J4" i="22"/>
  <c r="G4" i="22"/>
  <c r="Q101" i="21"/>
  <c r="P101" i="21"/>
  <c r="O101" i="21"/>
  <c r="N101" i="21"/>
  <c r="H101" i="21"/>
  <c r="E101" i="21"/>
  <c r="D101" i="21"/>
  <c r="R100" i="21"/>
  <c r="N100" i="21"/>
  <c r="J100" i="21"/>
  <c r="G100" i="21"/>
  <c r="R99" i="21"/>
  <c r="N99" i="21"/>
  <c r="J99" i="21"/>
  <c r="G99" i="21"/>
  <c r="R98" i="21"/>
  <c r="N98" i="21"/>
  <c r="J98" i="21"/>
  <c r="G98" i="21"/>
  <c r="R97" i="21"/>
  <c r="N97" i="21"/>
  <c r="J97" i="21"/>
  <c r="G97" i="21"/>
  <c r="R96" i="21"/>
  <c r="N96" i="21"/>
  <c r="J96" i="21"/>
  <c r="G96" i="21"/>
  <c r="R95" i="21"/>
  <c r="N95" i="21"/>
  <c r="J95" i="21"/>
  <c r="G95" i="21"/>
  <c r="R94" i="21"/>
  <c r="N94" i="21"/>
  <c r="J94" i="21"/>
  <c r="G94" i="21"/>
  <c r="R93" i="21"/>
  <c r="N93" i="21"/>
  <c r="J93" i="21"/>
  <c r="G93" i="21"/>
  <c r="R92" i="21"/>
  <c r="N92" i="21"/>
  <c r="J92" i="21"/>
  <c r="G92" i="21"/>
  <c r="R91" i="21"/>
  <c r="N91" i="21"/>
  <c r="J91" i="21"/>
  <c r="G91" i="21"/>
  <c r="R90" i="21"/>
  <c r="N90" i="21"/>
  <c r="J90" i="21"/>
  <c r="G90" i="21"/>
  <c r="R89" i="21"/>
  <c r="N89" i="21"/>
  <c r="J89" i="21"/>
  <c r="G89" i="21"/>
  <c r="R88" i="21"/>
  <c r="N88" i="21"/>
  <c r="J88" i="21"/>
  <c r="G88" i="21"/>
  <c r="R87" i="21"/>
  <c r="N87" i="21"/>
  <c r="J87" i="21"/>
  <c r="G87" i="21"/>
  <c r="R86" i="21"/>
  <c r="N86" i="21"/>
  <c r="J86" i="21"/>
  <c r="G86" i="21"/>
  <c r="R85" i="21"/>
  <c r="N85" i="21"/>
  <c r="J85" i="21"/>
  <c r="G85" i="21"/>
  <c r="R84" i="21"/>
  <c r="N84" i="21"/>
  <c r="J84" i="21"/>
  <c r="G84" i="21"/>
  <c r="R83" i="21"/>
  <c r="N83" i="21"/>
  <c r="J83" i="21"/>
  <c r="G83" i="21"/>
  <c r="R82" i="21"/>
  <c r="N82" i="21"/>
  <c r="J82" i="21"/>
  <c r="G82" i="21"/>
  <c r="R81" i="21"/>
  <c r="N81" i="21"/>
  <c r="J81" i="21"/>
  <c r="G81" i="21"/>
  <c r="R80" i="21"/>
  <c r="N80" i="21"/>
  <c r="J80" i="21"/>
  <c r="G80" i="21"/>
  <c r="R79" i="21"/>
  <c r="N79" i="21"/>
  <c r="J79" i="21"/>
  <c r="G79" i="21"/>
  <c r="R78" i="21"/>
  <c r="N78" i="21"/>
  <c r="J78" i="21"/>
  <c r="G78" i="21"/>
  <c r="R77" i="21"/>
  <c r="N77" i="21"/>
  <c r="J77" i="21"/>
  <c r="G77" i="21"/>
  <c r="R76" i="21"/>
  <c r="N76" i="21"/>
  <c r="J76" i="21"/>
  <c r="G76" i="21"/>
  <c r="R75" i="21"/>
  <c r="N75" i="21"/>
  <c r="J75" i="21"/>
  <c r="G75" i="21"/>
  <c r="R74" i="21"/>
  <c r="N74" i="21"/>
  <c r="J74" i="21"/>
  <c r="G74" i="21"/>
  <c r="R73" i="21"/>
  <c r="N73" i="21"/>
  <c r="J73" i="21"/>
  <c r="G73" i="21"/>
  <c r="R72" i="21"/>
  <c r="N72" i="21"/>
  <c r="J72" i="21"/>
  <c r="G72" i="21"/>
  <c r="R71" i="21"/>
  <c r="N71" i="21"/>
  <c r="J71" i="21"/>
  <c r="G71" i="21"/>
  <c r="R70" i="21"/>
  <c r="N70" i="21"/>
  <c r="J70" i="21"/>
  <c r="G70" i="21"/>
  <c r="R69" i="21"/>
  <c r="N69" i="21"/>
  <c r="J69" i="21"/>
  <c r="G69" i="21"/>
  <c r="R68" i="21"/>
  <c r="N68" i="21"/>
  <c r="J68" i="21"/>
  <c r="G68" i="21"/>
  <c r="R67" i="21"/>
  <c r="N67" i="21"/>
  <c r="J67" i="21"/>
  <c r="G67" i="21"/>
  <c r="R66" i="21"/>
  <c r="N66" i="21"/>
  <c r="J66" i="21"/>
  <c r="G66" i="21"/>
  <c r="R65" i="21"/>
  <c r="N65" i="21"/>
  <c r="J65" i="21"/>
  <c r="G65" i="21"/>
  <c r="R64" i="21"/>
  <c r="N64" i="21"/>
  <c r="J64" i="21"/>
  <c r="G64" i="21"/>
  <c r="R63" i="21"/>
  <c r="N63" i="21"/>
  <c r="J63" i="21"/>
  <c r="G63" i="21"/>
  <c r="R62" i="21"/>
  <c r="N62" i="21"/>
  <c r="J62" i="21"/>
  <c r="G62" i="21"/>
  <c r="R61" i="21"/>
  <c r="N61" i="21"/>
  <c r="J61" i="21"/>
  <c r="G61" i="21"/>
  <c r="R60" i="21"/>
  <c r="N60" i="21"/>
  <c r="J60" i="21"/>
  <c r="G60" i="21"/>
  <c r="R59" i="21"/>
  <c r="N59" i="21"/>
  <c r="J59" i="21"/>
  <c r="G59" i="21"/>
  <c r="R58" i="21"/>
  <c r="N58" i="21"/>
  <c r="J58" i="21"/>
  <c r="G58" i="21"/>
  <c r="R57" i="21"/>
  <c r="N57" i="21"/>
  <c r="J57" i="21"/>
  <c r="G57" i="21"/>
  <c r="R56" i="21"/>
  <c r="N56" i="21"/>
  <c r="J56" i="21"/>
  <c r="G56" i="21"/>
  <c r="R55" i="21"/>
  <c r="N55" i="21"/>
  <c r="J55" i="21"/>
  <c r="G55" i="21"/>
  <c r="R54" i="21"/>
  <c r="N54" i="21"/>
  <c r="J54" i="21"/>
  <c r="G54" i="21"/>
  <c r="R53" i="21"/>
  <c r="N53" i="21"/>
  <c r="J53" i="21"/>
  <c r="G53" i="21"/>
  <c r="R52" i="21"/>
  <c r="N52" i="21"/>
  <c r="J52" i="21"/>
  <c r="G52" i="21"/>
  <c r="R51" i="21"/>
  <c r="N51" i="21"/>
  <c r="J51" i="21"/>
  <c r="G51" i="21"/>
  <c r="R50" i="21"/>
  <c r="N50" i="21"/>
  <c r="J50" i="21"/>
  <c r="G50" i="21"/>
  <c r="R49" i="21"/>
  <c r="N49" i="21"/>
  <c r="J49" i="21"/>
  <c r="G49" i="21"/>
  <c r="R48" i="21"/>
  <c r="N48" i="21"/>
  <c r="J48" i="21"/>
  <c r="G48" i="21"/>
  <c r="R47" i="21"/>
  <c r="N47" i="21"/>
  <c r="J47" i="21"/>
  <c r="G47" i="21"/>
  <c r="R46" i="21"/>
  <c r="N46" i="21"/>
  <c r="J46" i="21"/>
  <c r="G46" i="21"/>
  <c r="R45" i="21"/>
  <c r="N45" i="21"/>
  <c r="J45" i="21"/>
  <c r="G45" i="21"/>
  <c r="R44" i="21"/>
  <c r="N44" i="21"/>
  <c r="J44" i="21"/>
  <c r="G44" i="21"/>
  <c r="R43" i="21"/>
  <c r="N43" i="21"/>
  <c r="J43" i="21"/>
  <c r="G43" i="21"/>
  <c r="R42" i="21"/>
  <c r="N42" i="21"/>
  <c r="J42" i="21"/>
  <c r="G42" i="21"/>
  <c r="R41" i="21"/>
  <c r="N41" i="21"/>
  <c r="J41" i="21"/>
  <c r="G41" i="21"/>
  <c r="R40" i="21"/>
  <c r="N40" i="21"/>
  <c r="J40" i="21"/>
  <c r="G40" i="21"/>
  <c r="R39" i="21"/>
  <c r="N39" i="21"/>
  <c r="J39" i="21"/>
  <c r="G39" i="21"/>
  <c r="R38" i="21"/>
  <c r="N38" i="21"/>
  <c r="J38" i="21"/>
  <c r="G38" i="21"/>
  <c r="R37" i="21"/>
  <c r="N37" i="21"/>
  <c r="J37" i="21"/>
  <c r="G37" i="21"/>
  <c r="R36" i="21"/>
  <c r="N36" i="21"/>
  <c r="J36" i="21"/>
  <c r="G36" i="21"/>
  <c r="R35" i="21"/>
  <c r="N35" i="21"/>
  <c r="J35" i="21"/>
  <c r="G35" i="21"/>
  <c r="R34" i="21"/>
  <c r="N34" i="21"/>
  <c r="J34" i="21"/>
  <c r="G34" i="21"/>
  <c r="R33" i="21"/>
  <c r="N33" i="21"/>
  <c r="J33" i="21"/>
  <c r="G33" i="21"/>
  <c r="R32" i="21"/>
  <c r="N32" i="21"/>
  <c r="J32" i="21"/>
  <c r="G32" i="21"/>
  <c r="R31" i="21"/>
  <c r="N31" i="21"/>
  <c r="J31" i="21"/>
  <c r="G31" i="21"/>
  <c r="R30" i="21"/>
  <c r="N30" i="21"/>
  <c r="J30" i="21"/>
  <c r="G30" i="21"/>
  <c r="R29" i="21"/>
  <c r="N29" i="21"/>
  <c r="J29" i="21"/>
  <c r="G29" i="21"/>
  <c r="R28" i="21"/>
  <c r="N28" i="21"/>
  <c r="J28" i="21"/>
  <c r="G28" i="21"/>
  <c r="R27" i="21"/>
  <c r="N27" i="21"/>
  <c r="J27" i="21"/>
  <c r="G27" i="21"/>
  <c r="R26" i="21"/>
  <c r="N26" i="21"/>
  <c r="J26" i="21"/>
  <c r="G26" i="21"/>
  <c r="R25" i="21"/>
  <c r="N25" i="21"/>
  <c r="J25" i="21"/>
  <c r="G25" i="21"/>
  <c r="R24" i="21"/>
  <c r="N24" i="21"/>
  <c r="J24" i="21"/>
  <c r="G24" i="21"/>
  <c r="R23" i="21"/>
  <c r="N23" i="21"/>
  <c r="J23" i="21"/>
  <c r="G23" i="21"/>
  <c r="R22" i="21"/>
  <c r="N22" i="21"/>
  <c r="J22" i="21"/>
  <c r="G22" i="21"/>
  <c r="R21" i="21"/>
  <c r="N21" i="21"/>
  <c r="J21" i="21"/>
  <c r="G21" i="21"/>
  <c r="R20" i="21"/>
  <c r="N20" i="21"/>
  <c r="J20" i="21"/>
  <c r="G20" i="21"/>
  <c r="R19" i="21"/>
  <c r="N19" i="21"/>
  <c r="J19" i="21"/>
  <c r="R18" i="21"/>
  <c r="N18" i="21"/>
  <c r="J18" i="21"/>
  <c r="R17" i="21"/>
  <c r="N17" i="21"/>
  <c r="J17" i="21"/>
  <c r="R16" i="21"/>
  <c r="N16" i="21"/>
  <c r="J16" i="21"/>
  <c r="R15" i="21"/>
  <c r="N15" i="21"/>
  <c r="J15" i="21"/>
  <c r="R14" i="21"/>
  <c r="N14" i="21"/>
  <c r="J14" i="21"/>
  <c r="S13" i="21"/>
  <c r="S101" i="21"/>
  <c r="N13" i="21"/>
  <c r="J13" i="21"/>
  <c r="AA12" i="21"/>
  <c r="R12" i="21"/>
  <c r="N12" i="21"/>
  <c r="J12" i="21"/>
  <c r="AA11" i="21"/>
  <c r="R11" i="21"/>
  <c r="N11" i="21"/>
  <c r="J11" i="21"/>
  <c r="AA10" i="21"/>
  <c r="R10" i="21"/>
  <c r="N10" i="21"/>
  <c r="J10" i="21"/>
  <c r="AA9" i="21"/>
  <c r="R9" i="21"/>
  <c r="N9" i="21"/>
  <c r="J9" i="21"/>
  <c r="N8" i="21"/>
  <c r="J8" i="21"/>
  <c r="R7" i="21"/>
  <c r="N7" i="21"/>
  <c r="J7" i="21"/>
  <c r="R6" i="21"/>
  <c r="N6" i="21"/>
  <c r="J6" i="21"/>
  <c r="R5" i="21"/>
  <c r="N5" i="21"/>
  <c r="J5" i="21"/>
  <c r="R4" i="21"/>
  <c r="N4" i="21"/>
  <c r="J4" i="21"/>
  <c r="Q101" i="20"/>
  <c r="P101" i="20"/>
  <c r="O101" i="20"/>
  <c r="N101" i="20"/>
  <c r="H101" i="20"/>
  <c r="E101" i="20"/>
  <c r="D101" i="20"/>
  <c r="R100" i="20"/>
  <c r="N100" i="20"/>
  <c r="J100" i="20"/>
  <c r="G100" i="20"/>
  <c r="R99" i="20"/>
  <c r="N99" i="20"/>
  <c r="J99" i="20"/>
  <c r="G99" i="20"/>
  <c r="R98" i="20"/>
  <c r="N98" i="20"/>
  <c r="J98" i="20"/>
  <c r="G98" i="20"/>
  <c r="L98" i="20"/>
  <c r="R97" i="20"/>
  <c r="N97" i="20"/>
  <c r="J97" i="20"/>
  <c r="G97" i="20"/>
  <c r="R96" i="20"/>
  <c r="N96" i="20"/>
  <c r="J96" i="20"/>
  <c r="G96" i="20"/>
  <c r="R95" i="20"/>
  <c r="N95" i="20"/>
  <c r="J95" i="20"/>
  <c r="G95" i="20"/>
  <c r="R94" i="20"/>
  <c r="N94" i="20"/>
  <c r="J94" i="20"/>
  <c r="G94" i="20"/>
  <c r="R93" i="20"/>
  <c r="N93" i="20"/>
  <c r="J93" i="20"/>
  <c r="G93" i="20"/>
  <c r="R92" i="20"/>
  <c r="N92" i="20"/>
  <c r="J92" i="20"/>
  <c r="G92" i="20"/>
  <c r="R91" i="20"/>
  <c r="N91" i="20"/>
  <c r="J91" i="20"/>
  <c r="G91" i="20"/>
  <c r="R90" i="20"/>
  <c r="N90" i="20"/>
  <c r="J90" i="20"/>
  <c r="G90" i="20"/>
  <c r="R89" i="20"/>
  <c r="N89" i="20"/>
  <c r="J89" i="20"/>
  <c r="G89" i="20"/>
  <c r="R88" i="20"/>
  <c r="N88" i="20"/>
  <c r="J88" i="20"/>
  <c r="G88" i="20"/>
  <c r="L88" i="20"/>
  <c r="R87" i="20"/>
  <c r="N87" i="20"/>
  <c r="J87" i="20"/>
  <c r="G87" i="20"/>
  <c r="R86" i="20"/>
  <c r="N86" i="20"/>
  <c r="J86" i="20"/>
  <c r="G86" i="20"/>
  <c r="R85" i="20"/>
  <c r="N85" i="20"/>
  <c r="J85" i="20"/>
  <c r="G85" i="20"/>
  <c r="R84" i="20"/>
  <c r="N84" i="20"/>
  <c r="J84" i="20"/>
  <c r="G84" i="20"/>
  <c r="R83" i="20"/>
  <c r="N83" i="20"/>
  <c r="J83" i="20"/>
  <c r="G83" i="20"/>
  <c r="R82" i="20"/>
  <c r="N82" i="20"/>
  <c r="J82" i="20"/>
  <c r="G82" i="20"/>
  <c r="R81" i="20"/>
  <c r="N81" i="20"/>
  <c r="J81" i="20"/>
  <c r="G81" i="20"/>
  <c r="R80" i="20"/>
  <c r="N80" i="20"/>
  <c r="J80" i="20"/>
  <c r="G80" i="20"/>
  <c r="R79" i="20"/>
  <c r="N79" i="20"/>
  <c r="J79" i="20"/>
  <c r="G79" i="20"/>
  <c r="R78" i="20"/>
  <c r="N78" i="20"/>
  <c r="J78" i="20"/>
  <c r="G78" i="20"/>
  <c r="L78" i="20"/>
  <c r="R77" i="20"/>
  <c r="N77" i="20"/>
  <c r="J77" i="20"/>
  <c r="G77" i="20"/>
  <c r="L77" i="20"/>
  <c r="R76" i="20"/>
  <c r="N76" i="20"/>
  <c r="J76" i="20"/>
  <c r="G76" i="20"/>
  <c r="L76" i="20"/>
  <c r="R75" i="20"/>
  <c r="N75" i="20"/>
  <c r="J75" i="20"/>
  <c r="G75" i="20"/>
  <c r="R74" i="20"/>
  <c r="N74" i="20"/>
  <c r="J74" i="20"/>
  <c r="G74" i="20"/>
  <c r="R73" i="20"/>
  <c r="N73" i="20"/>
  <c r="J73" i="20"/>
  <c r="G73" i="20"/>
  <c r="L73" i="20"/>
  <c r="R72" i="20"/>
  <c r="N72" i="20"/>
  <c r="J72" i="20"/>
  <c r="G72" i="20"/>
  <c r="L72" i="20"/>
  <c r="R71" i="20"/>
  <c r="N71" i="20"/>
  <c r="J71" i="20"/>
  <c r="G71" i="20"/>
  <c r="R70" i="20"/>
  <c r="N70" i="20"/>
  <c r="J70" i="20"/>
  <c r="G70" i="20"/>
  <c r="R69" i="20"/>
  <c r="N69" i="20"/>
  <c r="J69" i="20"/>
  <c r="G69" i="20"/>
  <c r="R68" i="20"/>
  <c r="N68" i="20"/>
  <c r="J68" i="20"/>
  <c r="G68" i="20"/>
  <c r="R67" i="20"/>
  <c r="N67" i="20"/>
  <c r="J67" i="20"/>
  <c r="G67" i="20"/>
  <c r="R66" i="20"/>
  <c r="N66" i="20"/>
  <c r="J66" i="20"/>
  <c r="G66" i="20"/>
  <c r="R65" i="20"/>
  <c r="N65" i="20"/>
  <c r="J65" i="20"/>
  <c r="G65" i="20"/>
  <c r="R64" i="20"/>
  <c r="N64" i="20"/>
  <c r="J64" i="20"/>
  <c r="G64" i="20"/>
  <c r="R63" i="20"/>
  <c r="N63" i="20"/>
  <c r="J63" i="20"/>
  <c r="G63" i="20"/>
  <c r="R62" i="20"/>
  <c r="N62" i="20"/>
  <c r="J62" i="20"/>
  <c r="G62" i="20"/>
  <c r="R61" i="20"/>
  <c r="N61" i="20"/>
  <c r="J61" i="20"/>
  <c r="G61" i="20"/>
  <c r="L61" i="20"/>
  <c r="R60" i="20"/>
  <c r="N60" i="20"/>
  <c r="J60" i="20"/>
  <c r="G60" i="20"/>
  <c r="L60" i="20"/>
  <c r="R59" i="20"/>
  <c r="N59" i="20"/>
  <c r="J59" i="20"/>
  <c r="G59" i="20"/>
  <c r="R58" i="20"/>
  <c r="N58" i="20"/>
  <c r="J58" i="20"/>
  <c r="G58" i="20"/>
  <c r="R57" i="20"/>
  <c r="N57" i="20"/>
  <c r="J57" i="20"/>
  <c r="G57" i="20"/>
  <c r="L57" i="20"/>
  <c r="R56" i="20"/>
  <c r="N56" i="20"/>
  <c r="J56" i="20"/>
  <c r="G56" i="20"/>
  <c r="L56" i="20"/>
  <c r="R55" i="20"/>
  <c r="N55" i="20"/>
  <c r="J55" i="20"/>
  <c r="G55" i="20"/>
  <c r="R54" i="20"/>
  <c r="N54" i="20"/>
  <c r="J54" i="20"/>
  <c r="G54" i="20"/>
  <c r="R53" i="20"/>
  <c r="N53" i="20"/>
  <c r="J53" i="20"/>
  <c r="G53" i="20"/>
  <c r="R52" i="20"/>
  <c r="N52" i="20"/>
  <c r="J52" i="20"/>
  <c r="G52" i="20"/>
  <c r="R51" i="20"/>
  <c r="N51" i="20"/>
  <c r="J51" i="20"/>
  <c r="G51" i="20"/>
  <c r="R50" i="20"/>
  <c r="N50" i="20"/>
  <c r="J50" i="20"/>
  <c r="G50" i="20"/>
  <c r="R49" i="20"/>
  <c r="N49" i="20"/>
  <c r="J49" i="20"/>
  <c r="G49" i="20"/>
  <c r="R48" i="20"/>
  <c r="N48" i="20"/>
  <c r="J48" i="20"/>
  <c r="G48" i="20"/>
  <c r="R47" i="20"/>
  <c r="N47" i="20"/>
  <c r="J47" i="20"/>
  <c r="G47" i="20"/>
  <c r="R46" i="20"/>
  <c r="N46" i="20"/>
  <c r="J46" i="20"/>
  <c r="G46" i="20"/>
  <c r="L46" i="20"/>
  <c r="R45" i="20"/>
  <c r="N45" i="20"/>
  <c r="J45" i="20"/>
  <c r="G45" i="20"/>
  <c r="L45" i="20"/>
  <c r="R44" i="20"/>
  <c r="N44" i="20"/>
  <c r="J44" i="20"/>
  <c r="G44" i="20"/>
  <c r="L44" i="20"/>
  <c r="R43" i="20"/>
  <c r="N43" i="20"/>
  <c r="J43" i="20"/>
  <c r="G43" i="20"/>
  <c r="R42" i="20"/>
  <c r="N42" i="20"/>
  <c r="J42" i="20"/>
  <c r="G42" i="20"/>
  <c r="R41" i="20"/>
  <c r="N41" i="20"/>
  <c r="J41" i="20"/>
  <c r="G41" i="20"/>
  <c r="L41" i="20"/>
  <c r="R40" i="20"/>
  <c r="N40" i="20"/>
  <c r="J40" i="20"/>
  <c r="G40" i="20"/>
  <c r="L40" i="20"/>
  <c r="R39" i="20"/>
  <c r="N39" i="20"/>
  <c r="J39" i="20"/>
  <c r="G39" i="20"/>
  <c r="R38" i="20"/>
  <c r="N38" i="20"/>
  <c r="J38" i="20"/>
  <c r="G38" i="20"/>
  <c r="R37" i="20"/>
  <c r="N37" i="20"/>
  <c r="J37" i="20"/>
  <c r="G37" i="20"/>
  <c r="R36" i="20"/>
  <c r="N36" i="20"/>
  <c r="J36" i="20"/>
  <c r="G36" i="20"/>
  <c r="R35" i="20"/>
  <c r="N35" i="20"/>
  <c r="J35" i="20"/>
  <c r="G35" i="20"/>
  <c r="R34" i="20"/>
  <c r="N34" i="20"/>
  <c r="J34" i="20"/>
  <c r="G34" i="20"/>
  <c r="R33" i="20"/>
  <c r="N33" i="20"/>
  <c r="J33" i="20"/>
  <c r="G33" i="20"/>
  <c r="R32" i="20"/>
  <c r="N32" i="20"/>
  <c r="J32" i="20"/>
  <c r="G32" i="20"/>
  <c r="R31" i="20"/>
  <c r="N31" i="20"/>
  <c r="J31" i="20"/>
  <c r="G31" i="20"/>
  <c r="R30" i="20"/>
  <c r="N30" i="20"/>
  <c r="J30" i="20"/>
  <c r="G30" i="20"/>
  <c r="R29" i="20"/>
  <c r="N29" i="20"/>
  <c r="J29" i="20"/>
  <c r="G29" i="20"/>
  <c r="R28" i="20"/>
  <c r="N28" i="20"/>
  <c r="J28" i="20"/>
  <c r="G28" i="20"/>
  <c r="R27" i="20"/>
  <c r="N27" i="20"/>
  <c r="J27" i="20"/>
  <c r="G27" i="20"/>
  <c r="R26" i="20"/>
  <c r="N26" i="20"/>
  <c r="J26" i="20"/>
  <c r="G26" i="20"/>
  <c r="R25" i="20"/>
  <c r="N25" i="20"/>
  <c r="J25" i="20"/>
  <c r="G25" i="20"/>
  <c r="R24" i="20"/>
  <c r="N24" i="20"/>
  <c r="J24" i="20"/>
  <c r="G24" i="20"/>
  <c r="R23" i="20"/>
  <c r="N23" i="20"/>
  <c r="J23" i="20"/>
  <c r="G23" i="20"/>
  <c r="R22" i="20"/>
  <c r="N22" i="20"/>
  <c r="J22" i="20"/>
  <c r="G22" i="20"/>
  <c r="R21" i="20"/>
  <c r="N21" i="20"/>
  <c r="J21" i="20"/>
  <c r="G21" i="20"/>
  <c r="R20" i="20"/>
  <c r="N20" i="20"/>
  <c r="J20" i="20"/>
  <c r="G20" i="20"/>
  <c r="R19" i="20"/>
  <c r="N19" i="20"/>
  <c r="J19" i="20"/>
  <c r="G19" i="20"/>
  <c r="R18" i="20"/>
  <c r="N18" i="20"/>
  <c r="J18" i="20"/>
  <c r="G18" i="20"/>
  <c r="R17" i="20"/>
  <c r="N17" i="20"/>
  <c r="J17" i="20"/>
  <c r="G17" i="20"/>
  <c r="R16" i="20"/>
  <c r="N16" i="20"/>
  <c r="J16" i="20"/>
  <c r="G16" i="20"/>
  <c r="R15" i="20"/>
  <c r="N15" i="20"/>
  <c r="J15" i="20"/>
  <c r="G15" i="20"/>
  <c r="R14" i="20"/>
  <c r="N14" i="20"/>
  <c r="J14" i="20"/>
  <c r="G14" i="20"/>
  <c r="S13" i="20"/>
  <c r="S101" i="20"/>
  <c r="N13" i="20"/>
  <c r="J13" i="20"/>
  <c r="G13" i="20"/>
  <c r="AA12" i="20"/>
  <c r="R12" i="20"/>
  <c r="N12" i="20"/>
  <c r="J12" i="20"/>
  <c r="G12" i="20"/>
  <c r="AA11" i="20"/>
  <c r="R11" i="20"/>
  <c r="N11" i="20"/>
  <c r="J11" i="20"/>
  <c r="G11" i="20"/>
  <c r="AA10" i="20"/>
  <c r="R10" i="20"/>
  <c r="N10" i="20"/>
  <c r="J10" i="20"/>
  <c r="G10" i="20"/>
  <c r="AA9" i="20"/>
  <c r="R9" i="20"/>
  <c r="N9" i="20"/>
  <c r="J9" i="20"/>
  <c r="G9" i="20"/>
  <c r="N8" i="20"/>
  <c r="J8" i="20"/>
  <c r="G8" i="20"/>
  <c r="R7" i="20"/>
  <c r="N7" i="20"/>
  <c r="J7" i="20"/>
  <c r="G7" i="20"/>
  <c r="R6" i="20"/>
  <c r="N6" i="20"/>
  <c r="J6" i="20"/>
  <c r="G6" i="20"/>
  <c r="R5" i="20"/>
  <c r="N5" i="20"/>
  <c r="J5" i="20"/>
  <c r="G5" i="20"/>
  <c r="R4" i="20"/>
  <c r="N4" i="20"/>
  <c r="J4" i="20"/>
  <c r="G4" i="20"/>
  <c r="Q101" i="4"/>
  <c r="P101" i="4"/>
  <c r="O101" i="4"/>
  <c r="N101" i="4"/>
  <c r="H101" i="4"/>
  <c r="E101" i="4"/>
  <c r="D101" i="4"/>
  <c r="R100" i="4"/>
  <c r="N100" i="4"/>
  <c r="J100" i="4"/>
  <c r="G100" i="4"/>
  <c r="R99" i="4"/>
  <c r="N99" i="4"/>
  <c r="J99" i="4"/>
  <c r="G99" i="4"/>
  <c r="R98" i="4"/>
  <c r="N98" i="4"/>
  <c r="J98" i="4"/>
  <c r="G98" i="4"/>
  <c r="R97" i="4"/>
  <c r="N97" i="4"/>
  <c r="J97" i="4"/>
  <c r="G97" i="4"/>
  <c r="R96" i="4"/>
  <c r="N96" i="4"/>
  <c r="J96" i="4"/>
  <c r="G96" i="4"/>
  <c r="R95" i="4"/>
  <c r="N95" i="4"/>
  <c r="J95" i="4"/>
  <c r="G95" i="4"/>
  <c r="R94" i="4"/>
  <c r="N94" i="4"/>
  <c r="J94" i="4"/>
  <c r="G94" i="4"/>
  <c r="R93" i="4"/>
  <c r="N93" i="4"/>
  <c r="J93" i="4"/>
  <c r="G93" i="4"/>
  <c r="R92" i="4"/>
  <c r="N92" i="4"/>
  <c r="J92" i="4"/>
  <c r="G92" i="4"/>
  <c r="R91" i="4"/>
  <c r="N91" i="4"/>
  <c r="J91" i="4"/>
  <c r="G91" i="4"/>
  <c r="R90" i="4"/>
  <c r="N90" i="4"/>
  <c r="J90" i="4"/>
  <c r="G90" i="4"/>
  <c r="R89" i="4"/>
  <c r="N89" i="4"/>
  <c r="J89" i="4"/>
  <c r="G89" i="4"/>
  <c r="R88" i="4"/>
  <c r="N88" i="4"/>
  <c r="J88" i="4"/>
  <c r="G88" i="4"/>
  <c r="R87" i="4"/>
  <c r="N87" i="4"/>
  <c r="J87" i="4"/>
  <c r="G87" i="4"/>
  <c r="R86" i="4"/>
  <c r="N86" i="4"/>
  <c r="J86" i="4"/>
  <c r="G86" i="4"/>
  <c r="R85" i="4"/>
  <c r="N85" i="4"/>
  <c r="J85" i="4"/>
  <c r="G85" i="4"/>
  <c r="R84" i="4"/>
  <c r="N84" i="4"/>
  <c r="J84" i="4"/>
  <c r="G84" i="4"/>
  <c r="R83" i="4"/>
  <c r="N83" i="4"/>
  <c r="J83" i="4"/>
  <c r="G83" i="4"/>
  <c r="R82" i="4"/>
  <c r="N82" i="4"/>
  <c r="J82" i="4"/>
  <c r="G82" i="4"/>
  <c r="R81" i="4"/>
  <c r="N81" i="4"/>
  <c r="J81" i="4"/>
  <c r="G81" i="4"/>
  <c r="R80" i="4"/>
  <c r="N80" i="4"/>
  <c r="J80" i="4"/>
  <c r="G80" i="4"/>
  <c r="R79" i="4"/>
  <c r="N79" i="4"/>
  <c r="J79" i="4"/>
  <c r="G79" i="4"/>
  <c r="R78" i="4"/>
  <c r="N78" i="4"/>
  <c r="J78" i="4"/>
  <c r="G78" i="4"/>
  <c r="R77" i="4"/>
  <c r="N77" i="4"/>
  <c r="J77" i="4"/>
  <c r="G77" i="4"/>
  <c r="R76" i="4"/>
  <c r="N76" i="4"/>
  <c r="J76" i="4"/>
  <c r="G76" i="4"/>
  <c r="R75" i="4"/>
  <c r="N75" i="4"/>
  <c r="J75" i="4"/>
  <c r="G75" i="4"/>
  <c r="R74" i="4"/>
  <c r="N74" i="4"/>
  <c r="J74" i="4"/>
  <c r="G74" i="4"/>
  <c r="R73" i="4"/>
  <c r="N73" i="4"/>
  <c r="J73" i="4"/>
  <c r="G73" i="4"/>
  <c r="R72" i="4"/>
  <c r="N72" i="4"/>
  <c r="J72" i="4"/>
  <c r="G72" i="4"/>
  <c r="R71" i="4"/>
  <c r="N71" i="4"/>
  <c r="J71" i="4"/>
  <c r="G71" i="4"/>
  <c r="R70" i="4"/>
  <c r="N70" i="4"/>
  <c r="J70" i="4"/>
  <c r="G70" i="4"/>
  <c r="R69" i="4"/>
  <c r="N69" i="4"/>
  <c r="J69" i="4"/>
  <c r="G69" i="4"/>
  <c r="R68" i="4"/>
  <c r="N68" i="4"/>
  <c r="J68" i="4"/>
  <c r="G68" i="4"/>
  <c r="R67" i="4"/>
  <c r="N67" i="4"/>
  <c r="J67" i="4"/>
  <c r="G67" i="4"/>
  <c r="R66" i="4"/>
  <c r="N66" i="4"/>
  <c r="J66" i="4"/>
  <c r="G66" i="4"/>
  <c r="R65" i="4"/>
  <c r="N65" i="4"/>
  <c r="J65" i="4"/>
  <c r="G65" i="4"/>
  <c r="R64" i="4"/>
  <c r="N64" i="4"/>
  <c r="J64" i="4"/>
  <c r="G64" i="4"/>
  <c r="R63" i="4"/>
  <c r="N63" i="4"/>
  <c r="J63" i="4"/>
  <c r="G63" i="4"/>
  <c r="R62" i="4"/>
  <c r="N62" i="4"/>
  <c r="J62" i="4"/>
  <c r="G62" i="4"/>
  <c r="R61" i="4"/>
  <c r="N61" i="4"/>
  <c r="J61" i="4"/>
  <c r="G61" i="4"/>
  <c r="R60" i="4"/>
  <c r="N60" i="4"/>
  <c r="J60" i="4"/>
  <c r="G60" i="4"/>
  <c r="R59" i="4"/>
  <c r="N59" i="4"/>
  <c r="J59" i="4"/>
  <c r="G59" i="4"/>
  <c r="R58" i="4"/>
  <c r="N58" i="4"/>
  <c r="J58" i="4"/>
  <c r="G58" i="4"/>
  <c r="R57" i="4"/>
  <c r="N57" i="4"/>
  <c r="J57" i="4"/>
  <c r="G57" i="4"/>
  <c r="R56" i="4"/>
  <c r="N56" i="4"/>
  <c r="J56" i="4"/>
  <c r="G56" i="4"/>
  <c r="R55" i="4"/>
  <c r="N55" i="4"/>
  <c r="J55" i="4"/>
  <c r="G55" i="4"/>
  <c r="R54" i="4"/>
  <c r="N54" i="4"/>
  <c r="J54" i="4"/>
  <c r="G54" i="4"/>
  <c r="R53" i="4"/>
  <c r="N53" i="4"/>
  <c r="J53" i="4"/>
  <c r="G53" i="4"/>
  <c r="R52" i="4"/>
  <c r="N52" i="4"/>
  <c r="J52" i="4"/>
  <c r="G52" i="4"/>
  <c r="R51" i="4"/>
  <c r="N51" i="4"/>
  <c r="J51" i="4"/>
  <c r="G51" i="4"/>
  <c r="R50" i="4"/>
  <c r="N50" i="4"/>
  <c r="J50" i="4"/>
  <c r="G50" i="4"/>
  <c r="R49" i="4"/>
  <c r="N49" i="4"/>
  <c r="J49" i="4"/>
  <c r="G49" i="4"/>
  <c r="R48" i="4"/>
  <c r="N48" i="4"/>
  <c r="J48" i="4"/>
  <c r="G48" i="4"/>
  <c r="R47" i="4"/>
  <c r="N47" i="4"/>
  <c r="J47" i="4"/>
  <c r="G47" i="4"/>
  <c r="R46" i="4"/>
  <c r="N46" i="4"/>
  <c r="J46" i="4"/>
  <c r="G46" i="4"/>
  <c r="R45" i="4"/>
  <c r="N45" i="4"/>
  <c r="J45" i="4"/>
  <c r="G45" i="4"/>
  <c r="R44" i="4"/>
  <c r="N44" i="4"/>
  <c r="J44" i="4"/>
  <c r="G44" i="4"/>
  <c r="R43" i="4"/>
  <c r="N43" i="4"/>
  <c r="J43" i="4"/>
  <c r="G43" i="4"/>
  <c r="R42" i="4"/>
  <c r="N42" i="4"/>
  <c r="J42" i="4"/>
  <c r="G42" i="4"/>
  <c r="R41" i="4"/>
  <c r="N41" i="4"/>
  <c r="J41" i="4"/>
  <c r="G41" i="4"/>
  <c r="R40" i="4"/>
  <c r="N40" i="4"/>
  <c r="J40" i="4"/>
  <c r="G40" i="4"/>
  <c r="R39" i="4"/>
  <c r="N39" i="4"/>
  <c r="J39" i="4"/>
  <c r="G39" i="4"/>
  <c r="R38" i="4"/>
  <c r="N38" i="4"/>
  <c r="J38" i="4"/>
  <c r="G38" i="4"/>
  <c r="R37" i="4"/>
  <c r="N37" i="4"/>
  <c r="J37" i="4"/>
  <c r="G37" i="4"/>
  <c r="R36" i="4"/>
  <c r="N36" i="4"/>
  <c r="J36" i="4"/>
  <c r="G36" i="4"/>
  <c r="R35" i="4"/>
  <c r="N35" i="4"/>
  <c r="J35" i="4"/>
  <c r="G35" i="4"/>
  <c r="R34" i="4"/>
  <c r="N34" i="4"/>
  <c r="J34" i="4"/>
  <c r="G34" i="4"/>
  <c r="R33" i="4"/>
  <c r="N33" i="4"/>
  <c r="J33" i="4"/>
  <c r="G33" i="4"/>
  <c r="R32" i="4"/>
  <c r="N32" i="4"/>
  <c r="J32" i="4"/>
  <c r="G32" i="4"/>
  <c r="R31" i="4"/>
  <c r="N31" i="4"/>
  <c r="J31" i="4"/>
  <c r="G31" i="4"/>
  <c r="R30" i="4"/>
  <c r="N30" i="4"/>
  <c r="J30" i="4"/>
  <c r="G30" i="4"/>
  <c r="R29" i="4"/>
  <c r="N29" i="4"/>
  <c r="J29" i="4"/>
  <c r="G29" i="4"/>
  <c r="R28" i="4"/>
  <c r="N28" i="4"/>
  <c r="J28" i="4"/>
  <c r="G28" i="4"/>
  <c r="R27" i="4"/>
  <c r="N27" i="4"/>
  <c r="J27" i="4"/>
  <c r="G27" i="4"/>
  <c r="R26" i="4"/>
  <c r="N26" i="4"/>
  <c r="J26" i="4"/>
  <c r="G26" i="4"/>
  <c r="R25" i="4"/>
  <c r="N25" i="4"/>
  <c r="J25" i="4"/>
  <c r="G25" i="4"/>
  <c r="R24" i="4"/>
  <c r="N24" i="4"/>
  <c r="J24" i="4"/>
  <c r="G24" i="4"/>
  <c r="R23" i="4"/>
  <c r="N23" i="4"/>
  <c r="J23" i="4"/>
  <c r="G23" i="4"/>
  <c r="R22" i="4"/>
  <c r="N22" i="4"/>
  <c r="J22" i="4"/>
  <c r="G22" i="4"/>
  <c r="R21" i="4"/>
  <c r="N21" i="4"/>
  <c r="J21" i="4"/>
  <c r="G21" i="4"/>
  <c r="R20" i="4"/>
  <c r="N20" i="4"/>
  <c r="J20" i="4"/>
  <c r="G20" i="4"/>
  <c r="R19" i="4"/>
  <c r="N19" i="4"/>
  <c r="J19" i="4"/>
  <c r="G19" i="4"/>
  <c r="R18" i="4"/>
  <c r="N18" i="4"/>
  <c r="J18" i="4"/>
  <c r="G18" i="4"/>
  <c r="R17" i="4"/>
  <c r="N17" i="4"/>
  <c r="J17" i="4"/>
  <c r="G17" i="4"/>
  <c r="R16" i="4"/>
  <c r="N16" i="4"/>
  <c r="J16" i="4"/>
  <c r="G16" i="4"/>
  <c r="R15" i="4"/>
  <c r="N15" i="4"/>
  <c r="J15" i="4"/>
  <c r="G15" i="4"/>
  <c r="R14" i="4"/>
  <c r="N14" i="4"/>
  <c r="J14" i="4"/>
  <c r="G14" i="4"/>
  <c r="S13" i="4"/>
  <c r="S101" i="4"/>
  <c r="N13" i="4"/>
  <c r="J13" i="4"/>
  <c r="G13" i="4"/>
  <c r="AA12" i="4"/>
  <c r="R12" i="4"/>
  <c r="N12" i="4"/>
  <c r="J12" i="4"/>
  <c r="G12" i="4"/>
  <c r="AA11" i="4"/>
  <c r="R11" i="4"/>
  <c r="N11" i="4"/>
  <c r="J11" i="4"/>
  <c r="G11" i="4"/>
  <c r="AA10" i="4"/>
  <c r="R10" i="4"/>
  <c r="N10" i="4"/>
  <c r="J10" i="4"/>
  <c r="G10" i="4"/>
  <c r="AA9" i="4"/>
  <c r="R9" i="4"/>
  <c r="N9" i="4"/>
  <c r="J9" i="4"/>
  <c r="G9" i="4"/>
  <c r="N8" i="4"/>
  <c r="J8" i="4"/>
  <c r="G8" i="4"/>
  <c r="R7" i="4"/>
  <c r="N7" i="4"/>
  <c r="J7" i="4"/>
  <c r="G7" i="4"/>
  <c r="R6" i="4"/>
  <c r="N6" i="4"/>
  <c r="J6" i="4"/>
  <c r="G6" i="4"/>
  <c r="R5" i="4"/>
  <c r="N5" i="4"/>
  <c r="J5" i="4"/>
  <c r="G5" i="4"/>
  <c r="R4" i="4"/>
  <c r="N4" i="4"/>
  <c r="J4" i="4"/>
  <c r="G4" i="4"/>
  <c r="S13" i="19"/>
  <c r="S101" i="19"/>
  <c r="Q101" i="19"/>
  <c r="P101" i="19"/>
  <c r="O101" i="19"/>
  <c r="N101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H101" i="19"/>
  <c r="E101" i="19"/>
  <c r="D101" i="19"/>
  <c r="R100" i="19"/>
  <c r="N100" i="19"/>
  <c r="G100" i="19"/>
  <c r="L100" i="19"/>
  <c r="R99" i="19"/>
  <c r="N99" i="19"/>
  <c r="G99" i="19"/>
  <c r="L99" i="19"/>
  <c r="R98" i="19"/>
  <c r="N98" i="19"/>
  <c r="G98" i="19"/>
  <c r="L98" i="19"/>
  <c r="R97" i="19"/>
  <c r="N97" i="19"/>
  <c r="G97" i="19"/>
  <c r="L97" i="19"/>
  <c r="R96" i="19"/>
  <c r="N96" i="19"/>
  <c r="G96" i="19"/>
  <c r="L96" i="19"/>
  <c r="R95" i="19"/>
  <c r="N95" i="19"/>
  <c r="G95" i="19"/>
  <c r="L95" i="19"/>
  <c r="R94" i="19"/>
  <c r="N94" i="19"/>
  <c r="G94" i="19"/>
  <c r="L94" i="19"/>
  <c r="R93" i="19"/>
  <c r="N93" i="19"/>
  <c r="G93" i="19"/>
  <c r="L93" i="19"/>
  <c r="R92" i="19"/>
  <c r="N92" i="19"/>
  <c r="G92" i="19"/>
  <c r="L92" i="19"/>
  <c r="R91" i="19"/>
  <c r="N91" i="19"/>
  <c r="G91" i="19"/>
  <c r="L91" i="19"/>
  <c r="R90" i="19"/>
  <c r="N90" i="19"/>
  <c r="G90" i="19"/>
  <c r="L90" i="19"/>
  <c r="R89" i="19"/>
  <c r="N89" i="19"/>
  <c r="G89" i="19"/>
  <c r="L89" i="19"/>
  <c r="R88" i="19"/>
  <c r="N88" i="19"/>
  <c r="G88" i="19"/>
  <c r="L88" i="19"/>
  <c r="R87" i="19"/>
  <c r="N87" i="19"/>
  <c r="G87" i="19"/>
  <c r="L87" i="19"/>
  <c r="R86" i="19"/>
  <c r="N86" i="19"/>
  <c r="G86" i="19"/>
  <c r="L86" i="19"/>
  <c r="R85" i="19"/>
  <c r="N85" i="19"/>
  <c r="G85" i="19"/>
  <c r="L85" i="19"/>
  <c r="R84" i="19"/>
  <c r="N84" i="19"/>
  <c r="G84" i="19"/>
  <c r="L84" i="19"/>
  <c r="R83" i="19"/>
  <c r="N83" i="19"/>
  <c r="G83" i="19"/>
  <c r="L83" i="19"/>
  <c r="R82" i="19"/>
  <c r="N82" i="19"/>
  <c r="G82" i="19"/>
  <c r="L82" i="19"/>
  <c r="R81" i="19"/>
  <c r="N81" i="19"/>
  <c r="G81" i="19"/>
  <c r="L81" i="19"/>
  <c r="R80" i="19"/>
  <c r="N80" i="19"/>
  <c r="G80" i="19"/>
  <c r="L80" i="19"/>
  <c r="R79" i="19"/>
  <c r="N79" i="19"/>
  <c r="G79" i="19"/>
  <c r="L79" i="19"/>
  <c r="R78" i="19"/>
  <c r="N78" i="19"/>
  <c r="G78" i="19"/>
  <c r="L78" i="19"/>
  <c r="R77" i="19"/>
  <c r="N77" i="19"/>
  <c r="G77" i="19"/>
  <c r="L77" i="19"/>
  <c r="R76" i="19"/>
  <c r="N76" i="19"/>
  <c r="G76" i="19"/>
  <c r="L76" i="19"/>
  <c r="R75" i="19"/>
  <c r="N75" i="19"/>
  <c r="G75" i="19"/>
  <c r="L75" i="19"/>
  <c r="R74" i="19"/>
  <c r="N74" i="19"/>
  <c r="G74" i="19"/>
  <c r="L74" i="19"/>
  <c r="R73" i="19"/>
  <c r="N73" i="19"/>
  <c r="G73" i="19"/>
  <c r="L73" i="19"/>
  <c r="R72" i="19"/>
  <c r="N72" i="19"/>
  <c r="G72" i="19"/>
  <c r="L72" i="19"/>
  <c r="R71" i="19"/>
  <c r="N71" i="19"/>
  <c r="G71" i="19"/>
  <c r="L71" i="19"/>
  <c r="R70" i="19"/>
  <c r="N70" i="19"/>
  <c r="G70" i="19"/>
  <c r="L70" i="19"/>
  <c r="R69" i="19"/>
  <c r="N69" i="19"/>
  <c r="G69" i="19"/>
  <c r="L69" i="19"/>
  <c r="R68" i="19"/>
  <c r="N68" i="19"/>
  <c r="G68" i="19"/>
  <c r="L68" i="19"/>
  <c r="R67" i="19"/>
  <c r="N67" i="19"/>
  <c r="G67" i="19"/>
  <c r="L67" i="19"/>
  <c r="R66" i="19"/>
  <c r="N66" i="19"/>
  <c r="G66" i="19"/>
  <c r="L66" i="19"/>
  <c r="R65" i="19"/>
  <c r="N65" i="19"/>
  <c r="G65" i="19"/>
  <c r="L65" i="19"/>
  <c r="R64" i="19"/>
  <c r="N64" i="19"/>
  <c r="G64" i="19"/>
  <c r="L64" i="19"/>
  <c r="R63" i="19"/>
  <c r="N63" i="19"/>
  <c r="G63" i="19"/>
  <c r="L63" i="19"/>
  <c r="R62" i="19"/>
  <c r="N62" i="19"/>
  <c r="G62" i="19"/>
  <c r="L62" i="19"/>
  <c r="R61" i="19"/>
  <c r="N61" i="19"/>
  <c r="G61" i="19"/>
  <c r="L61" i="19"/>
  <c r="R60" i="19"/>
  <c r="N60" i="19"/>
  <c r="G60" i="19"/>
  <c r="L60" i="19"/>
  <c r="R59" i="19"/>
  <c r="N59" i="19"/>
  <c r="G59" i="19"/>
  <c r="L59" i="19"/>
  <c r="R58" i="19"/>
  <c r="N58" i="19"/>
  <c r="G58" i="19"/>
  <c r="L58" i="19"/>
  <c r="R57" i="19"/>
  <c r="N57" i="19"/>
  <c r="G57" i="19"/>
  <c r="L57" i="19"/>
  <c r="R56" i="19"/>
  <c r="N56" i="19"/>
  <c r="G56" i="19"/>
  <c r="L56" i="19"/>
  <c r="R55" i="19"/>
  <c r="N55" i="19"/>
  <c r="G55" i="19"/>
  <c r="L55" i="19"/>
  <c r="R54" i="19"/>
  <c r="N54" i="19"/>
  <c r="G54" i="19"/>
  <c r="L54" i="19"/>
  <c r="R53" i="19"/>
  <c r="N53" i="19"/>
  <c r="G53" i="19"/>
  <c r="L53" i="19"/>
  <c r="R52" i="19"/>
  <c r="N52" i="19"/>
  <c r="G52" i="19"/>
  <c r="L52" i="19"/>
  <c r="R51" i="19"/>
  <c r="N51" i="19"/>
  <c r="G51" i="19"/>
  <c r="L51" i="19"/>
  <c r="R50" i="19"/>
  <c r="N50" i="19"/>
  <c r="G50" i="19"/>
  <c r="L50" i="19"/>
  <c r="R49" i="19"/>
  <c r="N49" i="19"/>
  <c r="G49" i="19"/>
  <c r="L49" i="19"/>
  <c r="R48" i="19"/>
  <c r="N48" i="19"/>
  <c r="G48" i="19"/>
  <c r="L48" i="19"/>
  <c r="R47" i="19"/>
  <c r="N47" i="19"/>
  <c r="G47" i="19"/>
  <c r="L47" i="19"/>
  <c r="R46" i="19"/>
  <c r="N46" i="19"/>
  <c r="G46" i="19"/>
  <c r="L46" i="19"/>
  <c r="R45" i="19"/>
  <c r="N45" i="19"/>
  <c r="G45" i="19"/>
  <c r="L45" i="19"/>
  <c r="R44" i="19"/>
  <c r="N44" i="19"/>
  <c r="G44" i="19"/>
  <c r="L44" i="19"/>
  <c r="R43" i="19"/>
  <c r="N43" i="19"/>
  <c r="G43" i="19"/>
  <c r="L43" i="19"/>
  <c r="R42" i="19"/>
  <c r="N42" i="19"/>
  <c r="G42" i="19"/>
  <c r="L42" i="19"/>
  <c r="R41" i="19"/>
  <c r="N41" i="19"/>
  <c r="G41" i="19"/>
  <c r="L41" i="19"/>
  <c r="R40" i="19"/>
  <c r="N40" i="19"/>
  <c r="G40" i="19"/>
  <c r="L40" i="19"/>
  <c r="R39" i="19"/>
  <c r="N39" i="19"/>
  <c r="G39" i="19"/>
  <c r="L39" i="19"/>
  <c r="R38" i="19"/>
  <c r="N38" i="19"/>
  <c r="G38" i="19"/>
  <c r="L38" i="19"/>
  <c r="R37" i="19"/>
  <c r="N37" i="19"/>
  <c r="G37" i="19"/>
  <c r="L37" i="19"/>
  <c r="R36" i="19"/>
  <c r="N36" i="19"/>
  <c r="G36" i="19"/>
  <c r="L36" i="19"/>
  <c r="R35" i="19"/>
  <c r="N35" i="19"/>
  <c r="G35" i="19"/>
  <c r="L35" i="19"/>
  <c r="R34" i="19"/>
  <c r="N34" i="19"/>
  <c r="G34" i="19"/>
  <c r="L34" i="19"/>
  <c r="R33" i="19"/>
  <c r="N33" i="19"/>
  <c r="G33" i="19"/>
  <c r="L33" i="19"/>
  <c r="R32" i="19"/>
  <c r="N32" i="19"/>
  <c r="G32" i="19"/>
  <c r="L32" i="19"/>
  <c r="R31" i="19"/>
  <c r="N31" i="19"/>
  <c r="G31" i="19"/>
  <c r="L31" i="19"/>
  <c r="R30" i="19"/>
  <c r="N30" i="19"/>
  <c r="G30" i="19"/>
  <c r="L30" i="19"/>
  <c r="R29" i="19"/>
  <c r="N29" i="19"/>
  <c r="G29" i="19"/>
  <c r="L29" i="19"/>
  <c r="R28" i="19"/>
  <c r="N28" i="19"/>
  <c r="G28" i="19"/>
  <c r="L28" i="19"/>
  <c r="R27" i="19"/>
  <c r="N27" i="19"/>
  <c r="G27" i="19"/>
  <c r="L27" i="19"/>
  <c r="R26" i="19"/>
  <c r="N26" i="19"/>
  <c r="G26" i="19"/>
  <c r="L26" i="19"/>
  <c r="R25" i="19"/>
  <c r="N25" i="19"/>
  <c r="G25" i="19"/>
  <c r="L25" i="19"/>
  <c r="R24" i="19"/>
  <c r="N24" i="19"/>
  <c r="G24" i="19"/>
  <c r="L24" i="19"/>
  <c r="R23" i="19"/>
  <c r="N23" i="19"/>
  <c r="G23" i="19"/>
  <c r="L23" i="19"/>
  <c r="R22" i="19"/>
  <c r="N22" i="19"/>
  <c r="G22" i="19"/>
  <c r="L22" i="19"/>
  <c r="R21" i="19"/>
  <c r="N21" i="19"/>
  <c r="G21" i="19"/>
  <c r="L21" i="19"/>
  <c r="R20" i="19"/>
  <c r="N20" i="19"/>
  <c r="G20" i="19"/>
  <c r="L20" i="19"/>
  <c r="R19" i="19"/>
  <c r="N19" i="19"/>
  <c r="G19" i="19"/>
  <c r="L19" i="19"/>
  <c r="R18" i="19"/>
  <c r="N18" i="19"/>
  <c r="G18" i="19"/>
  <c r="L18" i="19"/>
  <c r="R17" i="19"/>
  <c r="N17" i="19"/>
  <c r="G17" i="19"/>
  <c r="L17" i="19"/>
  <c r="R16" i="19"/>
  <c r="N16" i="19"/>
  <c r="G16" i="19"/>
  <c r="L16" i="19"/>
  <c r="R15" i="19"/>
  <c r="N15" i="19"/>
  <c r="G15" i="19"/>
  <c r="L15" i="19"/>
  <c r="R14" i="19"/>
  <c r="N14" i="19"/>
  <c r="G14" i="19"/>
  <c r="L14" i="19"/>
  <c r="N13" i="19"/>
  <c r="G13" i="19"/>
  <c r="L13" i="19"/>
  <c r="R13" i="19"/>
  <c r="AA12" i="19"/>
  <c r="R12" i="19"/>
  <c r="N12" i="19"/>
  <c r="G12" i="19"/>
  <c r="L12" i="19"/>
  <c r="AA11" i="19"/>
  <c r="R11" i="19"/>
  <c r="N11" i="19"/>
  <c r="G11" i="19"/>
  <c r="L11" i="19"/>
  <c r="AA10" i="19"/>
  <c r="R10" i="19"/>
  <c r="N10" i="19"/>
  <c r="G10" i="19"/>
  <c r="L10" i="19"/>
  <c r="AA9" i="19"/>
  <c r="R9" i="19"/>
  <c r="N9" i="19"/>
  <c r="G9" i="19"/>
  <c r="L9" i="19"/>
  <c r="N8" i="19"/>
  <c r="G8" i="19"/>
  <c r="L8" i="19"/>
  <c r="R8" i="19"/>
  <c r="R7" i="19"/>
  <c r="N7" i="19"/>
  <c r="G7" i="19"/>
  <c r="L7" i="19"/>
  <c r="R6" i="19"/>
  <c r="N6" i="19"/>
  <c r="G6" i="19"/>
  <c r="L6" i="19"/>
  <c r="R5" i="19"/>
  <c r="N5" i="19"/>
  <c r="G5" i="19"/>
  <c r="L5" i="19"/>
  <c r="R4" i="19"/>
  <c r="N4" i="19"/>
  <c r="G4" i="19"/>
  <c r="L4" i="19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A136" i="12"/>
  <c r="A135" i="12"/>
  <c r="A134" i="12"/>
  <c r="A133" i="12"/>
  <c r="A132" i="12"/>
  <c r="A131" i="12"/>
  <c r="A130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A127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A126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A125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A124" i="12"/>
  <c r="N123" i="12"/>
  <c r="M123" i="12"/>
  <c r="L123" i="12"/>
  <c r="K123" i="12"/>
  <c r="J123" i="12"/>
  <c r="I123" i="12"/>
  <c r="H123" i="12"/>
  <c r="G123" i="12"/>
  <c r="F123" i="12"/>
  <c r="E123" i="12"/>
  <c r="C123" i="12"/>
  <c r="A123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A122" i="12"/>
  <c r="A121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A120" i="12"/>
  <c r="B115" i="12"/>
  <c r="B114" i="12"/>
  <c r="B113" i="12"/>
  <c r="B112" i="12"/>
  <c r="B111" i="12"/>
  <c r="AF110" i="12"/>
  <c r="AE110" i="12"/>
  <c r="AD110" i="12"/>
  <c r="AC110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N136" i="12"/>
  <c r="M110" i="12"/>
  <c r="M136" i="12"/>
  <c r="L110" i="12"/>
  <c r="L136" i="12"/>
  <c r="K110" i="12"/>
  <c r="K136" i="12"/>
  <c r="J110" i="12"/>
  <c r="J136" i="12"/>
  <c r="I110" i="12"/>
  <c r="I136" i="12"/>
  <c r="H110" i="12"/>
  <c r="H136" i="12"/>
  <c r="G110" i="12"/>
  <c r="G136" i="12"/>
  <c r="F110" i="12"/>
  <c r="F136" i="12"/>
  <c r="E110" i="12"/>
  <c r="E136" i="12"/>
  <c r="D110" i="12"/>
  <c r="D136" i="12"/>
  <c r="C110" i="12"/>
  <c r="C136" i="12"/>
  <c r="B109" i="12"/>
  <c r="B91" i="12"/>
  <c r="B90" i="12"/>
  <c r="B87" i="12"/>
  <c r="B86" i="12"/>
  <c r="B85" i="12"/>
  <c r="B81" i="12"/>
  <c r="B80" i="12"/>
  <c r="B79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N154" i="12"/>
  <c r="N164" i="12"/>
  <c r="M78" i="12"/>
  <c r="M135" i="12"/>
  <c r="L78" i="12"/>
  <c r="L135" i="12"/>
  <c r="K78" i="12"/>
  <c r="K135" i="12"/>
  <c r="J78" i="12"/>
  <c r="J154" i="12"/>
  <c r="J164" i="12"/>
  <c r="I78" i="12"/>
  <c r="I135" i="12"/>
  <c r="H78" i="12"/>
  <c r="H154" i="12"/>
  <c r="H164" i="12"/>
  <c r="G78" i="12"/>
  <c r="G154" i="12"/>
  <c r="G164" i="12"/>
  <c r="F78" i="12"/>
  <c r="F135" i="12"/>
  <c r="E78" i="12"/>
  <c r="E135" i="12"/>
  <c r="E47" i="12"/>
  <c r="E131" i="12"/>
  <c r="E56" i="12"/>
  <c r="E132" i="12"/>
  <c r="E62" i="12"/>
  <c r="E133" i="12"/>
  <c r="E74" i="12"/>
  <c r="E134" i="12"/>
  <c r="E137" i="12"/>
  <c r="G101" i="21"/>
  <c r="E5" i="12"/>
  <c r="E3" i="12"/>
  <c r="E128" i="12"/>
  <c r="E138" i="12"/>
  <c r="D78" i="12"/>
  <c r="D154" i="12"/>
  <c r="C78" i="12"/>
  <c r="C135" i="12"/>
  <c r="B77" i="12"/>
  <c r="B76" i="12"/>
  <c r="B75" i="12"/>
  <c r="AF74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N153" i="12"/>
  <c r="M74" i="12"/>
  <c r="M153" i="12"/>
  <c r="L74" i="12"/>
  <c r="L153" i="12"/>
  <c r="K74" i="12"/>
  <c r="K153" i="12"/>
  <c r="J74" i="12"/>
  <c r="J153" i="12"/>
  <c r="I74" i="12"/>
  <c r="I153" i="12"/>
  <c r="H74" i="12"/>
  <c r="H153" i="12"/>
  <c r="G74" i="12"/>
  <c r="G153" i="12"/>
  <c r="F74" i="12"/>
  <c r="F134" i="12"/>
  <c r="D74" i="12"/>
  <c r="D153" i="12"/>
  <c r="C74" i="12"/>
  <c r="C134" i="12"/>
  <c r="B73" i="12"/>
  <c r="B72" i="12"/>
  <c r="B71" i="12"/>
  <c r="B70" i="12"/>
  <c r="B69" i="12"/>
  <c r="B68" i="12"/>
  <c r="B67" i="12"/>
  <c r="B66" i="12"/>
  <c r="B65" i="12"/>
  <c r="B64" i="12"/>
  <c r="B63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N133" i="12"/>
  <c r="M62" i="12"/>
  <c r="M133" i="12"/>
  <c r="L62" i="12"/>
  <c r="L133" i="12"/>
  <c r="K62" i="12"/>
  <c r="K133" i="12"/>
  <c r="J62" i="12"/>
  <c r="J133" i="12"/>
  <c r="I62" i="12"/>
  <c r="I133" i="12"/>
  <c r="H62" i="12"/>
  <c r="H133" i="12"/>
  <c r="G62" i="12"/>
  <c r="G133" i="12"/>
  <c r="F62" i="12"/>
  <c r="F133" i="12"/>
  <c r="D62" i="12"/>
  <c r="D133" i="12"/>
  <c r="C62" i="12"/>
  <c r="C133" i="12"/>
  <c r="B61" i="12"/>
  <c r="B60" i="12"/>
  <c r="B59" i="12"/>
  <c r="B58" i="12"/>
  <c r="B57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N132" i="12"/>
  <c r="M56" i="12"/>
  <c r="M132" i="12"/>
  <c r="L56" i="12"/>
  <c r="L132" i="12"/>
  <c r="K56" i="12"/>
  <c r="K132" i="12"/>
  <c r="J56" i="12"/>
  <c r="J132" i="12"/>
  <c r="I56" i="12"/>
  <c r="I132" i="12"/>
  <c r="H56" i="12"/>
  <c r="H132" i="12"/>
  <c r="G56" i="12"/>
  <c r="G132" i="12"/>
  <c r="F56" i="12"/>
  <c r="F132" i="12"/>
  <c r="D56" i="12"/>
  <c r="D132" i="12"/>
  <c r="C56" i="12"/>
  <c r="C132" i="12"/>
  <c r="B55" i="12"/>
  <c r="B54" i="12"/>
  <c r="B53" i="12"/>
  <c r="B52" i="12"/>
  <c r="B51" i="12"/>
  <c r="B50" i="12"/>
  <c r="B49" i="12"/>
  <c r="B48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N131" i="12"/>
  <c r="M47" i="12"/>
  <c r="M131" i="12"/>
  <c r="L47" i="12"/>
  <c r="L131" i="12"/>
  <c r="K47" i="12"/>
  <c r="K131" i="12"/>
  <c r="J47" i="12"/>
  <c r="J131" i="12"/>
  <c r="I47" i="12"/>
  <c r="I131" i="12"/>
  <c r="H47" i="12"/>
  <c r="H131" i="12"/>
  <c r="G47" i="12"/>
  <c r="G131" i="12"/>
  <c r="F47" i="12"/>
  <c r="F131" i="12"/>
  <c r="D47" i="12"/>
  <c r="D131" i="12"/>
  <c r="C47" i="12"/>
  <c r="C131" i="12"/>
  <c r="B16" i="12"/>
  <c r="B15" i="12"/>
  <c r="B14" i="12"/>
  <c r="AF13" i="12"/>
  <c r="AE13" i="12"/>
  <c r="AE12" i="12"/>
  <c r="AD13" i="12"/>
  <c r="AC13" i="12"/>
  <c r="AB13" i="12"/>
  <c r="AA13" i="12"/>
  <c r="AA12" i="12"/>
  <c r="Z13" i="12"/>
  <c r="Y13" i="12"/>
  <c r="X13" i="12"/>
  <c r="W13" i="12"/>
  <c r="W12" i="12"/>
  <c r="V13" i="12"/>
  <c r="U13" i="12"/>
  <c r="T13" i="12"/>
  <c r="S13" i="12"/>
  <c r="S12" i="12"/>
  <c r="R13" i="12"/>
  <c r="R12" i="12"/>
  <c r="Q13" i="12"/>
  <c r="Q12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D12" i="12"/>
  <c r="AC12" i="12"/>
  <c r="Z12" i="12"/>
  <c r="Y12" i="12"/>
  <c r="V12" i="12"/>
  <c r="U12" i="12"/>
  <c r="B11" i="12"/>
  <c r="B127" i="12"/>
  <c r="B10" i="12"/>
  <c r="B126" i="12"/>
  <c r="B9" i="12"/>
  <c r="B125" i="12"/>
  <c r="B8" i="12"/>
  <c r="B124" i="12"/>
  <c r="B7" i="12"/>
  <c r="B123" i="12"/>
  <c r="B6" i="12"/>
  <c r="B122" i="12"/>
  <c r="B4" i="12"/>
  <c r="B120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J7" i="7"/>
  <c r="F6" i="7"/>
  <c r="J6" i="7"/>
  <c r="F1" i="7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C8" i="9"/>
  <c r="C7" i="9"/>
  <c r="C6" i="9"/>
  <c r="C5" i="9"/>
  <c r="C17" i="8"/>
  <c r="F19" i="7"/>
  <c r="E19" i="7"/>
  <c r="H19" i="7"/>
  <c r="C16" i="8"/>
  <c r="C14" i="8"/>
  <c r="C13" i="8"/>
  <c r="C12" i="8"/>
  <c r="C11" i="8"/>
  <c r="C7" i="8"/>
  <c r="C6" i="8"/>
  <c r="C5" i="8"/>
  <c r="F28" i="10"/>
  <c r="I30" i="10"/>
  <c r="H30" i="10"/>
  <c r="E20" i="10"/>
  <c r="F16" i="10"/>
  <c r="AM16" i="10"/>
  <c r="AO16" i="10"/>
  <c r="AP16" i="10"/>
  <c r="H17" i="10"/>
  <c r="AM15" i="10"/>
  <c r="AM14" i="10"/>
  <c r="AO14" i="10"/>
  <c r="AP14" i="10"/>
  <c r="AM13" i="10"/>
  <c r="AO13" i="10"/>
  <c r="AP13" i="10"/>
  <c r="AL13" i="10"/>
  <c r="AH13" i="10"/>
  <c r="AD13" i="10"/>
  <c r="AM12" i="10"/>
  <c r="AO12" i="10"/>
  <c r="AP12" i="10"/>
  <c r="AL12" i="10"/>
  <c r="AH12" i="10"/>
  <c r="AD12" i="10"/>
  <c r="AM11" i="10"/>
  <c r="AO11" i="10"/>
  <c r="AP11" i="10"/>
  <c r="AL11" i="10"/>
  <c r="AH11" i="10"/>
  <c r="AD11" i="10"/>
  <c r="AM10" i="10"/>
  <c r="AO10" i="10"/>
  <c r="AP10" i="10"/>
  <c r="AL10" i="10"/>
  <c r="AH10" i="10"/>
  <c r="AD10" i="10"/>
  <c r="AM9" i="10"/>
  <c r="AO9" i="10"/>
  <c r="AP9" i="10"/>
  <c r="AL9" i="10"/>
  <c r="AH9" i="10"/>
  <c r="AD9" i="10"/>
  <c r="AM8" i="10"/>
  <c r="AO8" i="10"/>
  <c r="AP8" i="10"/>
  <c r="AL8" i="10"/>
  <c r="AD8" i="10"/>
  <c r="S9" i="10"/>
  <c r="AM7" i="10"/>
  <c r="AO7" i="10"/>
  <c r="AP7" i="10"/>
  <c r="AL7" i="10"/>
  <c r="AH7" i="10"/>
  <c r="AD7" i="10"/>
  <c r="E7" i="10"/>
  <c r="AM6" i="10"/>
  <c r="AO6" i="10"/>
  <c r="AP6" i="10"/>
  <c r="AL6" i="10"/>
  <c r="AH6" i="10"/>
  <c r="AD6" i="10"/>
  <c r="G16" i="7"/>
  <c r="AM5" i="10"/>
  <c r="AO5" i="10"/>
  <c r="AP5" i="10"/>
  <c r="AL5" i="10"/>
  <c r="AH5" i="10"/>
  <c r="AD5" i="10"/>
  <c r="D5" i="10"/>
  <c r="G17" i="7"/>
  <c r="AM4" i="10"/>
  <c r="AL4" i="10"/>
  <c r="AH4" i="10"/>
  <c r="AD4" i="10"/>
  <c r="G15" i="7"/>
  <c r="E3" i="10"/>
  <c r="M2" i="10"/>
  <c r="D2" i="10"/>
  <c r="G13" i="7"/>
  <c r="C137" i="12"/>
  <c r="G101" i="4"/>
  <c r="C5" i="12"/>
  <c r="C3" i="12"/>
  <c r="C128" i="12"/>
  <c r="C138" i="12"/>
  <c r="L87" i="29"/>
  <c r="L65" i="29"/>
  <c r="L66" i="29"/>
  <c r="L67" i="29"/>
  <c r="L68" i="29"/>
  <c r="L94" i="29"/>
  <c r="L98" i="29"/>
  <c r="J101" i="29"/>
  <c r="L82" i="29"/>
  <c r="L83" i="29"/>
  <c r="L12" i="29"/>
  <c r="L89" i="29"/>
  <c r="L90" i="29"/>
  <c r="L69" i="29"/>
  <c r="L70" i="29"/>
  <c r="L71" i="29"/>
  <c r="L72" i="29"/>
  <c r="L73" i="29"/>
  <c r="L74" i="29"/>
  <c r="L75" i="29"/>
  <c r="L76" i="29"/>
  <c r="L77" i="29"/>
  <c r="L78" i="29"/>
  <c r="L5" i="29"/>
  <c r="L6" i="29"/>
  <c r="L7" i="29"/>
  <c r="L8" i="29"/>
  <c r="R8" i="29"/>
  <c r="L10" i="29"/>
  <c r="L80" i="29"/>
  <c r="L81" i="29"/>
  <c r="L88" i="29"/>
  <c r="F137" i="12"/>
  <c r="G101" i="19"/>
  <c r="F5" i="12"/>
  <c r="F3" i="12"/>
  <c r="F128" i="12"/>
  <c r="F138" i="12"/>
  <c r="L31" i="10"/>
  <c r="L18" i="10"/>
  <c r="J18" i="10"/>
  <c r="H7" i="7"/>
  <c r="L81" i="23"/>
  <c r="L77" i="23"/>
  <c r="L15" i="22"/>
  <c r="L16" i="22"/>
  <c r="L17" i="22"/>
  <c r="L18" i="22"/>
  <c r="L19" i="22"/>
  <c r="L20" i="22"/>
  <c r="L21" i="22"/>
  <c r="L22" i="22"/>
  <c r="L24" i="22"/>
  <c r="L25" i="22"/>
  <c r="L26" i="22"/>
  <c r="L27" i="22"/>
  <c r="L28" i="22"/>
  <c r="L29" i="22"/>
  <c r="L30" i="22"/>
  <c r="L31" i="22"/>
  <c r="L32" i="22"/>
  <c r="L33" i="22"/>
  <c r="L57" i="22"/>
  <c r="L58" i="22"/>
  <c r="L59" i="22"/>
  <c r="L61" i="22"/>
  <c r="L62" i="22"/>
  <c r="L63" i="22"/>
  <c r="L65" i="22"/>
  <c r="L66" i="22"/>
  <c r="L67" i="22"/>
  <c r="L77" i="22"/>
  <c r="L78" i="22"/>
  <c r="L81" i="22"/>
  <c r="L82" i="22"/>
  <c r="L83" i="22"/>
  <c r="L12" i="22"/>
  <c r="L4" i="22"/>
  <c r="L5" i="22"/>
  <c r="L6" i="22"/>
  <c r="L7" i="22"/>
  <c r="L8" i="22"/>
  <c r="R8" i="22"/>
  <c r="L10" i="22"/>
  <c r="L75" i="22"/>
  <c r="L84" i="22"/>
  <c r="L87" i="22"/>
  <c r="L88" i="22"/>
  <c r="L89" i="22"/>
  <c r="J101" i="23"/>
  <c r="L74" i="23"/>
  <c r="L75" i="23"/>
  <c r="L92" i="23"/>
  <c r="L94" i="23"/>
  <c r="L97" i="23"/>
  <c r="L12" i="23"/>
  <c r="L60" i="23"/>
  <c r="L69" i="23"/>
  <c r="L78" i="23"/>
  <c r="L79" i="23"/>
  <c r="L80" i="23"/>
  <c r="L82" i="23"/>
  <c r="L83" i="23"/>
  <c r="L84" i="23"/>
  <c r="L96" i="23"/>
  <c r="L87" i="23"/>
  <c r="L88" i="23"/>
  <c r="L89" i="23"/>
  <c r="L9" i="23"/>
  <c r="L13" i="23"/>
  <c r="R13" i="23"/>
  <c r="L14" i="23"/>
  <c r="L15" i="23"/>
  <c r="L16" i="23"/>
  <c r="L17" i="23"/>
  <c r="L11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72" i="22"/>
  <c r="L71" i="22"/>
  <c r="L68" i="22"/>
  <c r="L99" i="4"/>
  <c r="O12" i="12"/>
  <c r="L90" i="27"/>
  <c r="L96" i="27"/>
  <c r="L9" i="27"/>
  <c r="L13" i="27"/>
  <c r="R13" i="27"/>
  <c r="L14" i="27"/>
  <c r="L15" i="27"/>
  <c r="L16" i="27"/>
  <c r="L22" i="27"/>
  <c r="L23" i="27"/>
  <c r="L24" i="27"/>
  <c r="L27" i="27"/>
  <c r="L28" i="27"/>
  <c r="L29" i="27"/>
  <c r="L30" i="27"/>
  <c r="L31" i="27"/>
  <c r="L33" i="27"/>
  <c r="L54" i="27"/>
  <c r="L57" i="27"/>
  <c r="L66" i="27"/>
  <c r="L69" i="27"/>
  <c r="L89" i="27"/>
  <c r="L91" i="27"/>
  <c r="L97" i="27"/>
  <c r="L12" i="27"/>
  <c r="L68" i="27"/>
  <c r="L67" i="27"/>
  <c r="L63" i="27"/>
  <c r="D102" i="29"/>
  <c r="D1" i="29"/>
  <c r="B148" i="12"/>
  <c r="L55" i="22"/>
  <c r="L52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3" i="22"/>
  <c r="L54" i="22"/>
  <c r="L76" i="22"/>
  <c r="L79" i="22"/>
  <c r="L80" i="22"/>
  <c r="L85" i="22"/>
  <c r="L86" i="22"/>
  <c r="L98" i="22"/>
  <c r="L99" i="22"/>
  <c r="L100" i="22"/>
  <c r="L14" i="22"/>
  <c r="L23" i="22"/>
  <c r="J101" i="22"/>
  <c r="L11" i="22"/>
  <c r="L56" i="22"/>
  <c r="L60" i="22"/>
  <c r="L64" i="22"/>
  <c r="L69" i="22"/>
  <c r="L70" i="22"/>
  <c r="L73" i="22"/>
  <c r="L74" i="22"/>
  <c r="L90" i="22"/>
  <c r="L91" i="22"/>
  <c r="L92" i="22"/>
  <c r="L9" i="22"/>
  <c r="L13" i="22"/>
  <c r="R13" i="22"/>
  <c r="R101" i="22"/>
  <c r="L65" i="21"/>
  <c r="L11" i="20"/>
  <c r="L5" i="20"/>
  <c r="L6" i="20"/>
  <c r="L7" i="20"/>
  <c r="L8" i="20"/>
  <c r="R8" i="20"/>
  <c r="L10" i="20"/>
  <c r="L14" i="20"/>
  <c r="L19" i="20"/>
  <c r="L22" i="20"/>
  <c r="L30" i="20"/>
  <c r="L62" i="20"/>
  <c r="L91" i="20"/>
  <c r="L100" i="20"/>
  <c r="L54" i="20"/>
  <c r="L63" i="20"/>
  <c r="L66" i="20"/>
  <c r="L67" i="20"/>
  <c r="L70" i="20"/>
  <c r="L79" i="20"/>
  <c r="L82" i="20"/>
  <c r="L83" i="20"/>
  <c r="L86" i="20"/>
  <c r="L99" i="20"/>
  <c r="L24" i="20"/>
  <c r="L25" i="20"/>
  <c r="L28" i="20"/>
  <c r="L29" i="20"/>
  <c r="L92" i="20"/>
  <c r="L93" i="20"/>
  <c r="L94" i="20"/>
  <c r="L95" i="20"/>
  <c r="L7" i="21"/>
  <c r="L68" i="21"/>
  <c r="L69" i="21"/>
  <c r="L73" i="21"/>
  <c r="L81" i="21"/>
  <c r="L89" i="21"/>
  <c r="L93" i="21"/>
  <c r="L9" i="21"/>
  <c r="L13" i="21"/>
  <c r="R13" i="21"/>
  <c r="L14" i="21"/>
  <c r="L15" i="21"/>
  <c r="L16" i="21"/>
  <c r="L17" i="21"/>
  <c r="L18" i="21"/>
  <c r="L19" i="21"/>
  <c r="L20" i="21"/>
  <c r="L34" i="21"/>
  <c r="L35" i="21"/>
  <c r="L36" i="21"/>
  <c r="L37" i="21"/>
  <c r="L38" i="21"/>
  <c r="L39" i="21"/>
  <c r="L40" i="21"/>
  <c r="L42" i="21"/>
  <c r="L43" i="21"/>
  <c r="L44" i="21"/>
  <c r="L45" i="21"/>
  <c r="L46" i="21"/>
  <c r="L47" i="21"/>
  <c r="L48" i="21"/>
  <c r="L49" i="21"/>
  <c r="L94" i="21"/>
  <c r="L95" i="21"/>
  <c r="L96" i="21"/>
  <c r="L97" i="21"/>
  <c r="L62" i="21"/>
  <c r="L5" i="21"/>
  <c r="L6" i="21"/>
  <c r="L25" i="21"/>
  <c r="L57" i="21"/>
  <c r="L78" i="21"/>
  <c r="L79" i="21"/>
  <c r="L80" i="21"/>
  <c r="L86" i="21"/>
  <c r="L87" i="21"/>
  <c r="L76" i="21"/>
  <c r="L77" i="21"/>
  <c r="L98" i="21"/>
  <c r="L99" i="21"/>
  <c r="L100" i="21"/>
  <c r="J101" i="21"/>
  <c r="L11" i="21"/>
  <c r="L33" i="21"/>
  <c r="L41" i="21"/>
  <c r="L63" i="21"/>
  <c r="L64" i="21"/>
  <c r="L84" i="21"/>
  <c r="L85" i="21"/>
  <c r="L88" i="21"/>
  <c r="L12" i="21"/>
  <c r="L60" i="21"/>
  <c r="L61" i="21"/>
  <c r="L70" i="21"/>
  <c r="L71" i="21"/>
  <c r="L72" i="21"/>
  <c r="L90" i="21"/>
  <c r="L91" i="21"/>
  <c r="L92" i="21"/>
  <c r="L21" i="21"/>
  <c r="L22" i="21"/>
  <c r="L23" i="21"/>
  <c r="L24" i="21"/>
  <c r="L50" i="21"/>
  <c r="L51" i="21"/>
  <c r="L52" i="21"/>
  <c r="L53" i="21"/>
  <c r="L54" i="21"/>
  <c r="L55" i="21"/>
  <c r="L56" i="21"/>
  <c r="L8" i="21"/>
  <c r="R8" i="21"/>
  <c r="R101" i="21"/>
  <c r="L10" i="21"/>
  <c r="L26" i="21"/>
  <c r="L27" i="21"/>
  <c r="L28" i="21"/>
  <c r="L29" i="21"/>
  <c r="L30" i="21"/>
  <c r="L31" i="21"/>
  <c r="L32" i="21"/>
  <c r="L58" i="21"/>
  <c r="L59" i="21"/>
  <c r="L66" i="21"/>
  <c r="L67" i="21"/>
  <c r="L74" i="21"/>
  <c r="L75" i="21"/>
  <c r="L82" i="21"/>
  <c r="L83" i="21"/>
  <c r="D102" i="21"/>
  <c r="E142" i="12"/>
  <c r="L4" i="21"/>
  <c r="L51" i="20"/>
  <c r="L50" i="20"/>
  <c r="L47" i="20"/>
  <c r="L38" i="20"/>
  <c r="L35" i="20"/>
  <c r="L34" i="20"/>
  <c r="L31" i="20"/>
  <c r="L100" i="4"/>
  <c r="L13" i="20"/>
  <c r="R13" i="20"/>
  <c r="L15" i="20"/>
  <c r="L16" i="20"/>
  <c r="L17" i="20"/>
  <c r="L18" i="20"/>
  <c r="L20" i="20"/>
  <c r="L21" i="20"/>
  <c r="L39" i="20"/>
  <c r="L42" i="20"/>
  <c r="L43" i="20"/>
  <c r="L48" i="20"/>
  <c r="L49" i="20"/>
  <c r="L52" i="20"/>
  <c r="L53" i="20"/>
  <c r="L71" i="20"/>
  <c r="L74" i="20"/>
  <c r="L75" i="20"/>
  <c r="L80" i="20"/>
  <c r="L81" i="20"/>
  <c r="L84" i="20"/>
  <c r="L85" i="20"/>
  <c r="L96" i="20"/>
  <c r="L97" i="20"/>
  <c r="J101" i="20"/>
  <c r="L23" i="20"/>
  <c r="L26" i="20"/>
  <c r="L27" i="20"/>
  <c r="L32" i="20"/>
  <c r="L33" i="20"/>
  <c r="L36" i="20"/>
  <c r="L37" i="20"/>
  <c r="L55" i="20"/>
  <c r="L58" i="20"/>
  <c r="L59" i="20"/>
  <c r="L64" i="20"/>
  <c r="L65" i="20"/>
  <c r="L68" i="20"/>
  <c r="L69" i="20"/>
  <c r="L87" i="20"/>
  <c r="L89" i="20"/>
  <c r="L90" i="20"/>
  <c r="L9" i="20"/>
  <c r="L12" i="20"/>
  <c r="L98" i="4"/>
  <c r="R101" i="20"/>
  <c r="G101" i="20"/>
  <c r="L22" i="4"/>
  <c r="L23" i="4"/>
  <c r="L24" i="4"/>
  <c r="L25" i="4"/>
  <c r="L26" i="4"/>
  <c r="L27" i="4"/>
  <c r="L28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54" i="4"/>
  <c r="L55" i="4"/>
  <c r="L56" i="4"/>
  <c r="L58" i="4"/>
  <c r="L59" i="4"/>
  <c r="L60" i="4"/>
  <c r="L76" i="4"/>
  <c r="L11" i="4"/>
  <c r="L12" i="4"/>
  <c r="L70" i="4"/>
  <c r="L71" i="4"/>
  <c r="L86" i="4"/>
  <c r="L87" i="4"/>
  <c r="L88" i="4"/>
  <c r="L10" i="4"/>
  <c r="L44" i="4"/>
  <c r="D102" i="20"/>
  <c r="L72" i="4"/>
  <c r="L74" i="4"/>
  <c r="L75" i="4"/>
  <c r="L45" i="4"/>
  <c r="L49" i="4"/>
  <c r="L52" i="4"/>
  <c r="L61" i="4"/>
  <c r="L65" i="4"/>
  <c r="L68" i="4"/>
  <c r="L77" i="4"/>
  <c r="L81" i="4"/>
  <c r="L84" i="4"/>
  <c r="L90" i="4"/>
  <c r="L93" i="4"/>
  <c r="L94" i="4"/>
  <c r="L53" i="4"/>
  <c r="L57" i="4"/>
  <c r="L62" i="4"/>
  <c r="L63" i="4"/>
  <c r="L64" i="4"/>
  <c r="L66" i="4"/>
  <c r="L67" i="4"/>
  <c r="L85" i="4"/>
  <c r="L89" i="4"/>
  <c r="L92" i="4"/>
  <c r="L91" i="4"/>
  <c r="L96" i="4"/>
  <c r="L8" i="4"/>
  <c r="R8" i="4"/>
  <c r="J101" i="4"/>
  <c r="L21" i="4"/>
  <c r="L29" i="4"/>
  <c r="L46" i="4"/>
  <c r="L47" i="4"/>
  <c r="L48" i="4"/>
  <c r="L50" i="4"/>
  <c r="L51" i="4"/>
  <c r="L69" i="4"/>
  <c r="L73" i="4"/>
  <c r="L78" i="4"/>
  <c r="L79" i="4"/>
  <c r="L80" i="4"/>
  <c r="L82" i="4"/>
  <c r="L83" i="4"/>
  <c r="L95" i="4"/>
  <c r="L97" i="4"/>
  <c r="L5" i="4"/>
  <c r="L6" i="4"/>
  <c r="L7" i="4"/>
  <c r="L9" i="4"/>
  <c r="L13" i="4"/>
  <c r="R13" i="4"/>
  <c r="L14" i="4"/>
  <c r="L15" i="4"/>
  <c r="L16" i="4"/>
  <c r="L17" i="4"/>
  <c r="L18" i="4"/>
  <c r="L19" i="4"/>
  <c r="L20" i="4"/>
  <c r="D102" i="4"/>
  <c r="AA8" i="4"/>
  <c r="AA13" i="4"/>
  <c r="L4" i="4"/>
  <c r="AO15" i="10"/>
  <c r="AP15" i="10"/>
  <c r="AM17" i="10"/>
  <c r="AO4" i="10"/>
  <c r="AP4" i="10"/>
  <c r="L101" i="19"/>
  <c r="D102" i="19"/>
  <c r="R101" i="19"/>
  <c r="L4" i="20"/>
  <c r="L7" i="27"/>
  <c r="L37" i="27"/>
  <c r="L41" i="27"/>
  <c r="L45" i="27"/>
  <c r="L49" i="27"/>
  <c r="L51" i="27"/>
  <c r="L55" i="27"/>
  <c r="L56" i="27"/>
  <c r="L58" i="27"/>
  <c r="L59" i="27"/>
  <c r="L60" i="27"/>
  <c r="L70" i="27"/>
  <c r="L72" i="27"/>
  <c r="L17" i="27"/>
  <c r="D102" i="28"/>
  <c r="D1" i="28"/>
  <c r="R101" i="28"/>
  <c r="G101" i="28"/>
  <c r="AA8" i="28"/>
  <c r="AA13" i="28"/>
  <c r="L50" i="27"/>
  <c r="L61" i="27"/>
  <c r="L62" i="27"/>
  <c r="L98" i="27"/>
  <c r="L99" i="27"/>
  <c r="L100" i="27"/>
  <c r="L4" i="27"/>
  <c r="L6" i="27"/>
  <c r="L32" i="27"/>
  <c r="L52" i="27"/>
  <c r="L53" i="27"/>
  <c r="L64" i="27"/>
  <c r="L65" i="27"/>
  <c r="L88" i="27"/>
  <c r="L11" i="27"/>
  <c r="L21" i="27"/>
  <c r="L25" i="27"/>
  <c r="L26" i="27"/>
  <c r="L38" i="27"/>
  <c r="L39" i="27"/>
  <c r="L40" i="27"/>
  <c r="L42" i="27"/>
  <c r="L43" i="27"/>
  <c r="L44" i="27"/>
  <c r="L46" i="27"/>
  <c r="L47" i="27"/>
  <c r="L48" i="27"/>
  <c r="L92" i="27"/>
  <c r="J101" i="27"/>
  <c r="L8" i="27"/>
  <c r="R8" i="27"/>
  <c r="R101" i="27"/>
  <c r="L10" i="27"/>
  <c r="L18" i="27"/>
  <c r="L19" i="27"/>
  <c r="L20" i="27"/>
  <c r="L34" i="27"/>
  <c r="L35" i="27"/>
  <c r="L36" i="27"/>
  <c r="L4" i="28"/>
  <c r="L101" i="28"/>
  <c r="D102" i="27"/>
  <c r="D1" i="27"/>
  <c r="G101" i="27"/>
  <c r="AA8" i="27"/>
  <c r="AA13" i="27"/>
  <c r="L5" i="27"/>
  <c r="N12" i="12"/>
  <c r="D20" i="10"/>
  <c r="G16" i="10"/>
  <c r="F14" i="10"/>
  <c r="F15" i="10"/>
  <c r="D102" i="26"/>
  <c r="G101" i="26"/>
  <c r="AA8" i="26"/>
  <c r="AA13" i="26"/>
  <c r="F1" i="26"/>
  <c r="R101" i="26"/>
  <c r="G28" i="10"/>
  <c r="F32" i="10"/>
  <c r="L4" i="26"/>
  <c r="L101" i="26"/>
  <c r="D102" i="25"/>
  <c r="K142" i="12"/>
  <c r="K152" i="12"/>
  <c r="G101" i="25"/>
  <c r="AA8" i="25"/>
  <c r="AA13" i="25"/>
  <c r="F1" i="25"/>
  <c r="M12" i="12"/>
  <c r="R101" i="25"/>
  <c r="L4" i="25"/>
  <c r="L101" i="25"/>
  <c r="D102" i="24"/>
  <c r="J142" i="12"/>
  <c r="J152" i="12"/>
  <c r="J155" i="12"/>
  <c r="J158" i="12"/>
  <c r="G101" i="24"/>
  <c r="AA8" i="24"/>
  <c r="AA13" i="24"/>
  <c r="R101" i="24"/>
  <c r="L43" i="24"/>
  <c r="L101" i="24"/>
  <c r="R101" i="29"/>
  <c r="G101" i="29"/>
  <c r="I5" i="12"/>
  <c r="L4" i="29"/>
  <c r="E4" i="10"/>
  <c r="G14" i="7"/>
  <c r="E5" i="10"/>
  <c r="L30" i="10"/>
  <c r="J30" i="10"/>
  <c r="G18" i="7"/>
  <c r="J8" i="7"/>
  <c r="F12" i="12"/>
  <c r="I12" i="12"/>
  <c r="G101" i="23"/>
  <c r="AA8" i="23"/>
  <c r="AA13" i="23"/>
  <c r="D102" i="23"/>
  <c r="D1" i="23"/>
  <c r="P12" i="12"/>
  <c r="T12" i="12"/>
  <c r="X12" i="12"/>
  <c r="AB12" i="12"/>
  <c r="AF12" i="12"/>
  <c r="R101" i="23"/>
  <c r="L4" i="23"/>
  <c r="J12" i="12"/>
  <c r="D102" i="22"/>
  <c r="D1" i="22"/>
  <c r="K12" i="12"/>
  <c r="L12" i="12"/>
  <c r="D134" i="12"/>
  <c r="I134" i="12"/>
  <c r="I137" i="12"/>
  <c r="M134" i="12"/>
  <c r="M137" i="12"/>
  <c r="D135" i="12"/>
  <c r="D137" i="12"/>
  <c r="D5" i="12"/>
  <c r="D3" i="12"/>
  <c r="D128" i="12"/>
  <c r="D138" i="12"/>
  <c r="J135" i="12"/>
  <c r="N135" i="12"/>
  <c r="E153" i="12"/>
  <c r="E154" i="12"/>
  <c r="K154" i="12"/>
  <c r="K164" i="12"/>
  <c r="B56" i="12"/>
  <c r="B132" i="12"/>
  <c r="B62" i="12"/>
  <c r="B133" i="12"/>
  <c r="J134" i="12"/>
  <c r="N134" i="12"/>
  <c r="F153" i="12"/>
  <c r="F154" i="12"/>
  <c r="L154" i="12"/>
  <c r="L164" i="12"/>
  <c r="K134" i="12"/>
  <c r="K137" i="12"/>
  <c r="C153" i="12"/>
  <c r="C154" i="12"/>
  <c r="I154" i="12"/>
  <c r="I164" i="12"/>
  <c r="M154" i="12"/>
  <c r="M164" i="12"/>
  <c r="B74" i="12"/>
  <c r="B134" i="12"/>
  <c r="B110" i="12"/>
  <c r="B136" i="12"/>
  <c r="H134" i="12"/>
  <c r="L134" i="12"/>
  <c r="L137" i="12"/>
  <c r="E12" i="12"/>
  <c r="H135" i="12"/>
  <c r="H137" i="12"/>
  <c r="H5" i="12"/>
  <c r="H3" i="12"/>
  <c r="H128" i="12"/>
  <c r="H138" i="12"/>
  <c r="H12" i="12"/>
  <c r="B47" i="12"/>
  <c r="B131" i="12"/>
  <c r="G134" i="12"/>
  <c r="G101" i="22"/>
  <c r="AA8" i="22"/>
  <c r="AA13" i="22"/>
  <c r="E2" i="10"/>
  <c r="G12" i="12"/>
  <c r="B78" i="12"/>
  <c r="B135" i="12"/>
  <c r="G135" i="12"/>
  <c r="G137" i="12"/>
  <c r="G5" i="12"/>
  <c r="G3" i="12"/>
  <c r="G128" i="12"/>
  <c r="G138" i="12"/>
  <c r="D12" i="12"/>
  <c r="B13" i="12"/>
  <c r="C12" i="12"/>
  <c r="C16" i="9"/>
  <c r="F18" i="7"/>
  <c r="E18" i="7"/>
  <c r="N137" i="12"/>
  <c r="D1" i="26"/>
  <c r="L142" i="12"/>
  <c r="J137" i="12"/>
  <c r="L101" i="29"/>
  <c r="I142" i="12"/>
  <c r="I152" i="12"/>
  <c r="I155" i="12"/>
  <c r="I158" i="12"/>
  <c r="B137" i="12"/>
  <c r="L101" i="23"/>
  <c r="M142" i="12"/>
  <c r="M152" i="12"/>
  <c r="M155" i="12"/>
  <c r="M158" i="12"/>
  <c r="L101" i="22"/>
  <c r="G142" i="12"/>
  <c r="G152" i="12"/>
  <c r="L101" i="21"/>
  <c r="D1" i="21"/>
  <c r="E152" i="12"/>
  <c r="E155" i="12"/>
  <c r="E158" i="12"/>
  <c r="AA8" i="21"/>
  <c r="AA13" i="21"/>
  <c r="L101" i="20"/>
  <c r="AA8" i="20"/>
  <c r="AA13" i="20"/>
  <c r="R101" i="4"/>
  <c r="D1" i="20"/>
  <c r="D142" i="12"/>
  <c r="D152" i="12"/>
  <c r="D155" i="12"/>
  <c r="D158" i="12"/>
  <c r="L101" i="4"/>
  <c r="D1" i="4"/>
  <c r="C142" i="12"/>
  <c r="C152" i="12"/>
  <c r="C155" i="12"/>
  <c r="C158" i="12"/>
  <c r="G14" i="10"/>
  <c r="AH13" i="9"/>
  <c r="Z13" i="9"/>
  <c r="J13" i="9"/>
  <c r="Y13" i="9"/>
  <c r="I13" i="9"/>
  <c r="X13" i="9"/>
  <c r="H13" i="9"/>
  <c r="AA13" i="9"/>
  <c r="K13" i="9"/>
  <c r="R13" i="9"/>
  <c r="Q13" i="9"/>
  <c r="P13" i="9"/>
  <c r="S13" i="9"/>
  <c r="AD13" i="9"/>
  <c r="AC13" i="9"/>
  <c r="M13" i="9"/>
  <c r="L13" i="9"/>
  <c r="O13" i="9"/>
  <c r="V13" i="9"/>
  <c r="F13" i="9"/>
  <c r="U13" i="9"/>
  <c r="E13" i="9"/>
  <c r="T13" i="9"/>
  <c r="D13" i="9"/>
  <c r="W13" i="9"/>
  <c r="G13" i="9"/>
  <c r="AG13" i="9"/>
  <c r="AF13" i="9"/>
  <c r="I16" i="10"/>
  <c r="L16" i="10"/>
  <c r="N13" i="9"/>
  <c r="AB13" i="9"/>
  <c r="AE13" i="9"/>
  <c r="F20" i="10"/>
  <c r="I14" i="10"/>
  <c r="H14" i="10"/>
  <c r="AH11" i="9"/>
  <c r="AF11" i="9"/>
  <c r="Q11" i="9"/>
  <c r="F11" i="9"/>
  <c r="V11" i="9"/>
  <c r="G11" i="9"/>
  <c r="W11" i="9"/>
  <c r="M11" i="9"/>
  <c r="D11" i="9"/>
  <c r="T11" i="9"/>
  <c r="G15" i="10"/>
  <c r="G20" i="10"/>
  <c r="I11" i="9"/>
  <c r="R11" i="9"/>
  <c r="S11" i="9"/>
  <c r="E11" i="9"/>
  <c r="P11" i="9"/>
  <c r="U11" i="9"/>
  <c r="J11" i="9"/>
  <c r="Z11" i="9"/>
  <c r="K11" i="9"/>
  <c r="AA11" i="9"/>
  <c r="Y11" i="9"/>
  <c r="H11" i="9"/>
  <c r="AA8" i="19"/>
  <c r="AA13" i="19"/>
  <c r="D1" i="19"/>
  <c r="F142" i="12"/>
  <c r="F152" i="12"/>
  <c r="F155" i="12"/>
  <c r="N142" i="12"/>
  <c r="N152" i="12"/>
  <c r="N155" i="12"/>
  <c r="N158" i="12"/>
  <c r="N5" i="12"/>
  <c r="N121" i="12"/>
  <c r="L101" i="27"/>
  <c r="M5" i="12"/>
  <c r="M147" i="12"/>
  <c r="J16" i="10"/>
  <c r="L152" i="12"/>
  <c r="L155" i="12"/>
  <c r="L158" i="12"/>
  <c r="L5" i="12"/>
  <c r="L3" i="12"/>
  <c r="L128" i="12"/>
  <c r="L138" i="12"/>
  <c r="D1" i="25"/>
  <c r="K5" i="12"/>
  <c r="K147" i="12"/>
  <c r="K149" i="12"/>
  <c r="K155" i="12"/>
  <c r="D1" i="24"/>
  <c r="J5" i="12"/>
  <c r="AA8" i="29"/>
  <c r="AA13" i="29"/>
  <c r="I121" i="12"/>
  <c r="I147" i="12"/>
  <c r="I3" i="12"/>
  <c r="I128" i="12"/>
  <c r="I138" i="12"/>
  <c r="AE14" i="9"/>
  <c r="AA14" i="9"/>
  <c r="W14" i="9"/>
  <c r="S14" i="9"/>
  <c r="O14" i="9"/>
  <c r="K14" i="9"/>
  <c r="G14" i="9"/>
  <c r="G32" i="10"/>
  <c r="AH14" i="9"/>
  <c r="AD14" i="9"/>
  <c r="Z14" i="9"/>
  <c r="V14" i="9"/>
  <c r="R14" i="9"/>
  <c r="N14" i="9"/>
  <c r="J14" i="9"/>
  <c r="F14" i="9"/>
  <c r="J28" i="10"/>
  <c r="AG14" i="9"/>
  <c r="AC14" i="9"/>
  <c r="Y14" i="9"/>
  <c r="U14" i="9"/>
  <c r="Q14" i="9"/>
  <c r="M14" i="9"/>
  <c r="I14" i="9"/>
  <c r="E14" i="9"/>
  <c r="I28" i="10"/>
  <c r="AF14" i="9"/>
  <c r="AB14" i="9"/>
  <c r="X14" i="9"/>
  <c r="T14" i="9"/>
  <c r="P14" i="9"/>
  <c r="L14" i="9"/>
  <c r="H14" i="9"/>
  <c r="D14" i="9"/>
  <c r="H18" i="7"/>
  <c r="B154" i="12"/>
  <c r="H142" i="12"/>
  <c r="H152" i="12"/>
  <c r="H155" i="12"/>
  <c r="H158" i="12"/>
  <c r="H121" i="12"/>
  <c r="B153" i="12"/>
  <c r="J14" i="10"/>
  <c r="B12" i="12"/>
  <c r="I143" i="12"/>
  <c r="I159" i="12"/>
  <c r="M143" i="12"/>
  <c r="M159" i="12"/>
  <c r="K158" i="12"/>
  <c r="K161" i="12"/>
  <c r="L14" i="10"/>
  <c r="E121" i="12"/>
  <c r="E147" i="12"/>
  <c r="D121" i="12"/>
  <c r="D147" i="12"/>
  <c r="H16" i="10"/>
  <c r="C121" i="12"/>
  <c r="C147" i="12"/>
  <c r="X11" i="9"/>
  <c r="AE11" i="9"/>
  <c r="AC11" i="9"/>
  <c r="N11" i="9"/>
  <c r="AB11" i="9"/>
  <c r="O11" i="9"/>
  <c r="AG11" i="9"/>
  <c r="L11" i="9"/>
  <c r="AD11" i="9"/>
  <c r="C13" i="9"/>
  <c r="F15" i="7"/>
  <c r="I15" i="7"/>
  <c r="AG12" i="9"/>
  <c r="N12" i="9"/>
  <c r="AH12" i="9"/>
  <c r="O12" i="9"/>
  <c r="AE12" i="9"/>
  <c r="H12" i="9"/>
  <c r="X12" i="9"/>
  <c r="J15" i="10"/>
  <c r="K14" i="10"/>
  <c r="Q12" i="9"/>
  <c r="Z12" i="9"/>
  <c r="W12" i="9"/>
  <c r="P12" i="9"/>
  <c r="I12" i="9"/>
  <c r="J12" i="9"/>
  <c r="K12" i="9"/>
  <c r="AA12" i="9"/>
  <c r="T12" i="9"/>
  <c r="M12" i="9"/>
  <c r="V12" i="9"/>
  <c r="S12" i="9"/>
  <c r="I15" i="10"/>
  <c r="L12" i="9"/>
  <c r="AB12" i="9"/>
  <c r="E12" i="9"/>
  <c r="U12" i="9"/>
  <c r="F12" i="9"/>
  <c r="G12" i="9"/>
  <c r="AF12" i="9"/>
  <c r="Y12" i="9"/>
  <c r="AD12" i="9"/>
  <c r="D12" i="9"/>
  <c r="R12" i="9"/>
  <c r="AC12" i="9"/>
  <c r="F147" i="12"/>
  <c r="F121" i="12"/>
  <c r="N147" i="12"/>
  <c r="N149" i="12"/>
  <c r="N161" i="12"/>
  <c r="N3" i="12"/>
  <c r="M149" i="12"/>
  <c r="M161" i="12"/>
  <c r="M121" i="12"/>
  <c r="M3" i="12"/>
  <c r="I29" i="10"/>
  <c r="J29" i="10"/>
  <c r="J32" i="10"/>
  <c r="G7" i="7"/>
  <c r="L147" i="12"/>
  <c r="L149" i="12"/>
  <c r="L161" i="12"/>
  <c r="L121" i="12"/>
  <c r="L1" i="12"/>
  <c r="K3" i="12"/>
  <c r="K128" i="12"/>
  <c r="K138" i="12"/>
  <c r="K121" i="12"/>
  <c r="K143" i="12"/>
  <c r="J121" i="12"/>
  <c r="J3" i="12"/>
  <c r="J147" i="12"/>
  <c r="I1" i="12"/>
  <c r="I149" i="12"/>
  <c r="I161" i="12"/>
  <c r="C14" i="9"/>
  <c r="F16" i="7"/>
  <c r="E16" i="7"/>
  <c r="H16" i="7"/>
  <c r="I32" i="10"/>
  <c r="H28" i="10"/>
  <c r="L28" i="10"/>
  <c r="F158" i="12"/>
  <c r="B142" i="12"/>
  <c r="B152" i="12"/>
  <c r="H147" i="12"/>
  <c r="H149" i="12"/>
  <c r="H161" i="12"/>
  <c r="B5" i="12"/>
  <c r="B121" i="12"/>
  <c r="G147" i="12"/>
  <c r="G149" i="12"/>
  <c r="G121" i="12"/>
  <c r="G155" i="12"/>
  <c r="O135" i="12"/>
  <c r="O131" i="12"/>
  <c r="O136" i="12"/>
  <c r="O132" i="12"/>
  <c r="O137" i="12"/>
  <c r="O133" i="12"/>
  <c r="O134" i="12"/>
  <c r="O130" i="12"/>
  <c r="J20" i="10"/>
  <c r="G6" i="7"/>
  <c r="H6" i="7"/>
  <c r="H8" i="7"/>
  <c r="K159" i="12"/>
  <c r="E1" i="12"/>
  <c r="E149" i="12"/>
  <c r="E161" i="12"/>
  <c r="E143" i="12"/>
  <c r="E159" i="12"/>
  <c r="D1" i="12"/>
  <c r="D149" i="12"/>
  <c r="D161" i="12"/>
  <c r="D143" i="12"/>
  <c r="D159" i="12"/>
  <c r="C1" i="12"/>
  <c r="C149" i="12"/>
  <c r="C161" i="12"/>
  <c r="C143" i="12"/>
  <c r="C159" i="12"/>
  <c r="E15" i="7"/>
  <c r="H15" i="7"/>
  <c r="C11" i="9"/>
  <c r="F13" i="7"/>
  <c r="I13" i="7"/>
  <c r="C12" i="9"/>
  <c r="F14" i="7"/>
  <c r="E14" i="7"/>
  <c r="H14" i="7"/>
  <c r="H15" i="10"/>
  <c r="I20" i="10"/>
  <c r="L15" i="10"/>
  <c r="L20" i="10"/>
  <c r="F149" i="12"/>
  <c r="F161" i="12"/>
  <c r="F143" i="12"/>
  <c r="F159" i="12"/>
  <c r="F1" i="12"/>
  <c r="N143" i="12"/>
  <c r="N159" i="12"/>
  <c r="N1" i="12"/>
  <c r="N128" i="12"/>
  <c r="N138" i="12"/>
  <c r="M128" i="12"/>
  <c r="M138" i="12"/>
  <c r="M1" i="12"/>
  <c r="H29" i="10"/>
  <c r="L29" i="10"/>
  <c r="L32" i="10"/>
  <c r="E17" i="7"/>
  <c r="H17" i="7"/>
  <c r="K28" i="10"/>
  <c r="L143" i="12"/>
  <c r="L159" i="12"/>
  <c r="K1" i="12"/>
  <c r="J149" i="12"/>
  <c r="J161" i="12"/>
  <c r="J143" i="12"/>
  <c r="J159" i="12"/>
  <c r="J128" i="12"/>
  <c r="J138" i="12"/>
  <c r="J1" i="12"/>
  <c r="B155" i="12"/>
  <c r="G158" i="12"/>
  <c r="B158" i="12"/>
  <c r="H143" i="12"/>
  <c r="H159" i="12"/>
  <c r="H1" i="12"/>
  <c r="B3" i="12"/>
  <c r="B128" i="12"/>
  <c r="B147" i="12"/>
  <c r="G143" i="12"/>
  <c r="G1" i="12"/>
  <c r="G161" i="12"/>
  <c r="J21" i="10"/>
  <c r="J22" i="10"/>
  <c r="O124" i="12"/>
  <c r="B138" i="12"/>
  <c r="B161" i="12"/>
  <c r="R2" i="10"/>
  <c r="S2" i="10"/>
  <c r="S10" i="10"/>
  <c r="H20" i="7"/>
  <c r="E13" i="7"/>
  <c r="H13" i="7"/>
  <c r="I14" i="7"/>
  <c r="G159" i="12"/>
  <c r="B159" i="12"/>
  <c r="B149" i="12"/>
  <c r="B143" i="12"/>
  <c r="O128" i="12"/>
  <c r="O123" i="12"/>
  <c r="O127" i="12"/>
  <c r="B1" i="12"/>
  <c r="O121" i="12"/>
  <c r="O122" i="12"/>
  <c r="O126" i="12"/>
  <c r="O120" i="12"/>
  <c r="O12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Paloma</author>
  </authors>
  <commentList>
    <comment ref="C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Paloma:</t>
        </r>
        <r>
          <rPr>
            <sz val="9"/>
            <color indexed="81"/>
            <rFont val="Tahoma"/>
            <family val="2"/>
          </rPr>
          <t xml:space="preserve">
CELOGEL</t>
        </r>
      </text>
    </comment>
    <comment ref="C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Paloma:</t>
        </r>
        <r>
          <rPr>
            <sz val="9"/>
            <color indexed="81"/>
            <rFont val="Tahoma"/>
            <family val="2"/>
          </rPr>
          <t xml:space="preserve">
CELOCAL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Paloma</author>
  </authors>
  <commentList>
    <comment ref="D1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Paloma:</t>
        </r>
        <r>
          <rPr>
            <sz val="9"/>
            <color indexed="81"/>
            <rFont val="Tahoma"/>
            <family val="2"/>
          </rPr>
          <t xml:space="preserve">
CELOGEL</t>
        </r>
      </text>
    </comment>
    <comment ref="D1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Paloma:</t>
        </r>
        <r>
          <rPr>
            <sz val="9"/>
            <color indexed="81"/>
            <rFont val="Tahoma"/>
            <family val="2"/>
          </rPr>
          <t xml:space="preserve">
CELOCAL</t>
        </r>
      </text>
    </comment>
    <comment ref="D2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Paloma:</t>
        </r>
        <r>
          <rPr>
            <sz val="9"/>
            <color indexed="81"/>
            <rFont val="Tahoma"/>
            <family val="2"/>
          </rPr>
          <t xml:space="preserve">
CELOGEL</t>
        </r>
      </text>
    </comment>
  </commentList>
</comments>
</file>

<file path=xl/sharedStrings.xml><?xml version="1.0" encoding="utf-8"?>
<sst xmlns="http://schemas.openxmlformats.org/spreadsheetml/2006/main" count="2685" uniqueCount="482">
  <si>
    <t>VALOR</t>
  </si>
  <si>
    <t>A VISTA</t>
  </si>
  <si>
    <t>VENDAS</t>
  </si>
  <si>
    <t>Clientes</t>
  </si>
  <si>
    <t>TOTAL</t>
  </si>
  <si>
    <t>Forma de Pagamento</t>
  </si>
  <si>
    <t>Prazo</t>
  </si>
  <si>
    <t>Frete                  CIF / FOB</t>
  </si>
  <si>
    <t>QTD</t>
  </si>
  <si>
    <t>PREÇO TAB</t>
  </si>
  <si>
    <t>FOB</t>
  </si>
  <si>
    <t>PREÇO</t>
  </si>
  <si>
    <t>CELULOSE</t>
  </si>
  <si>
    <t>POLÍMERO</t>
  </si>
  <si>
    <t>DATA</t>
  </si>
  <si>
    <t>RAPOSÃO - MASSA FORTE</t>
  </si>
  <si>
    <t>OBSERVAÇÃO</t>
  </si>
  <si>
    <t>UN</t>
  </si>
  <si>
    <t>Embalagem</t>
  </si>
  <si>
    <t>SACO</t>
  </si>
  <si>
    <t>Aragon 25kg</t>
  </si>
  <si>
    <t>Polimero (MP) 25kg</t>
  </si>
  <si>
    <t>Fibra 20kg</t>
  </si>
  <si>
    <t>Celugel 25kg</t>
  </si>
  <si>
    <t>Celulosico (MP) 25kg</t>
  </si>
  <si>
    <t>Valor Total</t>
  </si>
  <si>
    <t>Valor Unit.</t>
  </si>
  <si>
    <t>Qtd Kg</t>
  </si>
  <si>
    <t>Qtd Sacos</t>
  </si>
  <si>
    <t>Unid.</t>
  </si>
  <si>
    <t>Descrição</t>
  </si>
  <si>
    <t>Código</t>
  </si>
  <si>
    <t>MATÉRIA-PRIMA</t>
  </si>
  <si>
    <t>POLIMERO 25kg</t>
  </si>
  <si>
    <t>CELULOSICO 25kg</t>
  </si>
  <si>
    <t>PRODUTOS ACABADOS</t>
  </si>
  <si>
    <t>Controle de estoque</t>
  </si>
  <si>
    <t>SC</t>
  </si>
  <si>
    <t>Mês anterior</t>
  </si>
  <si>
    <t>PRODUTO ACABADO</t>
  </si>
  <si>
    <t>Entrada</t>
  </si>
  <si>
    <t>Saída</t>
  </si>
  <si>
    <t>EMBALAGEM</t>
  </si>
  <si>
    <t>ARAGON</t>
  </si>
  <si>
    <t>POLIMERO</t>
  </si>
  <si>
    <t>Custo Total</t>
  </si>
  <si>
    <t>Custo Kg</t>
  </si>
  <si>
    <t>Custo Saco 15Kg</t>
  </si>
  <si>
    <t>Qtd Unit/ Saco</t>
  </si>
  <si>
    <t>%</t>
  </si>
  <si>
    <t>Batida</t>
  </si>
  <si>
    <t>Produtos</t>
  </si>
  <si>
    <t>QTD SACOS</t>
  </si>
  <si>
    <t>PRODUÇÃO</t>
  </si>
  <si>
    <t>FIBRA</t>
  </si>
  <si>
    <t>CELUGEL</t>
  </si>
  <si>
    <t>CELULOSICO</t>
  </si>
  <si>
    <t>PREÇO POR KG</t>
  </si>
  <si>
    <t>PREÇO DO SACO</t>
  </si>
  <si>
    <t>MATERIAL</t>
  </si>
  <si>
    <t>Qtd Total Scs</t>
  </si>
  <si>
    <t>Qtd Total Kgs</t>
  </si>
  <si>
    <t>Resultado</t>
  </si>
  <si>
    <t>Entradas</t>
  </si>
  <si>
    <t>Vendas A Vista</t>
  </si>
  <si>
    <t>Saidas</t>
  </si>
  <si>
    <t>Caixa</t>
  </si>
  <si>
    <t>Frete</t>
  </si>
  <si>
    <t>Entradas - Vendas</t>
  </si>
  <si>
    <t>TOTAL -</t>
  </si>
  <si>
    <t>Despesas - Custos</t>
  </si>
  <si>
    <t>RESULTADO</t>
  </si>
  <si>
    <t>und</t>
  </si>
  <si>
    <t>Vale do Juquia</t>
  </si>
  <si>
    <t>Vipel</t>
  </si>
  <si>
    <t>Aditivos</t>
  </si>
  <si>
    <t>Retiradas</t>
  </si>
  <si>
    <t>Adesivos</t>
  </si>
  <si>
    <t>Joao Uchoa</t>
  </si>
  <si>
    <t>Paloma Eugenio</t>
  </si>
  <si>
    <t>Diversos</t>
  </si>
  <si>
    <t>CLAUDIO - MOSSORO</t>
  </si>
  <si>
    <t>CLEZIO - DURAPLIK</t>
  </si>
  <si>
    <t>CHEQUE/R$</t>
  </si>
  <si>
    <t>1100 + 300</t>
  </si>
  <si>
    <t xml:space="preserve">VALOR VENDA </t>
  </si>
  <si>
    <t>COBRAMOS %</t>
  </si>
  <si>
    <t>PAGAMOS %</t>
  </si>
  <si>
    <t>SALDO/DEBITO CLIENTE</t>
  </si>
  <si>
    <t>LUCRO/PREJ JUROS</t>
  </si>
  <si>
    <t>CHEQUES / PAGAMENTOS A MAIS OU A MENOS</t>
  </si>
  <si>
    <t>MP faz "X" Sacos</t>
  </si>
  <si>
    <t>QUITACAO CREDITO</t>
  </si>
  <si>
    <t>Dinheiro</t>
  </si>
  <si>
    <t>CUSTO Unit</t>
  </si>
  <si>
    <t>CUSTO Total</t>
  </si>
  <si>
    <t>VENDA Unit</t>
  </si>
  <si>
    <t>VENDA Total</t>
  </si>
  <si>
    <t>Despesa</t>
  </si>
  <si>
    <t>KG</t>
  </si>
  <si>
    <t>GETULIA - JOSE WALTER</t>
  </si>
  <si>
    <t>CHICO PEREIRA - FORQUILHA</t>
  </si>
  <si>
    <t>THIAGO - TIANGUA</t>
  </si>
  <si>
    <t>DEMETRIUS - ULTRAMASSA</t>
  </si>
  <si>
    <t>PALOMA</t>
  </si>
  <si>
    <t>DEVENDO</t>
  </si>
  <si>
    <t>Est Uchoa</t>
  </si>
  <si>
    <t>Est Conteiner</t>
  </si>
  <si>
    <t xml:space="preserve">PARCIAL </t>
  </si>
  <si>
    <t>DESCONTO CHEQUE</t>
  </si>
  <si>
    <t>Adesivo</t>
  </si>
  <si>
    <t>GALEGO</t>
  </si>
  <si>
    <t>AREMIX</t>
  </si>
  <si>
    <t>Funcionario</t>
  </si>
  <si>
    <t>VENDEDOR</t>
  </si>
  <si>
    <t>CLAUDIO - HANGAR</t>
  </si>
  <si>
    <t>Mecon</t>
  </si>
  <si>
    <t>LUCRO DOS 80</t>
  </si>
  <si>
    <t>Gasolina</t>
  </si>
  <si>
    <t>UCHOA</t>
  </si>
  <si>
    <t>XXX</t>
  </si>
  <si>
    <t>Mc Quimica 1</t>
  </si>
  <si>
    <t>Mc Quimica 2</t>
  </si>
  <si>
    <t>Gasolina Uchoa</t>
  </si>
  <si>
    <t>Gasolina Paloma</t>
  </si>
  <si>
    <t>SACO EXTRA</t>
  </si>
  <si>
    <t>Custo Saco 25Kg</t>
  </si>
  <si>
    <t>Tarifa Bancaria</t>
  </si>
  <si>
    <t>Extra Uchoa</t>
  </si>
  <si>
    <t>Extra Paloma</t>
  </si>
  <si>
    <t>Saco Extra</t>
  </si>
  <si>
    <t>Capital</t>
  </si>
  <si>
    <t>Emprestimo</t>
  </si>
  <si>
    <t>MESES</t>
  </si>
  <si>
    <t>DRE CAIXA</t>
  </si>
  <si>
    <t>CUSTO UNIT</t>
  </si>
  <si>
    <t>PM</t>
  </si>
  <si>
    <t>RETIRADA</t>
  </si>
  <si>
    <t xml:space="preserve">CUSTO </t>
  </si>
  <si>
    <t>DESPESAS</t>
  </si>
  <si>
    <t>SAIDA</t>
  </si>
  <si>
    <t>ENTRADA</t>
  </si>
  <si>
    <t>MEDIA / 12meses</t>
  </si>
  <si>
    <t>DADOS GERAIS</t>
  </si>
  <si>
    <t>Vale do Juquia 1</t>
  </si>
  <si>
    <t>Frete 1</t>
  </si>
  <si>
    <t>Frete 2</t>
  </si>
  <si>
    <t>BB Rodrigo</t>
  </si>
  <si>
    <t>kg/dolar</t>
  </si>
  <si>
    <t>(kg/dolar + 5%)* dolar</t>
  </si>
  <si>
    <t>25kg</t>
  </si>
  <si>
    <t>Agrados</t>
  </si>
  <si>
    <t>CLAUDIO MOSSORO</t>
  </si>
  <si>
    <t>FORTMASSA</t>
  </si>
  <si>
    <t>Frete 3</t>
  </si>
  <si>
    <t>Mc Quimica 4</t>
  </si>
  <si>
    <t>Frete 4</t>
  </si>
  <si>
    <t xml:space="preserve">Mc Quimica 3 </t>
  </si>
  <si>
    <t>Aplicação</t>
  </si>
  <si>
    <t>Mc Quimica 5</t>
  </si>
  <si>
    <t>Frete 5</t>
  </si>
  <si>
    <t>Gastos Embalagens</t>
  </si>
  <si>
    <t>Pereira</t>
  </si>
  <si>
    <t>Bagulho Posto</t>
  </si>
  <si>
    <t>Almoço</t>
  </si>
  <si>
    <t>Caju</t>
  </si>
  <si>
    <t>qtd total</t>
  </si>
  <si>
    <t>valor total</t>
  </si>
  <si>
    <t>PEDIDO 1</t>
  </si>
  <si>
    <t>PEDIDO 2</t>
  </si>
  <si>
    <t>PEDIDO 3</t>
  </si>
  <si>
    <t>PEDIDO 4</t>
  </si>
  <si>
    <t>MEDIA</t>
  </si>
  <si>
    <t>100m³</t>
  </si>
  <si>
    <t>0,036m3</t>
  </si>
  <si>
    <t>cimento</t>
  </si>
  <si>
    <t>areia</t>
  </si>
  <si>
    <t>brita</t>
  </si>
  <si>
    <t>carros</t>
  </si>
  <si>
    <t>0,14m3</t>
  </si>
  <si>
    <t>0,14m³</t>
  </si>
  <si>
    <t>0,036m³</t>
  </si>
  <si>
    <t>2 carros</t>
  </si>
  <si>
    <t>1 saco</t>
  </si>
  <si>
    <t>traço</t>
  </si>
  <si>
    <t>cubagem</t>
  </si>
  <si>
    <t>qtd traços</t>
  </si>
  <si>
    <t>160m3</t>
  </si>
  <si>
    <t>scs cimentos</t>
  </si>
  <si>
    <t>45m3</t>
  </si>
  <si>
    <t>71m3</t>
  </si>
  <si>
    <t>71m³</t>
  </si>
  <si>
    <t>160x300m3 cimento</t>
  </si>
  <si>
    <t>48mil</t>
  </si>
  <si>
    <t>100x300m3</t>
  </si>
  <si>
    <t>30mil</t>
  </si>
  <si>
    <t>MO</t>
  </si>
  <si>
    <t>PISO 2000m² X 0,05m</t>
  </si>
  <si>
    <t>CUBAGEM</t>
  </si>
  <si>
    <t>TRAÇOS</t>
  </si>
  <si>
    <t>CIMENTO</t>
  </si>
  <si>
    <t>320 scs</t>
  </si>
  <si>
    <t>AREIA</t>
  </si>
  <si>
    <t>BRITA</t>
  </si>
  <si>
    <t>48m³ (4 x12)</t>
  </si>
  <si>
    <t>MAO DE OBRA</t>
  </si>
  <si>
    <t>MAQUINARIO</t>
  </si>
  <si>
    <t>COMPACTAÇÃO</t>
  </si>
  <si>
    <t>PISO 2000m² X 0,08m</t>
  </si>
  <si>
    <t>160m³</t>
  </si>
  <si>
    <t>510 scs</t>
  </si>
  <si>
    <t>72m³ (6 x12)</t>
  </si>
  <si>
    <t>CONCRETO USINADO</t>
  </si>
  <si>
    <t>NÃO ESTÁ INCLUSO</t>
  </si>
  <si>
    <t>PISO INDUSTRIAL</t>
  </si>
  <si>
    <t>AREA</t>
  </si>
  <si>
    <t>2000m²x0,05m</t>
  </si>
  <si>
    <t>CIA DOS ARREIOS</t>
  </si>
  <si>
    <t>3742-1083</t>
  </si>
  <si>
    <t>99656-9775</t>
  </si>
  <si>
    <t>99701-4594</t>
  </si>
  <si>
    <t>BARRIGUEIRA NEO PRENE (100,00)</t>
  </si>
  <si>
    <t>PRAÇA ENGENHEIRO JOSE MARQUES, 41</t>
  </si>
  <si>
    <t>SELARIA DO BETO</t>
  </si>
  <si>
    <t>3742-1119</t>
  </si>
  <si>
    <t>BR 423, KM 41</t>
  </si>
  <si>
    <t>CALÇA (150,00)</t>
  </si>
  <si>
    <t>ESPORA BOA VAQUEJADA GD (65,00</t>
  </si>
  <si>
    <t>ESPORA BOA VAQUEJADA MD (55,00)</t>
  </si>
  <si>
    <t>CHICOTE (20,00)</t>
  </si>
  <si>
    <t>CROCHE (10,00)</t>
  </si>
  <si>
    <t>REDIA VAQUEJADA 2 + PONTEIRA (65,00)</t>
  </si>
  <si>
    <t>GIOVANI FERRAGENS</t>
  </si>
  <si>
    <t>99922-9917</t>
  </si>
  <si>
    <t>SELA AMERICA</t>
  </si>
  <si>
    <t>VALDOMIRO ARREIOS E FERRAGENS</t>
  </si>
  <si>
    <t>99650-8498</t>
  </si>
  <si>
    <t>99996-9840</t>
  </si>
  <si>
    <t>98967-4546</t>
  </si>
  <si>
    <t>98502-2555</t>
  </si>
  <si>
    <t>98288-1686</t>
  </si>
  <si>
    <t>BR 423, N° 96</t>
  </si>
  <si>
    <t>CABRESTO GROSSO (35,00)</t>
  </si>
  <si>
    <t>CABEÇADA MM (35,00)</t>
  </si>
  <si>
    <t>CABEÇADA VAQ (50,00)</t>
  </si>
  <si>
    <t>CABEÇADA MM ARGOLA (50,00)</t>
  </si>
  <si>
    <t>JG PONTEIRA C/4 (10,00)</t>
  </si>
  <si>
    <t>RODO (25,00)</t>
  </si>
  <si>
    <t>ESCOVA  (8,00)</t>
  </si>
  <si>
    <t>SELA PISTA (750,00)</t>
  </si>
  <si>
    <t>REDEA MM (30,00)</t>
  </si>
  <si>
    <t>SELARIA BOM JESUS (GALEGO)</t>
  </si>
  <si>
    <t>ANDRE SELEIRO</t>
  </si>
  <si>
    <t>99988-8587</t>
  </si>
  <si>
    <t>venc</t>
  </si>
  <si>
    <t>Quantiq</t>
  </si>
  <si>
    <t>Serviços Extras</t>
  </si>
  <si>
    <t>Retirada Paloma</t>
  </si>
  <si>
    <t>Retirada Uchoa</t>
  </si>
  <si>
    <t>Paloma</t>
  </si>
  <si>
    <t>Uchoa</t>
  </si>
  <si>
    <t>CUSTO UNITARIO</t>
  </si>
  <si>
    <t>SOBRA UNIT SACO</t>
  </si>
  <si>
    <t>ADESIVO</t>
  </si>
  <si>
    <t>Prejuizos</t>
  </si>
  <si>
    <t>13º</t>
  </si>
  <si>
    <t>PREÇO CECILIA</t>
  </si>
  <si>
    <t>CUSTO TOTAL</t>
  </si>
  <si>
    <t>SOBRA ADM</t>
  </si>
  <si>
    <t>CUSTO AD</t>
  </si>
  <si>
    <t>PM COMPRA</t>
  </si>
  <si>
    <t>PM VENDA</t>
  </si>
  <si>
    <t>Clientes 30</t>
  </si>
  <si>
    <t>SALDO ANO 2021</t>
  </si>
  <si>
    <t>PM SUGERIDO VENDA</t>
  </si>
  <si>
    <t>MÊS</t>
  </si>
  <si>
    <t>SOBRA</t>
  </si>
  <si>
    <t>QTD SCS</t>
  </si>
  <si>
    <t>CUSTO SACO</t>
  </si>
  <si>
    <t>DEMETRIU</t>
  </si>
  <si>
    <t>CHICO PEREIRA</t>
  </si>
  <si>
    <t>MULTCOLA</t>
  </si>
  <si>
    <t>CUSTO TOTAL UNITARIO</t>
  </si>
  <si>
    <t>out</t>
  </si>
  <si>
    <t>nov</t>
  </si>
  <si>
    <t>dez</t>
  </si>
  <si>
    <t>jan</t>
  </si>
  <si>
    <t>fev</t>
  </si>
  <si>
    <t>mar</t>
  </si>
  <si>
    <t xml:space="preserve">mar </t>
  </si>
  <si>
    <t>valor do saco</t>
  </si>
  <si>
    <t>valor kg real</t>
  </si>
  <si>
    <t>cot dolar</t>
  </si>
  <si>
    <t>mais 5%</t>
  </si>
  <si>
    <t>kg em dolar</t>
  </si>
  <si>
    <t>meses</t>
  </si>
  <si>
    <t>LOURIMAR</t>
  </si>
  <si>
    <t>valor da casa</t>
  </si>
  <si>
    <t>prazo</t>
  </si>
  <si>
    <t>entrada %</t>
  </si>
  <si>
    <t>entrada valor</t>
  </si>
  <si>
    <t>financiamento</t>
  </si>
  <si>
    <t>modalidade</t>
  </si>
  <si>
    <t>parcela</t>
  </si>
  <si>
    <t>PRICE/TAXA FIXA</t>
  </si>
  <si>
    <t>PRICE / IPCA</t>
  </si>
  <si>
    <t>PRICE / TR</t>
  </si>
  <si>
    <t>SAC / IPCA</t>
  </si>
  <si>
    <t>SAC / TAXA FIXA</t>
  </si>
  <si>
    <t>SAC / TR</t>
  </si>
  <si>
    <t>ult parcela</t>
  </si>
  <si>
    <t>PRO COTISTA</t>
  </si>
  <si>
    <t>POUPANCA CAIXA</t>
  </si>
  <si>
    <t>SBPE TR IPCA TX FIXA</t>
  </si>
  <si>
    <t>195 MIL</t>
  </si>
  <si>
    <t>200 MIL</t>
  </si>
  <si>
    <t>Flukocel Jonas</t>
  </si>
  <si>
    <t>Jardins do Lago Max 15/60</t>
  </si>
  <si>
    <t>JOSIEL</t>
  </si>
  <si>
    <t>LUIZ PI</t>
  </si>
  <si>
    <t>TOPMASSA</t>
  </si>
  <si>
    <t>GETULIO</t>
  </si>
  <si>
    <t>FELIPE</t>
  </si>
  <si>
    <t>IRINEU</t>
  </si>
  <si>
    <t>ROBERTO LAGOA DO BANANA</t>
  </si>
  <si>
    <t>ANDRE</t>
  </si>
  <si>
    <t>CEARAMIX</t>
  </si>
  <si>
    <t>PAVIMARI</t>
  </si>
  <si>
    <t>ARG ROMA</t>
  </si>
  <si>
    <t>MEBIO</t>
  </si>
  <si>
    <t>TODA OBRA</t>
  </si>
  <si>
    <t>THIAGO TIANGUA</t>
  </si>
  <si>
    <t>HENRIQUE</t>
  </si>
  <si>
    <t>mar a nov / 22 baixou pra 6,45</t>
  </si>
  <si>
    <t>nov a jan /23 6,45 baixou para 6,21</t>
  </si>
  <si>
    <t>kg/dolar + 3,25%</t>
  </si>
  <si>
    <t>DEDE DO ARROZ</t>
  </si>
  <si>
    <t>ELIEL</t>
  </si>
  <si>
    <t>MOEBIO</t>
  </si>
  <si>
    <t>EVALDO SANTA INES</t>
  </si>
  <si>
    <t>EXPEDITO TIMON</t>
  </si>
  <si>
    <t>VINICIUS PACAJUS</t>
  </si>
  <si>
    <t>ACARI RN</t>
  </si>
  <si>
    <t>Material Escritorio</t>
  </si>
  <si>
    <t>Viagens</t>
  </si>
  <si>
    <t>MOEBIO IGUATU</t>
  </si>
  <si>
    <t>MASSA FIXA</t>
  </si>
  <si>
    <t>A2</t>
  </si>
  <si>
    <t>Quimicon</t>
  </si>
  <si>
    <t>CONSTRUMIX</t>
  </si>
  <si>
    <t>Clientes - 35</t>
  </si>
  <si>
    <t>COMPRAS ABRIL</t>
  </si>
  <si>
    <t>MC QUIMICA 1</t>
  </si>
  <si>
    <t>REGINALDO LAGOA DO BANANA</t>
  </si>
  <si>
    <t>Impostos Mecon d 20</t>
  </si>
  <si>
    <t>Parcelamento Simples 1/26 d30</t>
  </si>
  <si>
    <t xml:space="preserve">FELIPE </t>
  </si>
  <si>
    <t>Previ Antigo 5x1000</t>
  </si>
  <si>
    <t>ARG MATHEUS</t>
  </si>
  <si>
    <t xml:space="preserve">FRETE 1 TRANS MEDEIROS </t>
  </si>
  <si>
    <t>rodrigo</t>
  </si>
  <si>
    <t>MC QUIMICA 2</t>
  </si>
  <si>
    <t>FLUKOCEL</t>
  </si>
  <si>
    <t>VALE DO JUQUIA</t>
  </si>
  <si>
    <t xml:space="preserve">FRETE MTL </t>
  </si>
  <si>
    <t>FRETE VEM MAIO</t>
  </si>
  <si>
    <t>PEDRO HENRIQUE</t>
  </si>
  <si>
    <t>Poupança 13°</t>
  </si>
  <si>
    <t>FRETE DA MC Q. 2 DE ABRIL</t>
  </si>
  <si>
    <t>COMPRAS MAIO</t>
  </si>
  <si>
    <t>valor</t>
  </si>
  <si>
    <t>qtd</t>
  </si>
  <si>
    <t>SILEX</t>
  </si>
  <si>
    <t>CIMENTO COMUM</t>
  </si>
  <si>
    <t>CIMENTO BRANCO</t>
  </si>
  <si>
    <t>PIG PRETO</t>
  </si>
  <si>
    <t>300g</t>
  </si>
  <si>
    <t>PIG AMARELO</t>
  </si>
  <si>
    <t>1kg</t>
  </si>
  <si>
    <t>PIG AZUL</t>
  </si>
  <si>
    <t>PIG VERMELHO</t>
  </si>
  <si>
    <t>AC II</t>
  </si>
  <si>
    <t>Qtd Total</t>
  </si>
  <si>
    <t>ESPECIAL</t>
  </si>
  <si>
    <t>ACIII</t>
  </si>
  <si>
    <t>ACIII E</t>
  </si>
  <si>
    <t>FORMIATO</t>
  </si>
  <si>
    <t>ACIII E BRANCA PARA PLASTILHA DE VIDRO</t>
  </si>
  <si>
    <t>RJ CINZA</t>
  </si>
  <si>
    <t>0,100</t>
  </si>
  <si>
    <t>RJ CINZA PLATINA</t>
  </si>
  <si>
    <t>RJ PRETO</t>
  </si>
  <si>
    <t>RJ BRANCO</t>
  </si>
  <si>
    <t>RJ MARFIM</t>
  </si>
  <si>
    <t>RJ BEGE</t>
  </si>
  <si>
    <t>RJ GRAFITE</t>
  </si>
  <si>
    <t>RJ BEGE CARIRI</t>
  </si>
  <si>
    <t>REBOCO PRONTO</t>
  </si>
  <si>
    <t>RJ. IMPERIAL</t>
  </si>
  <si>
    <t>PIG. PRETO</t>
  </si>
  <si>
    <t>RJ. SALMÃO</t>
  </si>
  <si>
    <t>RJ. MARROM</t>
  </si>
  <si>
    <t>RJ. CREMA MARFIL</t>
  </si>
  <si>
    <t>PIG. AZUL</t>
  </si>
  <si>
    <t>RJ. BEGE CARIRI</t>
  </si>
  <si>
    <t>RJ. AZUL</t>
  </si>
  <si>
    <t>GRAUTE</t>
  </si>
  <si>
    <t>AREIA FINA</t>
  </si>
  <si>
    <t>AREIA GROSSA</t>
  </si>
  <si>
    <t>POLICARBOXILATO</t>
  </si>
  <si>
    <t>AREANT</t>
  </si>
  <si>
    <t>CONTRAPISO</t>
  </si>
  <si>
    <t>PROTETOR ACRILICO</t>
  </si>
  <si>
    <t>IMPERMEABILIZANTE ACRILICO</t>
  </si>
  <si>
    <t>TAVARES</t>
  </si>
  <si>
    <t>ARG MATEUS</t>
  </si>
  <si>
    <t>CONTRUMIX</t>
  </si>
  <si>
    <t xml:space="preserve">FRETE 2 VEM JUNHO </t>
  </si>
  <si>
    <t>FRETE DA MC Q. 2 DE MAIO</t>
  </si>
  <si>
    <t>VIPEL EMBALAGENS</t>
  </si>
  <si>
    <t xml:space="preserve">FRETE MTL FLUKOCEL </t>
  </si>
  <si>
    <t>FRETE MTL VALE DO JUQUIA</t>
  </si>
  <si>
    <t>FRETE 1 TRANS MEDEIROS</t>
  </si>
  <si>
    <t>FRETE TRANS MEDE VIPEL</t>
  </si>
  <si>
    <t>Previ Novo 36x 2180 (term 05/26)</t>
  </si>
  <si>
    <t>COMPRAS JUNHO</t>
  </si>
  <si>
    <t>ARG TAVARES</t>
  </si>
  <si>
    <t>FRETE 2 TRANS MEDEIROS</t>
  </si>
  <si>
    <t>JULIO</t>
  </si>
  <si>
    <t>NEWMASSA</t>
  </si>
  <si>
    <t>MC QUIMICA 3</t>
  </si>
  <si>
    <t>FRETE 3 TRANS MEDEIROS</t>
  </si>
  <si>
    <t>CERAMIX</t>
  </si>
  <si>
    <t>PAULO HENRIQUE</t>
  </si>
  <si>
    <t>???</t>
  </si>
  <si>
    <t>Imposto A2 2%</t>
  </si>
  <si>
    <t>Impostos A2</t>
  </si>
  <si>
    <t>CUSTO PE (C Unit MP + Retirada) + (Despesa/ X Media)</t>
  </si>
  <si>
    <t>TIAGO TIANGUA</t>
  </si>
  <si>
    <t>REGINALDO</t>
  </si>
  <si>
    <t>COMPRAS JULHO</t>
  </si>
  <si>
    <t>IONALDO</t>
  </si>
  <si>
    <t>CARLOS</t>
  </si>
  <si>
    <t>ARG LUZ E COLA</t>
  </si>
  <si>
    <t>COMPRAS AGOSTO</t>
  </si>
  <si>
    <t>Uber / Gasolina / Frete</t>
  </si>
  <si>
    <t>COMPRAS SETEMBRO</t>
  </si>
  <si>
    <t>ANDERSON</t>
  </si>
  <si>
    <t>COMPRAS OUTUBRO</t>
  </si>
  <si>
    <t>HENRIQUE RAMOS</t>
  </si>
  <si>
    <t>VIPEL</t>
  </si>
  <si>
    <t>FRETE  TRANS MEDEIROS</t>
  </si>
  <si>
    <t>LUZ E COLA</t>
  </si>
  <si>
    <t>RIBAMAR MASSA FIXA</t>
  </si>
  <si>
    <t>MINERACAO VALE DO JUQUIA</t>
  </si>
  <si>
    <t>FRETE MTL</t>
  </si>
  <si>
    <t>HELDER BOA VIAGEM</t>
  </si>
  <si>
    <t>F7 ENGENHARIA</t>
  </si>
  <si>
    <t>RAPOSAO</t>
  </si>
  <si>
    <t>DEDE ARROZ</t>
  </si>
  <si>
    <t>FERMAFLEX</t>
  </si>
  <si>
    <t>IVAN</t>
  </si>
  <si>
    <t>COMPRAS NOVEMBRO</t>
  </si>
  <si>
    <t xml:space="preserve">         </t>
  </si>
  <si>
    <t>QUARTZOFIX</t>
  </si>
  <si>
    <t>ISOBLOCO</t>
  </si>
  <si>
    <t>COMPRAS DEZEMBRO</t>
  </si>
  <si>
    <t>Clientes-30</t>
  </si>
  <si>
    <t>ANDERSON GETULIO</t>
  </si>
  <si>
    <t>ANDERSON CASTELAO</t>
  </si>
  <si>
    <t>Lilian Matricula</t>
  </si>
  <si>
    <t>Tio Fernando</t>
  </si>
  <si>
    <t>ADITIVO</t>
  </si>
  <si>
    <t>% CUSTO</t>
  </si>
  <si>
    <t>ACII</t>
  </si>
  <si>
    <t>Marcilio, Odilanio, Mustang Rod, Mustang Roberto, Marcio, Luis nubank, taxi Paloma, taxi Leilane, Fernadinho, Juarez, Obra, Ferradura e racao, Baxin, Feira</t>
  </si>
  <si>
    <t>13° uchoa</t>
  </si>
  <si>
    <t>Gastos, Cha, Jacinta, Juros junior, Doação, Geladeira, salario</t>
  </si>
  <si>
    <t>marcel vale do juquia</t>
  </si>
  <si>
    <t>Arkad, Cred Diversos, Combustivel</t>
  </si>
  <si>
    <t>cartao porto</t>
  </si>
  <si>
    <t>Vale do Juquia 3 PREZUIZO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</si>
</sst>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[$R$-416]\ * #,##0.00_-;\-[$R$-416]\ * #,##0.00_-;_-[$R$-416]\ * &quot;-&quot;??_-;_-@_-"/>
    <numFmt numFmtId="166" formatCode="[$R$-416]\ #,##0.00;[Red]\-[$R$-416]\ #,##0.00"/>
    <numFmt numFmtId="167" formatCode="_(&quot;R$ &quot;* #,##0.00_);_(&quot;R$ &quot;* \(#,##0.00\);_(&quot;R$ &quot;* &quot;-&quot;??_);_(@_)"/>
    <numFmt numFmtId="168" formatCode="_(&quot;R$ &quot;* #,##0.000_);_(&quot;R$ &quot;* \(#,##0.000\);_(&quot;R$ &quot;* &quot;-&quot;??_);_(@_)"/>
    <numFmt numFmtId="169" formatCode="_(* #,##0.00_);_(* \(#,##0.00\);_(* &quot;-&quot;??_);_(@_)"/>
    <numFmt numFmtId="170" formatCode="0.0"/>
    <numFmt numFmtId="171" formatCode="&quot;Kg&quot;\ #,##0.00"/>
    <numFmt numFmtId="172" formatCode="#,##0\ &quot;Kg&quot;"/>
    <numFmt numFmtId="173" formatCode="#,##0.0\ &quot;Kg&quot;"/>
    <numFmt numFmtId="174" formatCode="_-[$R$-416]\ * #,##0.000_-;\-[$R$-416]\ * #,##0.000_-;_-[$R$-416]\ * &quot;-&quot;???_-;_-@_-"/>
    <numFmt numFmtId="175" formatCode="_-[$R$-416]\ * #,##0.00_-;\-[$R$-416]\ * #,##0.00_-;_-[$R$-416]\ * &quot;-&quot;???_-;_-@_-"/>
    <numFmt numFmtId="176" formatCode="_-[$R$-416]\ * #,##0.000_-;\-[$R$-416]\ * #,##0.000_-;_-[$R$-416]\ * &quot;-&quot;??_-;_-@_-"/>
    <numFmt numFmtId="177" formatCode="_(&quot;R$&quot;* #,##0.00_);_(&quot;R$&quot;* \(#,##0.00\);_(&quot;R$&quot;* &quot;-&quot;??_);_(@_)"/>
    <numFmt numFmtId="178" formatCode="_-[$$-409]* #,##0.00_ ;_-[$$-409]* \-#,##0.00\ ;_-[$$-409]* &quot;-&quot;??_ ;_-@_ "/>
    <numFmt numFmtId="179" formatCode="0.0000"/>
    <numFmt numFmtId="180" formatCode="0.000"/>
    <numFmt numFmtId="181" formatCode="#,##0.000\ &quot;Kg&quot;"/>
    <numFmt numFmtId="182" formatCode="#,##0.00\ &quot;Kg&quot;"/>
    <numFmt numFmtId="183" formatCode="#,##0.00000\ &quot;Kg&quot;"/>
    <numFmt numFmtId="184" formatCode="#,##0.0000\ &quot;Kg&quot;"/>
    <numFmt numFmtId="185" formatCode="_(&quot;R$ &quot;* #,##0.0000_);_(&quot;R$ &quot;* \(#,##0.0000\);_(&quot;R$ &quot;* &quot;-&quot;??_);_(@_)"/>
    <numFmt numFmtId="186" formatCode="_-[$R$-416]\ * #,##0.000_-;\-[$R$-416]\ * #,##0.000_-;_-[$R$-416]\ * &quot;-&quot;?????_-;_-@_-"/>
    <numFmt numFmtId="187" formatCode="#,##0.000000\ &quot;Kg&quot;"/>
    <numFmt numFmtId="188" formatCode="_-[$R$-416]\ * #,##0.0000_-;\-[$R$-416]\ * #,##0.0000_-;_-[$R$-416]\ * &quot;-&quot;???_-;_-@_-"/>
    <numFmt numFmtId="189" formatCode="0.000%"/>
    <numFmt numFmtId="190" formatCode="0.0%"/>
    <numFmt numFmtId="191" formatCode="_-[$R$-416]\ * #,##0_-;\-[$R$-416]\ * #,##0_-;_-[$R$-416]\ * &quot;-&quot;??_-;_-@_-"/>
    <numFmt numFmtId="192" formatCode="_-&quot;R$&quot;\ * #,##0_-;\-&quot;R$&quot;\ * #,##0_-;_-&quot;R$&quot;\ * &quot;-&quot;??_-;_-@_-"/>
    <numFmt numFmtId="193" formatCode="_-&quot;R$&quot;* #,##0_-;\-&quot;R$&quot;* #,##0_-;_-&quot;R$&quot;* &quot;-&quot;??_-;_-@_-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i/>
      <sz val="16"/>
      <color indexed="8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8"/>
      <name val="Arial"/>
      <family val="2"/>
    </font>
    <font>
      <b/>
      <i/>
      <u/>
      <sz val="11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rgb="FF0000CC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u/>
      <sz val="9"/>
      <color indexed="57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b/>
      <sz val="10"/>
      <color indexed="62"/>
      <name val="Arial"/>
      <family val="2"/>
    </font>
    <font>
      <sz val="12"/>
      <color theme="0"/>
      <name val="Arial"/>
      <family val="2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sz val="8"/>
      <name val="Arial"/>
      <family val="2"/>
    </font>
    <font>
      <b/>
      <sz val="16"/>
      <color indexed="10"/>
      <name val="Arial"/>
      <family val="2"/>
    </font>
    <font>
      <b/>
      <sz val="16"/>
      <color indexed="60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ashed">
        <color indexed="64"/>
      </bottom>
      <diagonal/>
    </border>
    <border>
      <left style="hair">
        <color indexed="47"/>
      </left>
      <right style="hair">
        <color indexed="47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dashed">
        <color indexed="53"/>
      </top>
      <bottom style="dashed">
        <color indexed="53"/>
      </bottom>
      <diagonal/>
    </border>
    <border>
      <left/>
      <right style="dotted">
        <color theme="9"/>
      </right>
      <top style="dashed">
        <color indexed="53"/>
      </top>
      <bottom style="dashed">
        <color indexed="53"/>
      </bottom>
      <diagonal/>
    </border>
    <border>
      <left style="dashed">
        <color indexed="53"/>
      </left>
      <right/>
      <top style="dashed">
        <color indexed="53"/>
      </top>
      <bottom style="dashed">
        <color indexed="53"/>
      </bottom>
      <diagonal/>
    </border>
    <border>
      <left/>
      <right/>
      <top style="thin">
        <color indexed="51"/>
      </top>
      <bottom style="dashed">
        <color indexed="53"/>
      </bottom>
      <diagonal/>
    </border>
    <border>
      <left style="dashed">
        <color indexed="53"/>
      </left>
      <right/>
      <top style="thin">
        <color indexed="51"/>
      </top>
      <bottom style="dashed">
        <color indexed="53"/>
      </bottom>
      <diagonal/>
    </border>
    <border>
      <left style="dotted">
        <color indexed="51"/>
      </left>
      <right style="dotted">
        <color indexed="51"/>
      </right>
      <top style="double">
        <color indexed="51"/>
      </top>
      <bottom style="thin">
        <color indexed="51"/>
      </bottom>
      <diagonal/>
    </border>
    <border>
      <left style="dotted">
        <color theme="9" tint="-0.249977111117893"/>
      </left>
      <right style="dotted">
        <color theme="9" tint="-0.249977111117893"/>
      </right>
      <top style="dotted">
        <color theme="9" tint="-0.249977111117893"/>
      </top>
      <bottom style="dotted">
        <color theme="9" tint="-0.249977111117893"/>
      </bottom>
      <diagonal/>
    </border>
    <border>
      <left/>
      <right style="dotted">
        <color theme="9" tint="-0.249977111117893"/>
      </right>
      <top style="dotted">
        <color theme="9" tint="-0.249977111117893"/>
      </top>
      <bottom style="dotted">
        <color theme="9" tint="-0.249977111117893"/>
      </bottom>
      <diagonal/>
    </border>
    <border>
      <left style="dotted">
        <color theme="9"/>
      </left>
      <right style="dotted">
        <color theme="9"/>
      </right>
      <top style="dashed">
        <color indexed="53"/>
      </top>
      <bottom style="dashed">
        <color indexed="53"/>
      </bottom>
      <diagonal/>
    </border>
    <border>
      <left style="dotted">
        <color rgb="FF92D050"/>
      </left>
      <right style="dotted">
        <color rgb="FF92D050"/>
      </right>
      <top style="dotted">
        <color rgb="FF92D050"/>
      </top>
      <bottom style="dotted">
        <color rgb="FF92D050"/>
      </bottom>
      <diagonal/>
    </border>
    <border>
      <left/>
      <right style="dotted">
        <color rgb="FF92D050"/>
      </right>
      <top style="thin">
        <color indexed="64"/>
      </top>
      <bottom style="dotted">
        <color rgb="FF92D050"/>
      </bottom>
      <diagonal/>
    </border>
    <border>
      <left style="dotted">
        <color rgb="FF92D05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ashed">
        <color indexed="5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6" fillId="11" borderId="0" applyNumberFormat="0" applyBorder="0" applyAlignment="0" applyProtection="0"/>
    <xf numFmtId="0" fontId="7" fillId="23" borderId="3" applyNumberFormat="0" applyAlignment="0" applyProtection="0"/>
    <xf numFmtId="0" fontId="8" fillId="24" borderId="4" applyNumberFormat="0" applyAlignment="0" applyProtection="0"/>
    <xf numFmtId="0" fontId="9" fillId="0" borderId="5" applyNumberFormat="0" applyFill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8" borderId="0" applyNumberFormat="0" applyBorder="0" applyAlignment="0" applyProtection="0"/>
    <xf numFmtId="0" fontId="10" fillId="14" borderId="3" applyNumberFormat="0" applyAlignment="0" applyProtection="0"/>
    <xf numFmtId="0" fontId="4" fillId="0" borderId="0"/>
    <xf numFmtId="0" fontId="11" fillId="0" borderId="0">
      <alignment horizontal="center"/>
    </xf>
    <xf numFmtId="0" fontId="11" fillId="0" borderId="0">
      <alignment horizontal="center" textRotation="90"/>
    </xf>
    <xf numFmtId="0" fontId="12" fillId="10" borderId="0" applyNumberFormat="0" applyBorder="0" applyAlignment="0" applyProtection="0"/>
    <xf numFmtId="0" fontId="13" fillId="29" borderId="0" applyNumberFormat="0" applyBorder="0" applyAlignment="0" applyProtection="0"/>
    <xf numFmtId="0" fontId="14" fillId="0" borderId="0"/>
    <xf numFmtId="0" fontId="14" fillId="30" borderId="6" applyNumberFormat="0" applyAlignment="0" applyProtection="0"/>
    <xf numFmtId="0" fontId="15" fillId="0" borderId="0"/>
    <xf numFmtId="166" fontId="15" fillId="0" borderId="0"/>
    <xf numFmtId="0" fontId="16" fillId="23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4" fillId="0" borderId="0"/>
    <xf numFmtId="9" fontId="24" fillId="0" borderId="0" applyFont="0" applyFill="0" applyBorder="0" applyAlignment="0" applyProtection="0"/>
    <xf numFmtId="0" fontId="1" fillId="0" borderId="0"/>
    <xf numFmtId="0" fontId="25" fillId="0" borderId="0"/>
    <xf numFmtId="167" fontId="25" fillId="0" borderId="0" applyFont="0" applyFill="0" applyBorder="0" applyAlignment="0" applyProtection="0"/>
    <xf numFmtId="169" fontId="25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10" applyNumberFormat="0" applyFill="0" applyAlignment="0" applyProtection="0"/>
    <xf numFmtId="9" fontId="57" fillId="0" borderId="0" applyFont="0" applyFill="0" applyBorder="0" applyAlignment="0" applyProtection="0"/>
    <xf numFmtId="0" fontId="57" fillId="0" borderId="0"/>
    <xf numFmtId="167" fontId="57" fillId="0" borderId="0" applyFont="0" applyFill="0" applyBorder="0" applyAlignment="0" applyProtection="0"/>
  </cellStyleXfs>
  <cellXfs count="741">
    <xf numFmtId="0" fontId="0" fillId="0" borderId="0" xfId="0"/>
    <xf numFmtId="164" fontId="0" fillId="0" borderId="0" xfId="1" applyFont="1"/>
    <xf numFmtId="164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3" applyFont="1" applyAlignment="1">
      <alignment horizontal="center"/>
    </xf>
    <xf numFmtId="9" fontId="0" fillId="0" borderId="0" xfId="2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Fill="1" applyBorder="1" applyAlignment="1">
      <alignment horizontal="center"/>
    </xf>
    <xf numFmtId="44" fontId="0" fillId="0" borderId="1" xfId="3" applyFont="1" applyFill="1" applyBorder="1" applyAlignment="1">
      <alignment horizontal="center" vertical="center"/>
    </xf>
    <xf numFmtId="44" fontId="0" fillId="0" borderId="1" xfId="3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1" fontId="0" fillId="0" borderId="1" xfId="0" quotePrefix="1" applyNumberFormat="1" applyBorder="1" applyAlignment="1">
      <alignment horizontal="center"/>
    </xf>
    <xf numFmtId="0" fontId="0" fillId="0" borderId="0" xfId="0" applyFill="1" applyAlignment="1">
      <alignment horizontal="center"/>
    </xf>
    <xf numFmtId="0" fontId="3" fillId="2" borderId="1" xfId="0" applyNumberFormat="1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6" fontId="0" fillId="6" borderId="1" xfId="0" applyNumberFormat="1" applyFill="1" applyBorder="1" applyAlignment="1">
      <alignment horizontal="center"/>
    </xf>
    <xf numFmtId="16" fontId="0" fillId="6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4" fontId="3" fillId="4" borderId="1" xfId="3" applyFont="1" applyFill="1" applyBorder="1" applyAlignment="1">
      <alignment horizontal="center" vertical="center"/>
    </xf>
    <xf numFmtId="9" fontId="3" fillId="4" borderId="1" xfId="2" applyFont="1" applyFill="1" applyBorder="1" applyAlignment="1">
      <alignment horizontal="center" vertical="center"/>
    </xf>
    <xf numFmtId="164" fontId="0" fillId="0" borderId="1" xfId="1" applyFont="1" applyFill="1" applyBorder="1" applyAlignment="1">
      <alignment horizontal="center" vertical="center"/>
    </xf>
    <xf numFmtId="0" fontId="25" fillId="0" borderId="0" xfId="54" applyBorder="1"/>
    <xf numFmtId="0" fontId="25" fillId="0" borderId="0" xfId="54" applyBorder="1" applyAlignment="1">
      <alignment horizontal="center"/>
    </xf>
    <xf numFmtId="167" fontId="26" fillId="8" borderId="0" xfId="55" applyFont="1" applyFill="1" applyBorder="1" applyAlignment="1" applyProtection="1">
      <alignment horizontal="center"/>
    </xf>
    <xf numFmtId="167" fontId="26" fillId="0" borderId="12" xfId="55" applyFont="1" applyBorder="1" applyAlignment="1" applyProtection="1">
      <alignment horizontal="center"/>
    </xf>
    <xf numFmtId="168" fontId="27" fillId="0" borderId="13" xfId="55" applyNumberFormat="1" applyFont="1" applyBorder="1" applyAlignment="1" applyProtection="1">
      <alignment horizontal="center"/>
    </xf>
    <xf numFmtId="2" fontId="28" fillId="0" borderId="12" xfId="54" applyNumberFormat="1" applyFont="1" applyBorder="1" applyAlignment="1" applyProtection="1">
      <alignment horizontal="center"/>
    </xf>
    <xf numFmtId="1" fontId="28" fillId="0" borderId="12" xfId="54" applyNumberFormat="1" applyFont="1" applyBorder="1" applyAlignment="1" applyProtection="1">
      <alignment horizontal="center"/>
    </xf>
    <xf numFmtId="0" fontId="27" fillId="0" borderId="14" xfId="54" applyFont="1" applyBorder="1" applyAlignment="1" applyProtection="1">
      <alignment horizontal="center"/>
    </xf>
    <xf numFmtId="0" fontId="24" fillId="0" borderId="14" xfId="54" applyFont="1" applyBorder="1" applyAlignment="1" applyProtection="1">
      <alignment horizontal="center"/>
    </xf>
    <xf numFmtId="0" fontId="25" fillId="0" borderId="12" xfId="54" applyBorder="1" applyAlignment="1" applyProtection="1">
      <alignment horizontal="center"/>
    </xf>
    <xf numFmtId="0" fontId="29" fillId="32" borderId="15" xfId="54" applyFont="1" applyFill="1" applyBorder="1" applyAlignment="1">
      <alignment horizontal="center" vertical="center"/>
    </xf>
    <xf numFmtId="0" fontId="29" fillId="32" borderId="16" xfId="54" applyFont="1" applyFill="1" applyBorder="1" applyAlignment="1">
      <alignment horizontal="center" vertical="center"/>
    </xf>
    <xf numFmtId="0" fontId="29" fillId="32" borderId="16" xfId="54" applyFont="1" applyFill="1" applyBorder="1" applyAlignment="1">
      <alignment horizontal="center" vertical="center" wrapText="1"/>
    </xf>
    <xf numFmtId="0" fontId="29" fillId="32" borderId="17" xfId="54" applyFont="1" applyFill="1" applyBorder="1" applyAlignment="1">
      <alignment horizontal="center" vertical="center"/>
    </xf>
    <xf numFmtId="0" fontId="30" fillId="0" borderId="0" xfId="54" applyFont="1" applyBorder="1"/>
    <xf numFmtId="0" fontId="31" fillId="0" borderId="0" xfId="54" applyFont="1" applyBorder="1" applyAlignment="1">
      <alignment horizontal="center"/>
    </xf>
    <xf numFmtId="169" fontId="0" fillId="0" borderId="0" xfId="56" applyFont="1" applyBorder="1"/>
    <xf numFmtId="0" fontId="24" fillId="0" borderId="0" xfId="54" applyFont="1" applyBorder="1" applyAlignment="1" applyProtection="1">
      <alignment horizontal="center"/>
    </xf>
    <xf numFmtId="167" fontId="27" fillId="0" borderId="0" xfId="55" applyFont="1" applyBorder="1" applyAlignment="1" applyProtection="1">
      <alignment horizontal="center"/>
    </xf>
    <xf numFmtId="0" fontId="29" fillId="0" borderId="0" xfId="54" applyFont="1" applyBorder="1" applyAlignment="1" applyProtection="1">
      <alignment horizontal="center"/>
    </xf>
    <xf numFmtId="0" fontId="27" fillId="0" borderId="0" xfId="54" applyFont="1" applyBorder="1" applyAlignment="1" applyProtection="1">
      <alignment horizontal="center"/>
    </xf>
    <xf numFmtId="167" fontId="27" fillId="0" borderId="13" xfId="55" applyFont="1" applyBorder="1" applyAlignment="1" applyProtection="1">
      <alignment horizontal="center"/>
    </xf>
    <xf numFmtId="0" fontId="29" fillId="0" borderId="12" xfId="54" applyFont="1" applyBorder="1" applyAlignment="1" applyProtection="1">
      <alignment horizontal="center"/>
    </xf>
    <xf numFmtId="0" fontId="27" fillId="0" borderId="12" xfId="54" applyFont="1" applyBorder="1" applyAlignment="1" applyProtection="1">
      <alignment horizontal="center"/>
    </xf>
    <xf numFmtId="0" fontId="29" fillId="33" borderId="15" xfId="54" applyFont="1" applyFill="1" applyBorder="1" applyAlignment="1">
      <alignment horizontal="center" vertical="center"/>
    </xf>
    <xf numFmtId="0" fontId="29" fillId="33" borderId="16" xfId="54" applyFont="1" applyFill="1" applyBorder="1" applyAlignment="1">
      <alignment horizontal="center" vertical="center"/>
    </xf>
    <xf numFmtId="0" fontId="29" fillId="33" borderId="17" xfId="54" applyFont="1" applyFill="1" applyBorder="1" applyAlignment="1">
      <alignment horizontal="center" vertical="center"/>
    </xf>
    <xf numFmtId="0" fontId="33" fillId="0" borderId="0" xfId="54" applyFont="1" applyBorder="1" applyAlignment="1">
      <alignment horizontal="center"/>
    </xf>
    <xf numFmtId="0" fontId="33" fillId="0" borderId="0" xfId="54" applyFont="1" applyFill="1" applyBorder="1" applyAlignment="1">
      <alignment horizontal="center"/>
    </xf>
    <xf numFmtId="0" fontId="35" fillId="0" borderId="0" xfId="57" applyBorder="1" applyAlignment="1" applyProtection="1"/>
    <xf numFmtId="0" fontId="25" fillId="0" borderId="0" xfId="54" applyAlignment="1">
      <alignment horizontal="center" vertical="center"/>
    </xf>
    <xf numFmtId="0" fontId="25" fillId="0" borderId="0" xfId="54"/>
    <xf numFmtId="0" fontId="24" fillId="0" borderId="0" xfId="54" applyFont="1" applyAlignment="1">
      <alignment horizontal="center" vertical="center"/>
    </xf>
    <xf numFmtId="0" fontId="37" fillId="0" borderId="0" xfId="54" applyFont="1"/>
    <xf numFmtId="0" fontId="25" fillId="0" borderId="20" xfId="54" applyBorder="1" applyAlignment="1">
      <alignment horizontal="center" vertical="center"/>
    </xf>
    <xf numFmtId="0" fontId="25" fillId="0" borderId="21" xfId="54" applyBorder="1" applyAlignment="1">
      <alignment horizontal="center" vertical="center"/>
    </xf>
    <xf numFmtId="0" fontId="24" fillId="0" borderId="20" xfId="54" applyFont="1" applyBorder="1" applyAlignment="1" applyProtection="1">
      <alignment horizontal="center"/>
    </xf>
    <xf numFmtId="0" fontId="24" fillId="0" borderId="22" xfId="54" applyFont="1" applyBorder="1" applyProtection="1"/>
    <xf numFmtId="0" fontId="25" fillId="33" borderId="20" xfId="54" applyFill="1" applyBorder="1" applyAlignment="1">
      <alignment horizontal="center" vertical="center"/>
    </xf>
    <xf numFmtId="0" fontId="24" fillId="33" borderId="20" xfId="54" applyFont="1" applyFill="1" applyBorder="1" applyAlignment="1">
      <alignment horizontal="center" vertical="center"/>
    </xf>
    <xf numFmtId="15" fontId="27" fillId="0" borderId="25" xfId="54" applyNumberFormat="1" applyFont="1" applyBorder="1" applyAlignment="1">
      <alignment horizontal="center" vertical="center"/>
    </xf>
    <xf numFmtId="16" fontId="27" fillId="0" borderId="25" xfId="54" applyNumberFormat="1" applyFont="1" applyBorder="1" applyAlignment="1">
      <alignment horizontal="center" vertical="center"/>
    </xf>
    <xf numFmtId="16" fontId="24" fillId="0" borderId="25" xfId="54" applyNumberFormat="1" applyFont="1" applyBorder="1" applyAlignment="1">
      <alignment horizontal="center" vertical="center"/>
    </xf>
    <xf numFmtId="15" fontId="27" fillId="0" borderId="25" xfId="54" applyNumberFormat="1" applyFont="1" applyBorder="1" applyAlignment="1">
      <alignment horizontal="center"/>
    </xf>
    <xf numFmtId="15" fontId="27" fillId="0" borderId="25" xfId="54" applyNumberFormat="1" applyFont="1" applyBorder="1"/>
    <xf numFmtId="0" fontId="25" fillId="0" borderId="0" xfId="54" applyBorder="1" applyAlignment="1">
      <alignment horizontal="center" vertical="center"/>
    </xf>
    <xf numFmtId="0" fontId="24" fillId="0" borderId="0" xfId="54" applyFont="1" applyBorder="1" applyAlignment="1">
      <alignment horizontal="center" vertical="center"/>
    </xf>
    <xf numFmtId="0" fontId="37" fillId="0" borderId="0" xfId="54" applyFont="1" applyBorder="1" applyProtection="1"/>
    <xf numFmtId="0" fontId="25" fillId="0" borderId="26" xfId="54" applyBorder="1" applyAlignment="1">
      <alignment horizontal="center" vertical="center"/>
    </xf>
    <xf numFmtId="0" fontId="25" fillId="0" borderId="27" xfId="54" applyBorder="1" applyAlignment="1">
      <alignment horizontal="center" vertical="center"/>
    </xf>
    <xf numFmtId="0" fontId="25" fillId="0" borderId="28" xfId="54" applyBorder="1" applyAlignment="1">
      <alignment horizontal="center" vertical="center"/>
    </xf>
    <xf numFmtId="0" fontId="25" fillId="35" borderId="0" xfId="54" applyFill="1" applyAlignment="1">
      <alignment horizontal="center" vertical="center"/>
    </xf>
    <xf numFmtId="0" fontId="24" fillId="35" borderId="0" xfId="54" applyFont="1" applyFill="1" applyAlignment="1">
      <alignment horizontal="center" vertical="center"/>
    </xf>
    <xf numFmtId="0" fontId="29" fillId="35" borderId="0" xfId="54" applyFont="1" applyFill="1" applyBorder="1" applyAlignment="1" applyProtection="1">
      <alignment horizontal="center"/>
    </xf>
    <xf numFmtId="0" fontId="25" fillId="0" borderId="29" xfId="54" applyBorder="1" applyAlignment="1">
      <alignment horizontal="center" vertical="center"/>
    </xf>
    <xf numFmtId="0" fontId="24" fillId="0" borderId="29" xfId="54" applyFont="1" applyBorder="1" applyAlignment="1">
      <alignment horizontal="left" vertical="center"/>
    </xf>
    <xf numFmtId="170" fontId="25" fillId="0" borderId="29" xfId="54" applyNumberFormat="1" applyBorder="1" applyAlignment="1">
      <alignment horizontal="center" vertical="center"/>
    </xf>
    <xf numFmtId="0" fontId="24" fillId="0" borderId="29" xfId="54" applyFont="1" applyBorder="1" applyAlignment="1">
      <alignment horizontal="center" vertical="center"/>
    </xf>
    <xf numFmtId="0" fontId="25" fillId="0" borderId="29" xfId="54" applyBorder="1" applyAlignment="1">
      <alignment horizontal="left" vertical="center"/>
    </xf>
    <xf numFmtId="0" fontId="25" fillId="36" borderId="0" xfId="54" applyFill="1" applyAlignment="1">
      <alignment horizontal="center" vertical="center"/>
    </xf>
    <xf numFmtId="16" fontId="27" fillId="36" borderId="25" xfId="54" applyNumberFormat="1" applyFont="1" applyFill="1" applyBorder="1" applyAlignment="1">
      <alignment horizontal="center" vertical="center"/>
    </xf>
    <xf numFmtId="16" fontId="24" fillId="36" borderId="25" xfId="54" applyNumberFormat="1" applyFont="1" applyFill="1" applyBorder="1" applyAlignment="1">
      <alignment horizontal="center" vertical="center"/>
    </xf>
    <xf numFmtId="0" fontId="29" fillId="36" borderId="30" xfId="54" applyFont="1" applyFill="1" applyBorder="1" applyAlignment="1" applyProtection="1"/>
    <xf numFmtId="0" fontId="29" fillId="36" borderId="31" xfId="54" applyFont="1" applyFill="1" applyBorder="1" applyAlignment="1" applyProtection="1"/>
    <xf numFmtId="0" fontId="25" fillId="0" borderId="32" xfId="54" applyBorder="1"/>
    <xf numFmtId="0" fontId="25" fillId="0" borderId="1" xfId="54" applyBorder="1"/>
    <xf numFmtId="0" fontId="25" fillId="0" borderId="29" xfId="54" applyFill="1" applyBorder="1" applyAlignment="1">
      <alignment horizontal="center" vertical="center"/>
    </xf>
    <xf numFmtId="0" fontId="25" fillId="37" borderId="0" xfId="54" applyFill="1" applyAlignment="1">
      <alignment horizontal="center" vertical="center"/>
    </xf>
    <xf numFmtId="0" fontId="25" fillId="38" borderId="20" xfId="54" applyFill="1" applyBorder="1" applyAlignment="1">
      <alignment horizontal="center" vertical="center"/>
    </xf>
    <xf numFmtId="0" fontId="25" fillId="38" borderId="33" xfId="54" applyFill="1" applyBorder="1" applyAlignment="1">
      <alignment horizontal="center" vertical="center"/>
    </xf>
    <xf numFmtId="0" fontId="24" fillId="38" borderId="20" xfId="54" applyFont="1" applyFill="1" applyBorder="1" applyAlignment="1">
      <alignment horizontal="center" vertical="center"/>
    </xf>
    <xf numFmtId="0" fontId="29" fillId="38" borderId="34" xfId="54" applyFont="1" applyFill="1" applyBorder="1" applyAlignment="1" applyProtection="1"/>
    <xf numFmtId="0" fontId="25" fillId="0" borderId="1" xfId="54" applyBorder="1" applyAlignment="1">
      <alignment horizontal="center" vertical="center"/>
    </xf>
    <xf numFmtId="0" fontId="39" fillId="0" borderId="37" xfId="54" applyFont="1" applyBorder="1" applyAlignment="1"/>
    <xf numFmtId="0" fontId="39" fillId="0" borderId="0" xfId="54" applyFont="1" applyAlignment="1"/>
    <xf numFmtId="0" fontId="1" fillId="0" borderId="0" xfId="53"/>
    <xf numFmtId="171" fontId="1" fillId="0" borderId="0" xfId="53" applyNumberFormat="1"/>
    <xf numFmtId="0" fontId="1" fillId="0" borderId="0" xfId="53" applyBorder="1"/>
    <xf numFmtId="165" fontId="23" fillId="39" borderId="38" xfId="53" applyNumberFormat="1" applyFont="1" applyFill="1" applyBorder="1" applyAlignment="1">
      <alignment horizontal="center" vertical="center"/>
    </xf>
    <xf numFmtId="165" fontId="23" fillId="39" borderId="39" xfId="53" applyNumberFormat="1" applyFont="1" applyFill="1" applyBorder="1" applyAlignment="1">
      <alignment horizontal="center" vertical="center"/>
    </xf>
    <xf numFmtId="172" fontId="23" fillId="39" borderId="39" xfId="53" applyNumberFormat="1" applyFont="1" applyFill="1" applyBorder="1" applyAlignment="1">
      <alignment horizontal="center" vertical="center"/>
    </xf>
    <xf numFmtId="173" fontId="23" fillId="39" borderId="38" xfId="53" applyNumberFormat="1" applyFont="1" applyFill="1" applyBorder="1" applyAlignment="1">
      <alignment horizontal="center" vertical="center"/>
    </xf>
    <xf numFmtId="9" fontId="23" fillId="39" borderId="39" xfId="58" applyFont="1" applyFill="1" applyBorder="1" applyAlignment="1">
      <alignment horizontal="center" vertical="center"/>
    </xf>
    <xf numFmtId="173" fontId="23" fillId="39" borderId="40" xfId="53" applyNumberFormat="1" applyFont="1" applyFill="1" applyBorder="1" applyAlignment="1">
      <alignment horizontal="center" vertical="center"/>
    </xf>
    <xf numFmtId="170" fontId="23" fillId="39" borderId="38" xfId="53" applyNumberFormat="1" applyFont="1" applyFill="1" applyBorder="1" applyAlignment="1">
      <alignment horizontal="center" vertical="center"/>
    </xf>
    <xf numFmtId="0" fontId="3" fillId="2" borderId="41" xfId="53" applyFont="1" applyFill="1" applyBorder="1" applyAlignment="1">
      <alignment horizontal="center" vertical="center"/>
    </xf>
    <xf numFmtId="165" fontId="1" fillId="0" borderId="42" xfId="53" applyNumberFormat="1" applyBorder="1" applyAlignment="1">
      <alignment horizontal="center" vertical="center"/>
    </xf>
    <xf numFmtId="174" fontId="1" fillId="0" borderId="1" xfId="53" applyNumberFormat="1" applyBorder="1"/>
    <xf numFmtId="172" fontId="1" fillId="0" borderId="1" xfId="53" applyNumberFormat="1" applyBorder="1" applyAlignment="1">
      <alignment horizontal="center" vertical="center"/>
    </xf>
    <xf numFmtId="173" fontId="1" fillId="0" borderId="1" xfId="53" applyNumberFormat="1" applyBorder="1" applyAlignment="1">
      <alignment horizontal="center" vertical="center"/>
    </xf>
    <xf numFmtId="9" fontId="4" fillId="0" borderId="1" xfId="58" applyFont="1" applyBorder="1" applyAlignment="1">
      <alignment horizontal="center" vertical="center"/>
    </xf>
    <xf numFmtId="0" fontId="1" fillId="0" borderId="46" xfId="53" applyBorder="1" applyAlignment="1">
      <alignment horizontal="center" vertical="center"/>
    </xf>
    <xf numFmtId="165" fontId="1" fillId="0" borderId="47" xfId="53" applyNumberFormat="1" applyBorder="1" applyAlignment="1">
      <alignment horizontal="center" vertical="center"/>
    </xf>
    <xf numFmtId="174" fontId="1" fillId="0" borderId="48" xfId="53" applyNumberFormat="1" applyBorder="1"/>
    <xf numFmtId="172" fontId="1" fillId="0" borderId="48" xfId="53" applyNumberFormat="1" applyBorder="1" applyAlignment="1">
      <alignment horizontal="center" vertical="center"/>
    </xf>
    <xf numFmtId="173" fontId="1" fillId="0" borderId="48" xfId="53" applyNumberFormat="1" applyBorder="1" applyAlignment="1">
      <alignment horizontal="center" vertical="center"/>
    </xf>
    <xf numFmtId="9" fontId="4" fillId="0" borderId="48" xfId="58" applyFont="1" applyBorder="1" applyAlignment="1">
      <alignment horizontal="center" vertical="center"/>
    </xf>
    <xf numFmtId="173" fontId="1" fillId="0" borderId="49" xfId="53" applyNumberFormat="1" applyBorder="1" applyAlignment="1">
      <alignment horizontal="center" vertical="center"/>
    </xf>
    <xf numFmtId="0" fontId="3" fillId="35" borderId="41" xfId="53" applyFont="1" applyFill="1" applyBorder="1" applyAlignment="1">
      <alignment horizontal="center" vertical="center"/>
    </xf>
    <xf numFmtId="0" fontId="3" fillId="35" borderId="17" xfId="53" applyFont="1" applyFill="1" applyBorder="1" applyAlignment="1">
      <alignment horizontal="center" vertical="center" wrapText="1"/>
    </xf>
    <xf numFmtId="9" fontId="3" fillId="35" borderId="17" xfId="59" applyFont="1" applyFill="1" applyBorder="1" applyAlignment="1">
      <alignment horizontal="center" vertical="center"/>
    </xf>
    <xf numFmtId="165" fontId="1" fillId="0" borderId="58" xfId="53" applyNumberFormat="1" applyBorder="1" applyAlignment="1">
      <alignment horizontal="center" vertical="center"/>
    </xf>
    <xf numFmtId="0" fontId="1" fillId="0" borderId="0" xfId="53" applyFont="1"/>
    <xf numFmtId="0" fontId="1" fillId="0" borderId="0" xfId="53" quotePrefix="1" applyFont="1"/>
    <xf numFmtId="176" fontId="4" fillId="0" borderId="0" xfId="53" applyNumberFormat="1" applyFont="1" applyBorder="1" applyAlignment="1">
      <alignment horizontal="center" vertical="center"/>
    </xf>
    <xf numFmtId="167" fontId="4" fillId="0" borderId="0" xfId="55" applyFont="1" applyBorder="1" applyAlignment="1">
      <alignment horizontal="center" vertical="center" wrapText="1"/>
    </xf>
    <xf numFmtId="0" fontId="4" fillId="0" borderId="0" xfId="53" applyFont="1" applyBorder="1" applyAlignment="1">
      <alignment horizontal="center" vertical="center" wrapText="1"/>
    </xf>
    <xf numFmtId="167" fontId="4" fillId="0" borderId="1" xfId="55" applyFont="1" applyBorder="1" applyAlignment="1">
      <alignment horizontal="center" vertical="center" wrapText="1"/>
    </xf>
    <xf numFmtId="171" fontId="1" fillId="0" borderId="0" xfId="53" applyNumberFormat="1" applyFont="1"/>
    <xf numFmtId="0" fontId="1" fillId="0" borderId="0" xfId="53" applyFont="1" applyBorder="1"/>
    <xf numFmtId="0" fontId="23" fillId="42" borderId="1" xfId="53" applyFont="1" applyFill="1" applyBorder="1" applyAlignment="1">
      <alignment horizontal="center"/>
    </xf>
    <xf numFmtId="0" fontId="0" fillId="0" borderId="1" xfId="0" applyBorder="1"/>
    <xf numFmtId="0" fontId="3" fillId="35" borderId="55" xfId="53" applyFont="1" applyFill="1" applyBorder="1" applyAlignment="1">
      <alignment horizontal="center" vertical="center" wrapText="1"/>
    </xf>
    <xf numFmtId="170" fontId="1" fillId="0" borderId="48" xfId="53" applyNumberFormat="1" applyBorder="1" applyAlignment="1">
      <alignment horizontal="center" vertical="center"/>
    </xf>
    <xf numFmtId="170" fontId="1" fillId="0" borderId="1" xfId="53" applyNumberFormat="1" applyBorder="1" applyAlignment="1">
      <alignment horizontal="center" vertical="center"/>
    </xf>
    <xf numFmtId="173" fontId="23" fillId="39" borderId="41" xfId="53" applyNumberFormat="1" applyFont="1" applyFill="1" applyBorder="1" applyAlignment="1">
      <alignment horizontal="center" vertical="center"/>
    </xf>
    <xf numFmtId="165" fontId="23" fillId="39" borderId="41" xfId="53" applyNumberFormat="1" applyFont="1" applyFill="1" applyBorder="1" applyAlignment="1">
      <alignment horizontal="center" vertical="center"/>
    </xf>
    <xf numFmtId="0" fontId="3" fillId="43" borderId="41" xfId="0" applyFont="1" applyFill="1" applyBorder="1"/>
    <xf numFmtId="16" fontId="3" fillId="2" borderId="41" xfId="0" applyNumberFormat="1" applyFont="1" applyFill="1" applyBorder="1"/>
    <xf numFmtId="165" fontId="3" fillId="7" borderId="41" xfId="0" applyNumberFormat="1" applyFont="1" applyFill="1" applyBorder="1"/>
    <xf numFmtId="0" fontId="0" fillId="0" borderId="61" xfId="0" applyBorder="1"/>
    <xf numFmtId="165" fontId="0" fillId="44" borderId="62" xfId="0" applyNumberFormat="1" applyFill="1" applyBorder="1"/>
    <xf numFmtId="165" fontId="0" fillId="0" borderId="1" xfId="0" applyNumberFormat="1" applyBorder="1"/>
    <xf numFmtId="0" fontId="0" fillId="0" borderId="46" xfId="0" applyBorder="1"/>
    <xf numFmtId="165" fontId="0" fillId="0" borderId="62" xfId="0" applyNumberFormat="1" applyBorder="1"/>
    <xf numFmtId="165" fontId="0" fillId="0" borderId="1" xfId="0" applyNumberFormat="1" applyBorder="1" applyAlignment="1">
      <alignment horizontal="right"/>
    </xf>
    <xf numFmtId="0" fontId="0" fillId="0" borderId="63" xfId="0" applyBorder="1"/>
    <xf numFmtId="165" fontId="0" fillId="0" borderId="64" xfId="0" applyNumberFormat="1" applyBorder="1"/>
    <xf numFmtId="165" fontId="0" fillId="0" borderId="64" xfId="0" applyNumberFormat="1" applyBorder="1" applyAlignment="1">
      <alignment horizontal="right"/>
    </xf>
    <xf numFmtId="0" fontId="3" fillId="32" borderId="41" xfId="0" applyFont="1" applyFill="1" applyBorder="1"/>
    <xf numFmtId="165" fontId="3" fillId="32" borderId="41" xfId="0" applyNumberFormat="1" applyFont="1" applyFill="1" applyBorder="1"/>
    <xf numFmtId="0" fontId="3" fillId="31" borderId="41" xfId="0" applyFont="1" applyFill="1" applyBorder="1"/>
    <xf numFmtId="165" fontId="3" fillId="31" borderId="41" xfId="0" applyNumberFormat="1" applyFont="1" applyFill="1" applyBorder="1"/>
    <xf numFmtId="0" fontId="0" fillId="0" borderId="49" xfId="0" applyBorder="1"/>
    <xf numFmtId="165" fontId="0" fillId="0" borderId="48" xfId="0" applyNumberFormat="1" applyBorder="1"/>
    <xf numFmtId="165" fontId="0" fillId="0" borderId="48" xfId="0" applyNumberFormat="1" applyBorder="1" applyAlignment="1">
      <alignment horizontal="right"/>
    </xf>
    <xf numFmtId="165" fontId="0" fillId="0" borderId="62" xfId="0" applyNumberFormat="1" applyBorder="1" applyAlignment="1">
      <alignment horizontal="right"/>
    </xf>
    <xf numFmtId="0" fontId="0" fillId="0" borderId="0" xfId="0" applyBorder="1"/>
    <xf numFmtId="0" fontId="0" fillId="0" borderId="1" xfId="0" applyBorder="1" applyAlignment="1">
      <alignment horizontal="right"/>
    </xf>
    <xf numFmtId="44" fontId="0" fillId="0" borderId="1" xfId="3" applyFont="1" applyBorder="1"/>
    <xf numFmtId="165" fontId="0" fillId="0" borderId="65" xfId="0" applyNumberFormat="1" applyFill="1" applyBorder="1"/>
    <xf numFmtId="0" fontId="0" fillId="0" borderId="0" xfId="0" applyAlignment="1">
      <alignment horizontal="right"/>
    </xf>
    <xf numFmtId="165" fontId="0" fillId="0" borderId="43" xfId="0" applyNumberFormat="1" applyBorder="1"/>
    <xf numFmtId="0" fontId="0" fillId="0" borderId="44" xfId="0" applyBorder="1"/>
    <xf numFmtId="0" fontId="3" fillId="7" borderId="15" xfId="0" applyFont="1" applyFill="1" applyBorder="1" applyAlignment="1">
      <alignment horizontal="center" vertical="center"/>
    </xf>
    <xf numFmtId="165" fontId="3" fillId="45" borderId="67" xfId="0" applyNumberFormat="1" applyFont="1" applyFill="1" applyBorder="1"/>
    <xf numFmtId="10" fontId="0" fillId="3" borderId="68" xfId="0" applyNumberFormat="1" applyFill="1" applyBorder="1"/>
    <xf numFmtId="0" fontId="3" fillId="7" borderId="39" xfId="0" applyFont="1" applyFill="1" applyBorder="1" applyAlignment="1">
      <alignment horizontal="center" vertical="center"/>
    </xf>
    <xf numFmtId="0" fontId="3" fillId="7" borderId="66" xfId="0" applyFont="1" applyFill="1" applyBorder="1" applyAlignment="1">
      <alignment horizontal="center" vertical="center"/>
    </xf>
    <xf numFmtId="165" fontId="3" fillId="45" borderId="56" xfId="0" applyNumberFormat="1" applyFont="1" applyFill="1" applyBorder="1"/>
    <xf numFmtId="0" fontId="3" fillId="31" borderId="38" xfId="0" applyFont="1" applyFill="1" applyBorder="1" applyAlignment="1">
      <alignment horizontal="center" vertical="center"/>
    </xf>
    <xf numFmtId="0" fontId="3" fillId="32" borderId="41" xfId="0" applyFont="1" applyFill="1" applyBorder="1" applyAlignment="1">
      <alignment horizontal="center"/>
    </xf>
    <xf numFmtId="44" fontId="0" fillId="0" borderId="0" xfId="0" applyNumberFormat="1"/>
    <xf numFmtId="0" fontId="0" fillId="0" borderId="70" xfId="0" applyBorder="1"/>
    <xf numFmtId="165" fontId="0" fillId="44" borderId="43" xfId="0" applyNumberFormat="1" applyFill="1" applyBorder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1" applyFont="1" applyBorder="1" applyAlignment="1">
      <alignment horizontal="center"/>
    </xf>
    <xf numFmtId="164" fontId="0" fillId="0" borderId="1" xfId="1" quotePrefix="1" applyFont="1" applyBorder="1" applyAlignment="1">
      <alignment horizontal="center"/>
    </xf>
    <xf numFmtId="164" fontId="0" fillId="0" borderId="0" xfId="1" applyFont="1" applyAlignment="1">
      <alignment horizontal="center"/>
    </xf>
    <xf numFmtId="0" fontId="3" fillId="3" borderId="71" xfId="0" applyFont="1" applyFill="1" applyBorder="1" applyAlignment="1">
      <alignment vertical="center"/>
    </xf>
    <xf numFmtId="0" fontId="0" fillId="0" borderId="72" xfId="0" applyBorder="1" applyAlignment="1"/>
    <xf numFmtId="0" fontId="0" fillId="0" borderId="73" xfId="0" applyBorder="1" applyAlignment="1"/>
    <xf numFmtId="0" fontId="3" fillId="47" borderId="1" xfId="0" applyFont="1" applyFill="1" applyBorder="1" applyAlignment="1">
      <alignment horizontal="left" vertical="center" wrapText="1"/>
    </xf>
    <xf numFmtId="0" fontId="3" fillId="47" borderId="1" xfId="0" applyFont="1" applyFill="1" applyBorder="1" applyAlignment="1">
      <alignment horizontal="center" vertical="center" wrapText="1"/>
    </xf>
    <xf numFmtId="164" fontId="3" fillId="47" borderId="1" xfId="1" applyFont="1" applyFill="1" applyBorder="1" applyAlignment="1">
      <alignment horizontal="center"/>
    </xf>
    <xf numFmtId="165" fontId="44" fillId="2" borderId="1" xfId="0" applyNumberFormat="1" applyFont="1" applyFill="1" applyBorder="1" applyAlignment="1">
      <alignment horizontal="center" vertical="center"/>
    </xf>
    <xf numFmtId="164" fontId="44" fillId="47" borderId="1" xfId="1" applyFont="1" applyFill="1" applyBorder="1" applyAlignment="1">
      <alignment horizontal="center"/>
    </xf>
    <xf numFmtId="0" fontId="3" fillId="46" borderId="41" xfId="0" applyFont="1" applyFill="1" applyBorder="1"/>
    <xf numFmtId="165" fontId="3" fillId="46" borderId="41" xfId="0" applyNumberFormat="1" applyFont="1" applyFill="1" applyBorder="1"/>
    <xf numFmtId="0" fontId="45" fillId="32" borderId="41" xfId="54" applyFont="1" applyFill="1" applyBorder="1" applyAlignment="1">
      <alignment horizontal="center" vertical="center" wrapText="1"/>
    </xf>
    <xf numFmtId="0" fontId="3" fillId="2" borderId="41" xfId="0" applyFont="1" applyFill="1" applyBorder="1"/>
    <xf numFmtId="164" fontId="1" fillId="0" borderId="0" xfId="1" applyFont="1"/>
    <xf numFmtId="0" fontId="0" fillId="0" borderId="1" xfId="0" applyBorder="1" applyAlignment="1">
      <alignment horizontal="center"/>
    </xf>
    <xf numFmtId="49" fontId="0" fillId="0" borderId="1" xfId="0" applyNumberFormat="1" applyFill="1" applyBorder="1" applyAlignment="1">
      <alignment vertical="center"/>
    </xf>
    <xf numFmtId="165" fontId="47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8" fillId="0" borderId="21" xfId="54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left" vertical="center"/>
    </xf>
    <xf numFmtId="165" fontId="49" fillId="2" borderId="1" xfId="0" applyNumberFormat="1" applyFont="1" applyFill="1" applyBorder="1" applyAlignment="1">
      <alignment horizontal="center" vertical="center"/>
    </xf>
    <xf numFmtId="165" fontId="43" fillId="0" borderId="62" xfId="0" applyNumberFormat="1" applyFont="1" applyBorder="1"/>
    <xf numFmtId="165" fontId="43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64" fontId="3" fillId="2" borderId="1" xfId="1" applyFont="1" applyFill="1" applyBorder="1" applyAlignment="1">
      <alignment horizontal="center"/>
    </xf>
    <xf numFmtId="165" fontId="0" fillId="0" borderId="1" xfId="0" applyNumberFormat="1" applyFont="1" applyBorder="1"/>
    <xf numFmtId="165" fontId="3" fillId="50" borderId="41" xfId="0" applyNumberFormat="1" applyFont="1" applyFill="1" applyBorder="1"/>
    <xf numFmtId="0" fontId="43" fillId="0" borderId="46" xfId="0" applyFont="1" applyBorder="1"/>
    <xf numFmtId="0" fontId="46" fillId="0" borderId="72" xfId="0" applyFont="1" applyBorder="1" applyAlignment="1"/>
    <xf numFmtId="165" fontId="50" fillId="2" borderId="1" xfId="0" applyNumberFormat="1" applyFont="1" applyFill="1" applyBorder="1" applyAlignment="1">
      <alignment horizontal="center" vertical="center"/>
    </xf>
    <xf numFmtId="165" fontId="51" fillId="2" borderId="1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3" fillId="3" borderId="71" xfId="0" applyNumberFormat="1" applyFont="1" applyFill="1" applyBorder="1" applyAlignment="1">
      <alignment vertical="center"/>
    </xf>
    <xf numFmtId="0" fontId="0" fillId="6" borderId="1" xfId="0" applyNumberFormat="1" applyFill="1" applyBorder="1" applyAlignment="1">
      <alignment horizontal="center"/>
    </xf>
    <xf numFmtId="0" fontId="0" fillId="0" borderId="0" xfId="0" applyNumberFormat="1" applyFill="1" applyAlignment="1">
      <alignment horizontal="center"/>
    </xf>
    <xf numFmtId="165" fontId="46" fillId="0" borderId="1" xfId="0" applyNumberFormat="1" applyFont="1" applyBorder="1"/>
    <xf numFmtId="165" fontId="46" fillId="0" borderId="62" xfId="0" applyNumberFormat="1" applyFont="1" applyBorder="1"/>
    <xf numFmtId="0" fontId="0" fillId="0" borderId="1" xfId="0" applyBorder="1" applyAlignment="1">
      <alignment horizontal="center"/>
    </xf>
    <xf numFmtId="164" fontId="1" fillId="0" borderId="0" xfId="1" quotePrefix="1" applyFont="1"/>
    <xf numFmtId="0" fontId="0" fillId="0" borderId="0" xfId="53" applyFont="1"/>
    <xf numFmtId="165" fontId="1" fillId="0" borderId="0" xfId="53" applyNumberFormat="1" applyFont="1"/>
    <xf numFmtId="164" fontId="1" fillId="0" borderId="0" xfId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64" fontId="47" fillId="2" borderId="1" xfId="1" applyFont="1" applyFill="1" applyBorder="1" applyAlignment="1">
      <alignment horizontal="center"/>
    </xf>
    <xf numFmtId="0" fontId="24" fillId="0" borderId="12" xfId="54" applyFont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32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 wrapText="1"/>
    </xf>
    <xf numFmtId="16" fontId="0" fillId="6" borderId="1" xfId="0" applyNumberFormat="1" applyFont="1" applyFill="1" applyBorder="1" applyAlignment="1">
      <alignment horizontal="center"/>
    </xf>
    <xf numFmtId="16" fontId="0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46" fillId="0" borderId="1" xfId="0" applyNumberFormat="1" applyFont="1" applyFill="1" applyBorder="1" applyAlignment="1">
      <alignment horizontal="left" vertical="center"/>
    </xf>
    <xf numFmtId="165" fontId="0" fillId="0" borderId="0" xfId="0" applyNumberFormat="1" applyAlignment="1">
      <alignment horizontal="center"/>
    </xf>
    <xf numFmtId="16" fontId="0" fillId="0" borderId="1" xfId="0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3" fillId="45" borderId="74" xfId="0" applyNumberFormat="1" applyFont="1" applyFill="1" applyBorder="1"/>
    <xf numFmtId="165" fontId="3" fillId="3" borderId="41" xfId="0" applyNumberFormat="1" applyFont="1" applyFill="1" applyBorder="1"/>
    <xf numFmtId="165" fontId="3" fillId="43" borderId="41" xfId="0" applyNumberFormat="1" applyFont="1" applyFill="1" applyBorder="1"/>
    <xf numFmtId="165" fontId="3" fillId="52" borderId="68" xfId="0" applyNumberFormat="1" applyFont="1" applyFill="1" applyBorder="1"/>
    <xf numFmtId="0" fontId="3" fillId="0" borderId="0" xfId="0" applyFont="1" applyAlignment="1">
      <alignment horizontal="right"/>
    </xf>
    <xf numFmtId="0" fontId="52" fillId="0" borderId="0" xfId="0" applyFont="1"/>
    <xf numFmtId="0" fontId="3" fillId="44" borderId="16" xfId="0" applyFont="1" applyFill="1" applyBorder="1"/>
    <xf numFmtId="0" fontId="3" fillId="44" borderId="16" xfId="0" applyFont="1" applyFill="1" applyBorder="1" applyAlignment="1">
      <alignment horizontal="right"/>
    </xf>
    <xf numFmtId="0" fontId="3" fillId="44" borderId="15" xfId="0" applyFont="1" applyFill="1" applyBorder="1"/>
    <xf numFmtId="0" fontId="3" fillId="45" borderId="70" xfId="0" applyFont="1" applyFill="1" applyBorder="1"/>
    <xf numFmtId="165" fontId="3" fillId="45" borderId="75" xfId="0" applyNumberFormat="1" applyFont="1" applyFill="1" applyBorder="1"/>
    <xf numFmtId="164" fontId="3" fillId="53" borderId="0" xfId="1" applyFont="1" applyFill="1" applyBorder="1"/>
    <xf numFmtId="164" fontId="3" fillId="53" borderId="18" xfId="1" applyFont="1" applyFill="1" applyBorder="1"/>
    <xf numFmtId="165" fontId="3" fillId="45" borderId="64" xfId="0" applyNumberFormat="1" applyFont="1" applyFill="1" applyBorder="1"/>
    <xf numFmtId="0" fontId="3" fillId="44" borderId="39" xfId="0" applyFont="1" applyFill="1" applyBorder="1"/>
    <xf numFmtId="165" fontId="3" fillId="44" borderId="41" xfId="0" applyNumberFormat="1" applyFont="1" applyFill="1" applyBorder="1"/>
    <xf numFmtId="164" fontId="3" fillId="44" borderId="66" xfId="1" applyFont="1" applyFill="1" applyBorder="1"/>
    <xf numFmtId="164" fontId="3" fillId="44" borderId="69" xfId="1" applyFont="1" applyFill="1" applyBorder="1"/>
    <xf numFmtId="0" fontId="3" fillId="47" borderId="16" xfId="0" applyFont="1" applyFill="1" applyBorder="1"/>
    <xf numFmtId="0" fontId="3" fillId="47" borderId="16" xfId="0" applyFont="1" applyFill="1" applyBorder="1" applyAlignment="1">
      <alignment horizontal="right"/>
    </xf>
    <xf numFmtId="0" fontId="3" fillId="47" borderId="15" xfId="0" applyFont="1" applyFill="1" applyBorder="1"/>
    <xf numFmtId="165" fontId="3" fillId="45" borderId="43" xfId="0" applyNumberFormat="1" applyFont="1" applyFill="1" applyBorder="1"/>
    <xf numFmtId="0" fontId="3" fillId="47" borderId="39" xfId="0" applyFont="1" applyFill="1" applyBorder="1"/>
    <xf numFmtId="165" fontId="3" fillId="47" borderId="41" xfId="0" applyNumberFormat="1" applyFont="1" applyFill="1" applyBorder="1"/>
    <xf numFmtId="164" fontId="3" fillId="47" borderId="66" xfId="1" applyFont="1" applyFill="1" applyBorder="1"/>
    <xf numFmtId="164" fontId="3" fillId="47" borderId="69" xfId="1" applyFont="1" applyFill="1" applyBorder="1"/>
    <xf numFmtId="164" fontId="3" fillId="2" borderId="16" xfId="1" applyFont="1" applyFill="1" applyBorder="1"/>
    <xf numFmtId="164" fontId="3" fillId="2" borderId="15" xfId="1" applyFont="1" applyFill="1" applyBorder="1"/>
    <xf numFmtId="0" fontId="3" fillId="45" borderId="55" xfId="0" applyFont="1" applyFill="1" applyBorder="1"/>
    <xf numFmtId="165" fontId="3" fillId="45" borderId="58" xfId="0" applyNumberFormat="1" applyFont="1" applyFill="1" applyBorder="1"/>
    <xf numFmtId="0" fontId="3" fillId="45" borderId="39" xfId="0" applyFont="1" applyFill="1" applyBorder="1"/>
    <xf numFmtId="0" fontId="3" fillId="53" borderId="55" xfId="0" applyFont="1" applyFill="1" applyBorder="1"/>
    <xf numFmtId="0" fontId="3" fillId="53" borderId="54" xfId="0" applyFont="1" applyFill="1" applyBorder="1"/>
    <xf numFmtId="0" fontId="3" fillId="53" borderId="54" xfId="0" applyFont="1" applyFill="1" applyBorder="1" applyAlignment="1">
      <alignment horizontal="right"/>
    </xf>
    <xf numFmtId="0" fontId="3" fillId="53" borderId="53" xfId="0" applyFont="1" applyFill="1" applyBorder="1"/>
    <xf numFmtId="0" fontId="3" fillId="51" borderId="41" xfId="0" applyFont="1" applyFill="1" applyBorder="1"/>
    <xf numFmtId="0" fontId="3" fillId="2" borderId="71" xfId="0" applyNumberFormat="1" applyFont="1" applyFill="1" applyBorder="1" applyAlignment="1">
      <alignment vertical="center"/>
    </xf>
    <xf numFmtId="0" fontId="3" fillId="2" borderId="73" xfId="0" applyNumberFormat="1" applyFont="1" applyFill="1" applyBorder="1" applyAlignment="1">
      <alignment vertical="center"/>
    </xf>
    <xf numFmtId="178" fontId="1" fillId="0" borderId="0" xfId="1" applyNumberFormat="1" applyFont="1"/>
    <xf numFmtId="44" fontId="1" fillId="0" borderId="0" xfId="53" applyNumberFormat="1" applyFont="1"/>
    <xf numFmtId="2" fontId="3" fillId="45" borderId="60" xfId="0" applyNumberFormat="1" applyFont="1" applyFill="1" applyBorder="1"/>
    <xf numFmtId="0" fontId="24" fillId="0" borderId="21" xfId="54" applyFont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54" xfId="0" applyBorder="1"/>
    <xf numFmtId="0" fontId="0" fillId="0" borderId="53" xfId="0" applyBorder="1"/>
    <xf numFmtId="0" fontId="0" fillId="0" borderId="18" xfId="0" applyBorder="1"/>
    <xf numFmtId="164" fontId="0" fillId="0" borderId="18" xfId="1" applyFont="1" applyBorder="1"/>
    <xf numFmtId="0" fontId="0" fillId="0" borderId="39" xfId="0" applyBorder="1"/>
    <xf numFmtId="0" fontId="0" fillId="0" borderId="66" xfId="0" applyBorder="1"/>
    <xf numFmtId="164" fontId="0" fillId="2" borderId="69" xfId="0" applyNumberFormat="1" applyFill="1" applyBorder="1"/>
    <xf numFmtId="164" fontId="0" fillId="2" borderId="18" xfId="1" applyFont="1" applyFill="1" applyBorder="1"/>
    <xf numFmtId="164" fontId="0" fillId="2" borderId="69" xfId="1" applyFont="1" applyFill="1" applyBorder="1"/>
    <xf numFmtId="0" fontId="0" fillId="0" borderId="50" xfId="0" applyBorder="1"/>
    <xf numFmtId="0" fontId="0" fillId="0" borderId="45" xfId="0" applyBorder="1"/>
    <xf numFmtId="0" fontId="0" fillId="0" borderId="38" xfId="0" applyBorder="1"/>
    <xf numFmtId="0" fontId="0" fillId="2" borderId="41" xfId="0" applyFill="1" applyBorder="1"/>
    <xf numFmtId="0" fontId="0" fillId="53" borderId="41" xfId="0" applyFill="1" applyBorder="1"/>
    <xf numFmtId="164" fontId="0" fillId="0" borderId="1" xfId="1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72" xfId="0" applyFont="1" applyFill="1" applyBorder="1" applyAlignment="1"/>
    <xf numFmtId="0" fontId="3" fillId="0" borderId="72" xfId="0" applyFont="1" applyBorder="1" applyAlignment="1"/>
    <xf numFmtId="44" fontId="3" fillId="54" borderId="72" xfId="0" applyNumberFormat="1" applyFont="1" applyFill="1" applyBorder="1" applyAlignment="1"/>
    <xf numFmtId="0" fontId="1" fillId="0" borderId="0" xfId="53" applyNumberFormat="1"/>
    <xf numFmtId="0" fontId="0" fillId="2" borderId="72" xfId="0" applyFill="1" applyBorder="1" applyAlignment="1"/>
    <xf numFmtId="0" fontId="0" fillId="0" borderId="1" xfId="0" applyBorder="1" applyAlignment="1">
      <alignment horizontal="center"/>
    </xf>
    <xf numFmtId="165" fontId="46" fillId="0" borderId="1" xfId="0" applyNumberFormat="1" applyFont="1" applyBorder="1" applyAlignment="1">
      <alignment horizontal="center"/>
    </xf>
    <xf numFmtId="165" fontId="46" fillId="0" borderId="64" xfId="0" applyNumberFormat="1" applyFont="1" applyBorder="1"/>
    <xf numFmtId="165" fontId="50" fillId="31" borderId="41" xfId="0" applyNumberFormat="1" applyFont="1" applyFill="1" applyBorder="1"/>
    <xf numFmtId="165" fontId="46" fillId="0" borderId="64" xfId="0" applyNumberFormat="1" applyFont="1" applyBorder="1" applyAlignment="1">
      <alignment horizontal="right"/>
    </xf>
    <xf numFmtId="164" fontId="46" fillId="0" borderId="1" xfId="1" applyFont="1" applyBorder="1"/>
    <xf numFmtId="165" fontId="46" fillId="0" borderId="1" xfId="0" applyNumberFormat="1" applyFont="1" applyBorder="1" applyAlignment="1">
      <alignment horizontal="right"/>
    </xf>
    <xf numFmtId="165" fontId="46" fillId="0" borderId="62" xfId="0" applyNumberFormat="1" applyFont="1" applyBorder="1" applyAlignment="1">
      <alignment horizontal="right"/>
    </xf>
    <xf numFmtId="16" fontId="1" fillId="0" borderId="0" xfId="53" applyNumberFormat="1"/>
    <xf numFmtId="17" fontId="1" fillId="0" borderId="0" xfId="53" applyNumberFormat="1"/>
    <xf numFmtId="0" fontId="1" fillId="0" borderId="0" xfId="53" applyFont="1" applyBorder="1" applyAlignment="1">
      <alignment horizontal="center"/>
    </xf>
    <xf numFmtId="0" fontId="1" fillId="0" borderId="0" xfId="53" applyAlignment="1">
      <alignment horizontal="center"/>
    </xf>
    <xf numFmtId="0" fontId="0" fillId="0" borderId="0" xfId="53" applyFont="1" applyAlignment="1">
      <alignment horizontal="center"/>
    </xf>
    <xf numFmtId="0" fontId="0" fillId="0" borderId="55" xfId="53" applyFont="1" applyBorder="1" applyAlignment="1">
      <alignment horizontal="center"/>
    </xf>
    <xf numFmtId="0" fontId="0" fillId="0" borderId="54" xfId="53" applyFont="1" applyBorder="1" applyAlignment="1">
      <alignment horizontal="center"/>
    </xf>
    <xf numFmtId="0" fontId="0" fillId="0" borderId="53" xfId="53" applyFont="1" applyBorder="1" applyAlignment="1">
      <alignment horizontal="center"/>
    </xf>
    <xf numFmtId="0" fontId="0" fillId="0" borderId="55" xfId="53" applyNumberFormat="1" applyFont="1" applyBorder="1" applyAlignment="1">
      <alignment horizontal="center"/>
    </xf>
    <xf numFmtId="17" fontId="0" fillId="0" borderId="0" xfId="53" applyNumberFormat="1" applyFont="1" applyAlignment="1">
      <alignment horizontal="center"/>
    </xf>
    <xf numFmtId="16" fontId="1" fillId="55" borderId="70" xfId="1" applyNumberFormat="1" applyFont="1" applyFill="1" applyBorder="1" applyAlignment="1">
      <alignment horizontal="center"/>
    </xf>
    <xf numFmtId="164" fontId="1" fillId="0" borderId="0" xfId="1" applyFont="1" applyBorder="1" applyAlignment="1">
      <alignment horizontal="center"/>
    </xf>
    <xf numFmtId="164" fontId="1" fillId="53" borderId="18" xfId="1" applyFont="1" applyFill="1" applyBorder="1" applyAlignment="1">
      <alignment horizontal="center"/>
    </xf>
    <xf numFmtId="164" fontId="1" fillId="2" borderId="15" xfId="1" applyFill="1" applyBorder="1" applyAlignment="1">
      <alignment horizontal="center"/>
    </xf>
    <xf numFmtId="0" fontId="1" fillId="0" borderId="0" xfId="53" applyNumberFormat="1" applyAlignment="1">
      <alignment horizontal="center"/>
    </xf>
    <xf numFmtId="165" fontId="0" fillId="0" borderId="0" xfId="0" applyNumberFormat="1" applyBorder="1"/>
    <xf numFmtId="164" fontId="50" fillId="2" borderId="16" xfId="1" applyFont="1" applyFill="1" applyBorder="1"/>
    <xf numFmtId="0" fontId="3" fillId="55" borderId="16" xfId="0" applyFont="1" applyFill="1" applyBorder="1"/>
    <xf numFmtId="0" fontId="3" fillId="55" borderId="16" xfId="0" applyFont="1" applyFill="1" applyBorder="1" applyAlignment="1">
      <alignment horizontal="right"/>
    </xf>
    <xf numFmtId="0" fontId="3" fillId="55" borderId="15" xfId="0" applyFont="1" applyFill="1" applyBorder="1"/>
    <xf numFmtId="0" fontId="0" fillId="55" borderId="0" xfId="0" applyFill="1"/>
    <xf numFmtId="0" fontId="3" fillId="45" borderId="0" xfId="0" applyFont="1" applyFill="1" applyBorder="1"/>
    <xf numFmtId="0" fontId="1" fillId="0" borderId="75" xfId="53" applyNumberFormat="1" applyBorder="1" applyAlignment="1">
      <alignment horizontal="center" vertical="center"/>
    </xf>
    <xf numFmtId="10" fontId="4" fillId="0" borderId="75" xfId="58" applyNumberFormat="1" applyFont="1" applyBorder="1" applyAlignment="1">
      <alignment horizontal="center" vertical="center"/>
    </xf>
    <xf numFmtId="170" fontId="1" fillId="0" borderId="65" xfId="53" applyNumberFormat="1" applyBorder="1" applyAlignment="1">
      <alignment horizontal="center" vertical="center"/>
    </xf>
    <xf numFmtId="174" fontId="1" fillId="0" borderId="65" xfId="53" applyNumberFormat="1" applyBorder="1"/>
    <xf numFmtId="0" fontId="1" fillId="0" borderId="1" xfId="53" applyNumberFormat="1" applyBorder="1" applyAlignment="1">
      <alignment horizontal="center" vertical="center"/>
    </xf>
    <xf numFmtId="10" fontId="4" fillId="0" borderId="1" xfId="58" applyNumberFormat="1" applyFont="1" applyBorder="1" applyAlignment="1">
      <alignment horizontal="center" vertical="center"/>
    </xf>
    <xf numFmtId="0" fontId="0" fillId="0" borderId="76" xfId="53" applyFont="1" applyBorder="1" applyAlignment="1">
      <alignment horizontal="center" vertical="center"/>
    </xf>
    <xf numFmtId="16" fontId="46" fillId="55" borderId="70" xfId="1" applyNumberFormat="1" applyFont="1" applyFill="1" applyBorder="1" applyAlignment="1">
      <alignment horizontal="center"/>
    </xf>
    <xf numFmtId="164" fontId="46" fillId="0" borderId="0" xfId="1" applyFont="1" applyBorder="1" applyAlignment="1">
      <alignment horizontal="center"/>
    </xf>
    <xf numFmtId="0" fontId="46" fillId="0" borderId="0" xfId="53" applyFont="1" applyBorder="1" applyAlignment="1">
      <alignment horizontal="center"/>
    </xf>
    <xf numFmtId="16" fontId="0" fillId="6" borderId="71" xfId="0" applyNumberFormat="1" applyFill="1" applyBorder="1" applyAlignment="1">
      <alignment horizontal="center" vertical="center"/>
    </xf>
    <xf numFmtId="16" fontId="0" fillId="6" borderId="71" xfId="0" applyNumberFormat="1" applyFill="1" applyBorder="1" applyAlignment="1">
      <alignment horizontal="center"/>
    </xf>
    <xf numFmtId="16" fontId="0" fillId="6" borderId="71" xfId="0" applyNumberFormat="1" applyFont="1" applyFill="1" applyBorder="1" applyAlignment="1">
      <alignment horizontal="center" vertical="center"/>
    </xf>
    <xf numFmtId="0" fontId="0" fillId="0" borderId="64" xfId="0" applyBorder="1"/>
    <xf numFmtId="16" fontId="0" fillId="6" borderId="1" xfId="0" applyNumberFormat="1" applyFont="1" applyFill="1" applyBorder="1" applyAlignment="1">
      <alignment horizontal="left"/>
    </xf>
    <xf numFmtId="10" fontId="1" fillId="0" borderId="0" xfId="2" applyNumberFormat="1" applyFont="1"/>
    <xf numFmtId="164" fontId="3" fillId="2" borderId="0" xfId="1" applyFont="1" applyFill="1" applyAlignment="1">
      <alignment horizontal="center"/>
    </xf>
    <xf numFmtId="164" fontId="3" fillId="31" borderId="41" xfId="53" applyNumberFormat="1" applyFont="1" applyFill="1" applyBorder="1" applyAlignment="1">
      <alignment horizontal="center"/>
    </xf>
    <xf numFmtId="164" fontId="1" fillId="0" borderId="41" xfId="1" applyBorder="1" applyAlignment="1">
      <alignment horizontal="center"/>
    </xf>
    <xf numFmtId="0" fontId="0" fillId="0" borderId="41" xfId="53" applyFont="1" applyBorder="1" applyAlignment="1">
      <alignment horizontal="center"/>
    </xf>
    <xf numFmtId="17" fontId="1" fillId="0" borderId="55" xfId="53" applyNumberFormat="1" applyBorder="1" applyAlignment="1">
      <alignment horizontal="center"/>
    </xf>
    <xf numFmtId="164" fontId="1" fillId="0" borderId="53" xfId="1" applyBorder="1" applyAlignment="1">
      <alignment horizontal="center"/>
    </xf>
    <xf numFmtId="17" fontId="1" fillId="0" borderId="70" xfId="53" applyNumberFormat="1" applyBorder="1" applyAlignment="1">
      <alignment horizontal="center"/>
    </xf>
    <xf numFmtId="164" fontId="1" fillId="0" borderId="18" xfId="1" applyBorder="1" applyAlignment="1">
      <alignment horizontal="center"/>
    </xf>
    <xf numFmtId="17" fontId="1" fillId="0" borderId="39" xfId="53" applyNumberFormat="1" applyBorder="1" applyAlignment="1">
      <alignment horizontal="center"/>
    </xf>
    <xf numFmtId="164" fontId="1" fillId="0" borderId="69" xfId="1" applyBorder="1" applyAlignment="1">
      <alignment horizontal="center"/>
    </xf>
    <xf numFmtId="0" fontId="54" fillId="0" borderId="50" xfId="53" applyFont="1" applyFill="1" applyBorder="1" applyAlignment="1">
      <alignment horizontal="center" vertical="center"/>
    </xf>
    <xf numFmtId="0" fontId="54" fillId="0" borderId="0" xfId="53" applyFont="1" applyFill="1" applyBorder="1"/>
    <xf numFmtId="0" fontId="54" fillId="0" borderId="38" xfId="53" applyFont="1" applyFill="1" applyBorder="1" applyAlignment="1">
      <alignment vertical="center"/>
    </xf>
    <xf numFmtId="0" fontId="53" fillId="0" borderId="38" xfId="53" applyFont="1" applyFill="1" applyBorder="1" applyAlignment="1">
      <alignment vertical="center"/>
    </xf>
    <xf numFmtId="164" fontId="55" fillId="56" borderId="0" xfId="1" applyFont="1" applyFill="1" applyBorder="1" applyAlignment="1">
      <alignment horizontal="center"/>
    </xf>
    <xf numFmtId="10" fontId="53" fillId="0" borderId="0" xfId="2" applyNumberFormat="1" applyFont="1" applyFill="1" applyBorder="1"/>
    <xf numFmtId="164" fontId="53" fillId="0" borderId="0" xfId="1" applyFont="1" applyFill="1" applyBorder="1"/>
    <xf numFmtId="164" fontId="53" fillId="57" borderId="15" xfId="1" applyFont="1" applyFill="1" applyBorder="1" applyAlignment="1">
      <alignment horizontal="center"/>
    </xf>
    <xf numFmtId="17" fontId="54" fillId="0" borderId="50" xfId="53" applyNumberFormat="1" applyFont="1" applyFill="1" applyBorder="1" applyAlignment="1">
      <alignment horizontal="center"/>
    </xf>
    <xf numFmtId="17" fontId="54" fillId="0" borderId="45" xfId="53" applyNumberFormat="1" applyFont="1" applyFill="1" applyBorder="1" applyAlignment="1">
      <alignment horizontal="center"/>
    </xf>
    <xf numFmtId="17" fontId="56" fillId="58" borderId="41" xfId="53" applyNumberFormat="1" applyFont="1" applyFill="1" applyBorder="1" applyAlignment="1">
      <alignment horizontal="center"/>
    </xf>
    <xf numFmtId="164" fontId="55" fillId="59" borderId="15" xfId="1" applyFont="1" applyFill="1" applyBorder="1" applyAlignment="1">
      <alignment horizontal="center"/>
    </xf>
    <xf numFmtId="0" fontId="3" fillId="50" borderId="41" xfId="53" applyFont="1" applyFill="1" applyBorder="1" applyAlignment="1">
      <alignment horizontal="center"/>
    </xf>
    <xf numFmtId="164" fontId="3" fillId="50" borderId="41" xfId="53" applyNumberFormat="1" applyFont="1" applyFill="1" applyBorder="1"/>
    <xf numFmtId="17" fontId="56" fillId="0" borderId="38" xfId="53" applyNumberFormat="1" applyFont="1" applyFill="1" applyBorder="1" applyAlignment="1">
      <alignment horizontal="center"/>
    </xf>
    <xf numFmtId="164" fontId="55" fillId="57" borderId="15" xfId="1" applyFont="1" applyFill="1" applyBorder="1" applyAlignment="1">
      <alignment horizontal="center"/>
    </xf>
    <xf numFmtId="17" fontId="56" fillId="0" borderId="45" xfId="53" applyNumberFormat="1" applyFont="1" applyFill="1" applyBorder="1" applyAlignment="1">
      <alignment horizontal="center"/>
    </xf>
    <xf numFmtId="0" fontId="1" fillId="0" borderId="41" xfId="1" applyNumberFormat="1" applyBorder="1" applyAlignment="1">
      <alignment horizontal="center"/>
    </xf>
    <xf numFmtId="0" fontId="1" fillId="0" borderId="50" xfId="53" applyBorder="1" applyAlignment="1">
      <alignment horizontal="center"/>
    </xf>
    <xf numFmtId="0" fontId="1" fillId="0" borderId="45" xfId="53" applyBorder="1" applyAlignment="1">
      <alignment horizontal="center"/>
    </xf>
    <xf numFmtId="0" fontId="1" fillId="0" borderId="38" xfId="53" applyBorder="1" applyAlignment="1">
      <alignment horizontal="center"/>
    </xf>
    <xf numFmtId="10" fontId="0" fillId="0" borderId="0" xfId="2" applyNumberFormat="1" applyFont="1"/>
    <xf numFmtId="0" fontId="3" fillId="58" borderId="0" xfId="53" applyFont="1" applyFill="1" applyAlignment="1">
      <alignment horizontal="center"/>
    </xf>
    <xf numFmtId="2" fontId="1" fillId="0" borderId="0" xfId="1" applyNumberFormat="1" applyFont="1"/>
    <xf numFmtId="16" fontId="0" fillId="0" borderId="0" xfId="0" applyNumberFormat="1"/>
    <xf numFmtId="179" fontId="0" fillId="0" borderId="0" xfId="0" applyNumberFormat="1"/>
    <xf numFmtId="180" fontId="0" fillId="0" borderId="0" xfId="0" applyNumberFormat="1"/>
    <xf numFmtId="44" fontId="0" fillId="0" borderId="0" xfId="3" applyFont="1"/>
    <xf numFmtId="9" fontId="0" fillId="0" borderId="0" xfId="0" applyNumberFormat="1"/>
    <xf numFmtId="164" fontId="1" fillId="0" borderId="1" xfId="1" applyFont="1" applyFill="1" applyBorder="1" applyAlignment="1">
      <alignment horizontal="center" vertical="center"/>
    </xf>
    <xf numFmtId="165" fontId="0" fillId="0" borderId="62" xfId="0" applyNumberFormat="1" applyFont="1" applyBorder="1"/>
    <xf numFmtId="164" fontId="1" fillId="0" borderId="0" xfId="1" applyAlignment="1">
      <alignment horizontal="center"/>
    </xf>
    <xf numFmtId="164" fontId="47" fillId="0" borderId="0" xfId="1" applyFont="1" applyAlignment="1">
      <alignment horizontal="center"/>
    </xf>
    <xf numFmtId="0" fontId="3" fillId="2" borderId="41" xfId="0" applyFont="1" applyFill="1" applyBorder="1" applyAlignment="1"/>
    <xf numFmtId="164" fontId="3" fillId="2" borderId="41" xfId="0" applyNumberFormat="1" applyFont="1" applyFill="1" applyBorder="1" applyAlignment="1"/>
    <xf numFmtId="164" fontId="3" fillId="0" borderId="0" xfId="1" applyFont="1"/>
    <xf numFmtId="164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164" fontId="0" fillId="2" borderId="0" xfId="1" applyFont="1" applyFill="1" applyAlignment="1">
      <alignment horizontal="center"/>
    </xf>
    <xf numFmtId="0" fontId="0" fillId="31" borderId="0" xfId="0" applyFill="1" applyAlignment="1">
      <alignment horizontal="center"/>
    </xf>
    <xf numFmtId="164" fontId="0" fillId="31" borderId="0" xfId="1" applyFont="1" applyFill="1" applyAlignment="1">
      <alignment horizontal="center"/>
    </xf>
    <xf numFmtId="0" fontId="0" fillId="58" borderId="0" xfId="0" applyFill="1" applyAlignment="1">
      <alignment horizontal="center"/>
    </xf>
    <xf numFmtId="164" fontId="0" fillId="58" borderId="0" xfId="1" applyFont="1" applyFill="1" applyAlignment="1">
      <alignment horizontal="center"/>
    </xf>
    <xf numFmtId="9" fontId="0" fillId="58" borderId="0" xfId="0" applyNumberFormat="1" applyFill="1" applyAlignment="1">
      <alignment horizontal="center"/>
    </xf>
    <xf numFmtId="9" fontId="0" fillId="31" borderId="0" xfId="0" applyNumberFormat="1" applyFill="1" applyAlignment="1">
      <alignment horizontal="center"/>
    </xf>
    <xf numFmtId="0" fontId="3" fillId="31" borderId="0" xfId="0" applyFont="1" applyFill="1" applyAlignment="1">
      <alignment horizontal="center"/>
    </xf>
    <xf numFmtId="0" fontId="0" fillId="0" borderId="0" xfId="1" applyNumberFormat="1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64" fontId="0" fillId="0" borderId="0" xfId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9" fontId="0" fillId="0" borderId="0" xfId="0" applyNumberFormat="1" applyFill="1" applyAlignment="1">
      <alignment horizontal="center"/>
    </xf>
    <xf numFmtId="164" fontId="0" fillId="0" borderId="0" xfId="1" applyFont="1" applyFill="1" applyAlignment="1">
      <alignment horizontal="center"/>
    </xf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164" fontId="0" fillId="8" borderId="0" xfId="1" applyFont="1" applyFill="1" applyAlignment="1">
      <alignment horizontal="center"/>
    </xf>
    <xf numFmtId="0" fontId="0" fillId="8" borderId="16" xfId="0" applyFill="1" applyBorder="1"/>
    <xf numFmtId="0" fontId="0" fillId="8" borderId="15" xfId="0" applyFill="1" applyBorder="1"/>
    <xf numFmtId="0" fontId="3" fillId="8" borderId="17" xfId="0" applyFont="1" applyFill="1" applyBorder="1"/>
    <xf numFmtId="164" fontId="47" fillId="0" borderId="0" xfId="1" applyFont="1" applyFill="1" applyAlignment="1">
      <alignment horizontal="center"/>
    </xf>
    <xf numFmtId="0" fontId="47" fillId="0" borderId="0" xfId="0" applyFont="1" applyFill="1" applyAlignment="1">
      <alignment horizontal="center"/>
    </xf>
    <xf numFmtId="17" fontId="0" fillId="0" borderId="0" xfId="0" applyNumberFormat="1"/>
    <xf numFmtId="0" fontId="0" fillId="47" borderId="46" xfId="0" applyFill="1" applyBorder="1"/>
    <xf numFmtId="0" fontId="23" fillId="42" borderId="1" xfId="53" applyFont="1" applyFill="1" applyBorder="1" applyAlignment="1">
      <alignment horizontal="center"/>
    </xf>
    <xf numFmtId="9" fontId="0" fillId="0" borderId="0" xfId="2" applyFont="1"/>
    <xf numFmtId="14" fontId="0" fillId="0" borderId="55" xfId="0" applyNumberFormat="1" applyBorder="1"/>
    <xf numFmtId="164" fontId="0" fillId="0" borderId="53" xfId="1" applyFont="1" applyBorder="1"/>
    <xf numFmtId="14" fontId="0" fillId="0" borderId="70" xfId="0" applyNumberFormat="1" applyBorder="1"/>
    <xf numFmtId="164" fontId="0" fillId="0" borderId="69" xfId="1" applyFont="1" applyBorder="1"/>
    <xf numFmtId="9" fontId="3" fillId="0" borderId="41" xfId="0" applyNumberFormat="1" applyFont="1" applyBorder="1" applyAlignment="1">
      <alignment horizontal="center"/>
    </xf>
    <xf numFmtId="0" fontId="3" fillId="48" borderId="41" xfId="0" applyFont="1" applyFill="1" applyBorder="1" applyAlignment="1">
      <alignment horizontal="center"/>
    </xf>
    <xf numFmtId="164" fontId="3" fillId="55" borderId="41" xfId="1" applyFont="1" applyFill="1" applyBorder="1"/>
    <xf numFmtId="164" fontId="3" fillId="55" borderId="41" xfId="1" applyFont="1" applyFill="1" applyBorder="1" applyAlignment="1">
      <alignment horizontal="center"/>
    </xf>
    <xf numFmtId="165" fontId="4" fillId="0" borderId="1" xfId="53" applyNumberFormat="1" applyFont="1" applyBorder="1" applyAlignment="1">
      <alignment horizontal="center" vertical="center"/>
    </xf>
    <xf numFmtId="0" fontId="3" fillId="61" borderId="50" xfId="53" applyFont="1" applyFill="1" applyBorder="1" applyAlignment="1">
      <alignment horizontal="center"/>
    </xf>
    <xf numFmtId="176" fontId="1" fillId="0" borderId="47" xfId="53" applyNumberFormat="1" applyFont="1" applyBorder="1" applyAlignment="1">
      <alignment horizontal="center" vertical="center"/>
    </xf>
    <xf numFmtId="0" fontId="1" fillId="0" borderId="0" xfId="53" applyBorder="1" applyAlignment="1">
      <alignment horizontal="center" vertical="center"/>
    </xf>
    <xf numFmtId="9" fontId="3" fillId="35" borderId="17" xfId="82" applyFont="1" applyFill="1" applyBorder="1" applyAlignment="1">
      <alignment horizontal="center" vertical="center"/>
    </xf>
    <xf numFmtId="0" fontId="1" fillId="0" borderId="68" xfId="53" applyBorder="1" applyAlignment="1">
      <alignment horizontal="center" vertical="center"/>
    </xf>
    <xf numFmtId="9" fontId="1" fillId="0" borderId="77" xfId="82" applyFont="1" applyBorder="1" applyAlignment="1">
      <alignment horizontal="center" vertical="center"/>
    </xf>
    <xf numFmtId="173" fontId="1" fillId="0" borderId="80" xfId="53" applyNumberFormat="1" applyBorder="1" applyAlignment="1">
      <alignment horizontal="center" vertical="center"/>
    </xf>
    <xf numFmtId="172" fontId="1" fillId="0" borderId="81" xfId="53" applyNumberFormat="1" applyBorder="1" applyAlignment="1">
      <alignment horizontal="center" vertical="center"/>
    </xf>
    <xf numFmtId="174" fontId="1" fillId="0" borderId="82" xfId="53" applyNumberFormat="1" applyBorder="1"/>
    <xf numFmtId="165" fontId="1" fillId="0" borderId="81" xfId="53" applyNumberFormat="1" applyBorder="1" applyAlignment="1">
      <alignment horizontal="center" vertical="center"/>
    </xf>
    <xf numFmtId="0" fontId="1" fillId="0" borderId="67" xfId="53" applyBorder="1" applyAlignment="1">
      <alignment horizontal="center" vertical="center"/>
    </xf>
    <xf numFmtId="9" fontId="1" fillId="0" borderId="1" xfId="82" applyFont="1" applyBorder="1" applyAlignment="1">
      <alignment horizontal="center" vertical="center"/>
    </xf>
    <xf numFmtId="173" fontId="1" fillId="0" borderId="0" xfId="53" applyNumberFormat="1" applyAlignment="1">
      <alignment horizontal="center" vertical="center"/>
    </xf>
    <xf numFmtId="174" fontId="1" fillId="0" borderId="63" xfId="53" applyNumberFormat="1" applyBorder="1"/>
    <xf numFmtId="10" fontId="1" fillId="0" borderId="1" xfId="82" applyNumberFormat="1" applyFont="1" applyBorder="1" applyAlignment="1">
      <alignment horizontal="center" vertical="center"/>
    </xf>
    <xf numFmtId="181" fontId="1" fillId="0" borderId="35" xfId="53" applyNumberFormat="1" applyBorder="1" applyAlignment="1">
      <alignment horizontal="center" vertical="center"/>
    </xf>
    <xf numFmtId="174" fontId="1" fillId="0" borderId="46" xfId="53" applyNumberFormat="1" applyBorder="1"/>
    <xf numFmtId="170" fontId="3" fillId="2" borderId="41" xfId="53" applyNumberFormat="1" applyFont="1" applyFill="1" applyBorder="1" applyAlignment="1">
      <alignment horizontal="center" vertical="center"/>
    </xf>
    <xf numFmtId="173" fontId="3" fillId="2" borderId="40" xfId="53" applyNumberFormat="1" applyFont="1" applyFill="1" applyBorder="1" applyAlignment="1">
      <alignment horizontal="center" vertical="center"/>
    </xf>
    <xf numFmtId="9" fontId="3" fillId="2" borderId="17" xfId="82" applyFont="1" applyFill="1" applyBorder="1" applyAlignment="1">
      <alignment horizontal="center" vertical="center"/>
    </xf>
    <xf numFmtId="173" fontId="3" fillId="2" borderId="41" xfId="53" applyNumberFormat="1" applyFont="1" applyFill="1" applyBorder="1" applyAlignment="1">
      <alignment horizontal="center" vertical="center"/>
    </xf>
    <xf numFmtId="172" fontId="3" fillId="2" borderId="17" xfId="53" applyNumberFormat="1" applyFont="1" applyFill="1" applyBorder="1" applyAlignment="1">
      <alignment horizontal="center" vertical="center"/>
    </xf>
    <xf numFmtId="165" fontId="3" fillId="2" borderId="17" xfId="53" applyNumberFormat="1" applyFont="1" applyFill="1" applyBorder="1" applyAlignment="1">
      <alignment horizontal="center" vertical="center"/>
    </xf>
    <xf numFmtId="176" fontId="3" fillId="2" borderId="41" xfId="53" applyNumberFormat="1" applyFont="1" applyFill="1" applyBorder="1" applyAlignment="1">
      <alignment horizontal="center" vertical="center"/>
    </xf>
    <xf numFmtId="0" fontId="1" fillId="0" borderId="45" xfId="53" applyBorder="1" applyAlignment="1">
      <alignment horizontal="center" vertical="center"/>
    </xf>
    <xf numFmtId="173" fontId="1" fillId="0" borderId="64" xfId="53" applyNumberFormat="1" applyBorder="1" applyAlignment="1">
      <alignment horizontal="center" vertical="center"/>
    </xf>
    <xf numFmtId="173" fontId="3" fillId="2" borderId="83" xfId="53" applyNumberFormat="1" applyFont="1" applyFill="1" applyBorder="1" applyAlignment="1">
      <alignment horizontal="center" vertical="center"/>
    </xf>
    <xf numFmtId="182" fontId="1" fillId="0" borderId="81" xfId="53" applyNumberFormat="1" applyBorder="1" applyAlignment="1">
      <alignment horizontal="center" vertical="center"/>
    </xf>
    <xf numFmtId="9" fontId="3" fillId="2" borderId="15" xfId="82" applyFont="1" applyFill="1" applyBorder="1" applyAlignment="1">
      <alignment horizontal="center" vertical="center"/>
    </xf>
    <xf numFmtId="173" fontId="3" fillId="2" borderId="15" xfId="53" applyNumberFormat="1" applyFont="1" applyFill="1" applyBorder="1" applyAlignment="1">
      <alignment horizontal="center" vertical="center"/>
    </xf>
    <xf numFmtId="172" fontId="3" fillId="2" borderId="15" xfId="53" applyNumberFormat="1" applyFont="1" applyFill="1" applyBorder="1" applyAlignment="1">
      <alignment horizontal="center" vertical="center"/>
    </xf>
    <xf numFmtId="165" fontId="3" fillId="2" borderId="15" xfId="53" applyNumberFormat="1" applyFont="1" applyFill="1" applyBorder="1" applyAlignment="1">
      <alignment horizontal="center" vertical="center"/>
    </xf>
    <xf numFmtId="0" fontId="1" fillId="0" borderId="51" xfId="53" applyBorder="1" applyAlignment="1">
      <alignment horizontal="center" vertical="center"/>
    </xf>
    <xf numFmtId="173" fontId="1" fillId="0" borderId="44" xfId="53" applyNumberFormat="1" applyBorder="1" applyAlignment="1">
      <alignment horizontal="center" vertical="center"/>
    </xf>
    <xf numFmtId="9" fontId="1" fillId="0" borderId="43" xfId="82" applyFont="1" applyBorder="1" applyAlignment="1">
      <alignment horizontal="center" vertical="center"/>
    </xf>
    <xf numFmtId="173" fontId="1" fillId="0" borderId="43" xfId="53" applyNumberFormat="1" applyBorder="1" applyAlignment="1">
      <alignment horizontal="center" vertical="center"/>
    </xf>
    <xf numFmtId="182" fontId="1" fillId="0" borderId="58" xfId="53" applyNumberFormat="1" applyBorder="1" applyAlignment="1">
      <alignment horizontal="center" vertical="center"/>
    </xf>
    <xf numFmtId="174" fontId="1" fillId="0" borderId="44" xfId="53" applyNumberFormat="1" applyBorder="1"/>
    <xf numFmtId="9" fontId="3" fillId="2" borderId="16" xfId="82" applyFont="1" applyFill="1" applyBorder="1" applyAlignment="1">
      <alignment horizontal="center" vertical="center"/>
    </xf>
    <xf numFmtId="172" fontId="3" fillId="2" borderId="41" xfId="53" applyNumberFormat="1" applyFont="1" applyFill="1" applyBorder="1" applyAlignment="1">
      <alignment horizontal="center" vertical="center"/>
    </xf>
    <xf numFmtId="182" fontId="1" fillId="0" borderId="1" xfId="53" quotePrefix="1" applyNumberFormat="1" applyBorder="1" applyAlignment="1">
      <alignment horizontal="center" vertical="center"/>
    </xf>
    <xf numFmtId="183" fontId="1" fillId="0" borderId="35" xfId="53" applyNumberFormat="1" applyBorder="1" applyAlignment="1">
      <alignment horizontal="center" vertical="center"/>
    </xf>
    <xf numFmtId="184" fontId="1" fillId="0" borderId="1" xfId="53" applyNumberFormat="1" applyBorder="1" applyAlignment="1">
      <alignment horizontal="center" vertical="center"/>
    </xf>
    <xf numFmtId="165" fontId="3" fillId="2" borderId="41" xfId="53" applyNumberFormat="1" applyFont="1" applyFill="1" applyBorder="1" applyAlignment="1">
      <alignment horizontal="center" vertical="center"/>
    </xf>
    <xf numFmtId="0" fontId="1" fillId="0" borderId="70" xfId="53" applyBorder="1"/>
    <xf numFmtId="167" fontId="1" fillId="0" borderId="82" xfId="84" applyFont="1" applyBorder="1"/>
    <xf numFmtId="167" fontId="1" fillId="0" borderId="63" xfId="84" applyFont="1" applyBorder="1"/>
    <xf numFmtId="173" fontId="1" fillId="0" borderId="1" xfId="53" quotePrefix="1" applyNumberFormat="1" applyBorder="1" applyAlignment="1">
      <alignment horizontal="center" vertical="center"/>
    </xf>
    <xf numFmtId="184" fontId="1" fillId="0" borderId="35" xfId="53" applyNumberFormat="1" applyBorder="1" applyAlignment="1">
      <alignment horizontal="center" vertical="center"/>
    </xf>
    <xf numFmtId="167" fontId="1" fillId="0" borderId="46" xfId="84" applyFont="1" applyBorder="1"/>
    <xf numFmtId="182" fontId="1" fillId="0" borderId="44" xfId="53" applyNumberFormat="1" applyBorder="1" applyAlignment="1">
      <alignment horizontal="center" vertical="center"/>
    </xf>
    <xf numFmtId="184" fontId="1" fillId="0" borderId="43" xfId="53" applyNumberFormat="1" applyBorder="1" applyAlignment="1">
      <alignment horizontal="center" vertical="center"/>
    </xf>
    <xf numFmtId="185" fontId="1" fillId="0" borderId="44" xfId="84" applyNumberFormat="1" applyFont="1" applyBorder="1"/>
    <xf numFmtId="182" fontId="1" fillId="0" borderId="80" xfId="53" applyNumberFormat="1" applyBorder="1" applyAlignment="1">
      <alignment horizontal="center" vertical="center"/>
    </xf>
    <xf numFmtId="182" fontId="1" fillId="0" borderId="0" xfId="53" applyNumberFormat="1" applyAlignment="1">
      <alignment horizontal="center" vertical="center"/>
    </xf>
    <xf numFmtId="182" fontId="1" fillId="0" borderId="1" xfId="53" applyNumberFormat="1" applyBorder="1" applyAlignment="1">
      <alignment horizontal="center" vertical="center"/>
    </xf>
    <xf numFmtId="181" fontId="1" fillId="0" borderId="1" xfId="53" applyNumberFormat="1" applyBorder="1" applyAlignment="1">
      <alignment horizontal="center" vertical="center"/>
    </xf>
    <xf numFmtId="0" fontId="3" fillId="35" borderId="50" xfId="53" applyFont="1" applyFill="1" applyBorder="1" applyAlignment="1">
      <alignment horizontal="center" vertical="center"/>
    </xf>
    <xf numFmtId="9" fontId="3" fillId="35" borderId="55" xfId="82" applyFont="1" applyFill="1" applyBorder="1" applyAlignment="1">
      <alignment horizontal="center" vertical="center"/>
    </xf>
    <xf numFmtId="0" fontId="1" fillId="0" borderId="84" xfId="53" applyBorder="1" applyAlignment="1">
      <alignment horizontal="center" vertical="center"/>
    </xf>
    <xf numFmtId="9" fontId="1" fillId="0" borderId="48" xfId="82" applyFont="1" applyBorder="1" applyAlignment="1">
      <alignment horizontal="center" vertical="center"/>
    </xf>
    <xf numFmtId="182" fontId="1" fillId="0" borderId="48" xfId="53" applyNumberFormat="1" applyBorder="1" applyAlignment="1">
      <alignment horizontal="center" vertical="center"/>
    </xf>
    <xf numFmtId="0" fontId="1" fillId="0" borderId="88" xfId="53" applyBorder="1" applyAlignment="1">
      <alignment horizontal="center" vertical="center"/>
    </xf>
    <xf numFmtId="173" fontId="1" fillId="0" borderId="46" xfId="53" applyNumberFormat="1" applyBorder="1" applyAlignment="1">
      <alignment horizontal="center" vertical="center"/>
    </xf>
    <xf numFmtId="182" fontId="1" fillId="0" borderId="46" xfId="53" applyNumberFormat="1" applyBorder="1" applyAlignment="1">
      <alignment horizontal="center" vertical="center"/>
    </xf>
    <xf numFmtId="183" fontId="1" fillId="0" borderId="1" xfId="53" applyNumberFormat="1" applyBorder="1" applyAlignment="1">
      <alignment horizontal="center" vertical="center"/>
    </xf>
    <xf numFmtId="0" fontId="1" fillId="0" borderId="87" xfId="53" applyBorder="1" applyAlignment="1">
      <alignment horizontal="center" vertical="center"/>
    </xf>
    <xf numFmtId="174" fontId="1" fillId="0" borderId="42" xfId="53" applyNumberFormat="1" applyBorder="1"/>
    <xf numFmtId="170" fontId="3" fillId="2" borderId="17" xfId="53" applyNumberFormat="1" applyFont="1" applyFill="1" applyBorder="1" applyAlignment="1">
      <alignment horizontal="center" vertical="center"/>
    </xf>
    <xf numFmtId="173" fontId="3" fillId="2" borderId="44" xfId="53" applyNumberFormat="1" applyFont="1" applyFill="1" applyBorder="1" applyAlignment="1">
      <alignment horizontal="center" vertical="center"/>
    </xf>
    <xf numFmtId="9" fontId="3" fillId="2" borderId="43" xfId="82" applyFont="1" applyFill="1" applyBorder="1" applyAlignment="1">
      <alignment horizontal="center" vertical="center"/>
    </xf>
    <xf numFmtId="173" fontId="3" fillId="2" borderId="43" xfId="53" applyNumberFormat="1" applyFont="1" applyFill="1" applyBorder="1" applyAlignment="1">
      <alignment horizontal="center" vertical="center"/>
    </xf>
    <xf numFmtId="172" fontId="3" fillId="2" borderId="43" xfId="53" applyNumberFormat="1" applyFont="1" applyFill="1" applyBorder="1" applyAlignment="1">
      <alignment horizontal="center" vertical="center"/>
    </xf>
    <xf numFmtId="165" fontId="3" fillId="2" borderId="43" xfId="53" applyNumberFormat="1" applyFont="1" applyFill="1" applyBorder="1" applyAlignment="1">
      <alignment horizontal="center" vertical="center"/>
    </xf>
    <xf numFmtId="176" fontId="3" fillId="2" borderId="58" xfId="53" applyNumberFormat="1" applyFont="1" applyFill="1" applyBorder="1" applyAlignment="1">
      <alignment horizontal="center" vertical="center"/>
    </xf>
    <xf numFmtId="186" fontId="1" fillId="0" borderId="1" xfId="53" applyNumberFormat="1" applyBorder="1"/>
    <xf numFmtId="181" fontId="1" fillId="0" borderId="46" xfId="53" applyNumberFormat="1" applyBorder="1" applyAlignment="1">
      <alignment horizontal="center" vertical="center"/>
    </xf>
    <xf numFmtId="187" fontId="1" fillId="0" borderId="1" xfId="53" applyNumberFormat="1" applyBorder="1" applyAlignment="1">
      <alignment horizontal="center" vertical="center"/>
    </xf>
    <xf numFmtId="188" fontId="1" fillId="0" borderId="1" xfId="53" applyNumberFormat="1" applyBorder="1"/>
    <xf numFmtId="182" fontId="3" fillId="2" borderId="43" xfId="53" applyNumberFormat="1" applyFont="1" applyFill="1" applyBorder="1" applyAlignment="1">
      <alignment horizontal="center" vertical="center"/>
    </xf>
    <xf numFmtId="9" fontId="3" fillId="35" borderId="55" xfId="58" applyFont="1" applyFill="1" applyBorder="1" applyAlignment="1">
      <alignment horizontal="center" vertical="center"/>
    </xf>
    <xf numFmtId="0" fontId="0" fillId="0" borderId="1" xfId="53" applyFont="1" applyBorder="1" applyAlignment="1">
      <alignment horizontal="center" vertical="center"/>
    </xf>
    <xf numFmtId="189" fontId="1" fillId="0" borderId="1" xfId="58" applyNumberFormat="1" applyFont="1" applyBorder="1" applyAlignment="1">
      <alignment horizontal="center" vertical="center"/>
    </xf>
    <xf numFmtId="0" fontId="1" fillId="0" borderId="1" xfId="53" applyBorder="1" applyAlignment="1">
      <alignment horizontal="center" vertical="center"/>
    </xf>
    <xf numFmtId="190" fontId="1" fillId="0" borderId="1" xfId="58" applyNumberFormat="1" applyFont="1" applyBorder="1" applyAlignment="1">
      <alignment horizontal="center" vertical="center"/>
    </xf>
    <xf numFmtId="9" fontId="1" fillId="0" borderId="1" xfId="58" applyNumberFormat="1" applyFont="1" applyBorder="1" applyAlignment="1">
      <alignment horizontal="center" vertical="center"/>
    </xf>
    <xf numFmtId="170" fontId="3" fillId="2" borderId="39" xfId="53" applyNumberFormat="1" applyFont="1" applyFill="1" applyBorder="1" applyAlignment="1">
      <alignment horizontal="center" vertical="center"/>
    </xf>
    <xf numFmtId="173" fontId="3" fillId="2" borderId="76" xfId="53" applyNumberFormat="1" applyFont="1" applyFill="1" applyBorder="1" applyAlignment="1">
      <alignment horizontal="center" vertical="center"/>
    </xf>
    <xf numFmtId="9" fontId="3" fillId="2" borderId="75" xfId="58" applyFont="1" applyFill="1" applyBorder="1" applyAlignment="1">
      <alignment horizontal="center" vertical="center"/>
    </xf>
    <xf numFmtId="173" fontId="3" fillId="2" borderId="75" xfId="53" applyNumberFormat="1" applyFont="1" applyFill="1" applyBorder="1" applyAlignment="1">
      <alignment horizontal="center" vertical="center"/>
    </xf>
    <xf numFmtId="172" fontId="3" fillId="2" borderId="75" xfId="53" applyNumberFormat="1" applyFont="1" applyFill="1" applyBorder="1" applyAlignment="1">
      <alignment horizontal="center" vertical="center"/>
    </xf>
    <xf numFmtId="165" fontId="3" fillId="2" borderId="75" xfId="53" applyNumberFormat="1" applyFont="1" applyFill="1" applyBorder="1" applyAlignment="1">
      <alignment horizontal="center" vertical="center"/>
    </xf>
    <xf numFmtId="165" fontId="3" fillId="2" borderId="90" xfId="53" applyNumberFormat="1" applyFont="1" applyFill="1" applyBorder="1" applyAlignment="1">
      <alignment horizontal="center" vertical="center"/>
    </xf>
    <xf numFmtId="0" fontId="57" fillId="0" borderId="0" xfId="83"/>
    <xf numFmtId="0" fontId="0" fillId="0" borderId="0" xfId="0" applyFill="1" applyBorder="1"/>
    <xf numFmtId="0" fontId="24" fillId="0" borderId="0" xfId="54" applyFont="1" applyBorder="1"/>
    <xf numFmtId="164" fontId="0" fillId="0" borderId="0" xfId="1" applyFont="1" applyBorder="1"/>
    <xf numFmtId="165" fontId="0" fillId="60" borderId="62" xfId="0" applyNumberFormat="1" applyFill="1" applyBorder="1"/>
    <xf numFmtId="0" fontId="1" fillId="0" borderId="65" xfId="53" applyNumberFormat="1" applyBorder="1" applyAlignment="1">
      <alignment horizontal="center" vertical="center"/>
    </xf>
    <xf numFmtId="164" fontId="3" fillId="31" borderId="0" xfId="53" applyNumberFormat="1" applyFont="1" applyFill="1" applyBorder="1" applyAlignment="1">
      <alignment horizontal="center"/>
    </xf>
    <xf numFmtId="0" fontId="0" fillId="0" borderId="46" xfId="53" applyFont="1" applyBorder="1" applyAlignment="1">
      <alignment horizontal="center" vertical="center"/>
    </xf>
    <xf numFmtId="0" fontId="1" fillId="0" borderId="43" xfId="53" applyNumberFormat="1" applyBorder="1" applyAlignment="1">
      <alignment horizontal="center" vertical="center"/>
    </xf>
    <xf numFmtId="170" fontId="1" fillId="0" borderId="43" xfId="53" applyNumberFormat="1" applyBorder="1" applyAlignment="1">
      <alignment horizontal="center" vertical="center"/>
    </xf>
    <xf numFmtId="175" fontId="1" fillId="0" borderId="48" xfId="53" applyNumberFormat="1" applyBorder="1"/>
    <xf numFmtId="175" fontId="1" fillId="0" borderId="1" xfId="53" applyNumberFormat="1" applyBorder="1"/>
    <xf numFmtId="165" fontId="1" fillId="0" borderId="0" xfId="53" applyNumberFormat="1"/>
    <xf numFmtId="0" fontId="0" fillId="0" borderId="0" xfId="53" applyFont="1" applyBorder="1"/>
    <xf numFmtId="0" fontId="3" fillId="68" borderId="41" xfId="53" applyFont="1" applyFill="1" applyBorder="1" applyAlignment="1">
      <alignment horizontal="center"/>
    </xf>
    <xf numFmtId="191" fontId="3" fillId="68" borderId="41" xfId="53" applyNumberFormat="1" applyFont="1" applyFill="1" applyBorder="1" applyAlignment="1">
      <alignment horizontal="center"/>
    </xf>
    <xf numFmtId="165" fontId="3" fillId="2" borderId="15" xfId="0" applyNumberFormat="1" applyFont="1" applyFill="1" applyBorder="1" applyAlignment="1"/>
    <xf numFmtId="0" fontId="3" fillId="61" borderId="41" xfId="0" applyFont="1" applyFill="1" applyBorder="1"/>
    <xf numFmtId="193" fontId="3" fillId="53" borderId="0" xfId="1" applyNumberFormat="1" applyFont="1" applyFill="1" applyBorder="1"/>
    <xf numFmtId="193" fontId="3" fillId="53" borderId="70" xfId="1" applyNumberFormat="1" applyFont="1" applyFill="1" applyBorder="1"/>
    <xf numFmtId="193" fontId="3" fillId="53" borderId="18" xfId="1" applyNumberFormat="1" applyFont="1" applyFill="1" applyBorder="1"/>
    <xf numFmtId="193" fontId="3" fillId="53" borderId="39" xfId="1" applyNumberFormat="1" applyFont="1" applyFill="1" applyBorder="1"/>
    <xf numFmtId="193" fontId="52" fillId="53" borderId="66" xfId="1" applyNumberFormat="1" applyFont="1" applyFill="1" applyBorder="1"/>
    <xf numFmtId="193" fontId="3" fillId="53" borderId="66" xfId="1" applyNumberFormat="1" applyFont="1" applyFill="1" applyBorder="1"/>
    <xf numFmtId="193" fontId="3" fillId="53" borderId="66" xfId="1" applyNumberFormat="1" applyFont="1" applyFill="1" applyBorder="1" applyAlignment="1">
      <alignment horizontal="right"/>
    </xf>
    <xf numFmtId="193" fontId="3" fillId="53" borderId="69" xfId="1" applyNumberFormat="1" applyFont="1" applyFill="1" applyBorder="1"/>
    <xf numFmtId="0" fontId="3" fillId="61" borderId="16" xfId="0" applyFont="1" applyFill="1" applyBorder="1"/>
    <xf numFmtId="164" fontId="3" fillId="61" borderId="16" xfId="0" applyNumberFormat="1" applyFont="1" applyFill="1" applyBorder="1"/>
    <xf numFmtId="192" fontId="3" fillId="61" borderId="16" xfId="0" applyNumberFormat="1" applyFont="1" applyFill="1" applyBorder="1"/>
    <xf numFmtId="14" fontId="0" fillId="0" borderId="0" xfId="0" applyNumberFormat="1" applyBorder="1"/>
    <xf numFmtId="14" fontId="0" fillId="0" borderId="0" xfId="0" applyNumberFormat="1"/>
    <xf numFmtId="165" fontId="0" fillId="0" borderId="1" xfId="0" applyNumberFormat="1" applyFill="1" applyBorder="1"/>
    <xf numFmtId="0" fontId="0" fillId="0" borderId="1" xfId="0" applyFont="1" applyBorder="1"/>
    <xf numFmtId="0" fontId="0" fillId="0" borderId="64" xfId="0" applyFont="1" applyBorder="1"/>
    <xf numFmtId="164" fontId="46" fillId="0" borderId="1" xfId="1" applyFont="1" applyFill="1" applyBorder="1" applyAlignment="1">
      <alignment horizontal="center" vertical="center"/>
    </xf>
    <xf numFmtId="165" fontId="46" fillId="0" borderId="1" xfId="0" applyNumberFormat="1" applyFont="1" applyFill="1" applyBorder="1"/>
    <xf numFmtId="165" fontId="0" fillId="0" borderId="1" xfId="0" applyNumberFormat="1" applyFont="1" applyFill="1" applyBorder="1"/>
    <xf numFmtId="16" fontId="58" fillId="0" borderId="0" xfId="0" applyNumberFormat="1" applyFont="1"/>
    <xf numFmtId="16" fontId="58" fillId="0" borderId="73" xfId="0" applyNumberFormat="1" applyFont="1" applyBorder="1"/>
    <xf numFmtId="173" fontId="0" fillId="0" borderId="49" xfId="53" applyNumberFormat="1" applyFont="1" applyBorder="1" applyAlignment="1">
      <alignment horizontal="center" vertical="center"/>
    </xf>
    <xf numFmtId="0" fontId="3" fillId="35" borderId="41" xfId="53" applyFont="1" applyFill="1" applyBorder="1" applyAlignment="1">
      <alignment horizontal="center" vertical="center" wrapText="1"/>
    </xf>
    <xf numFmtId="0" fontId="3" fillId="0" borderId="61" xfId="0" applyFont="1" applyBorder="1"/>
    <xf numFmtId="0" fontId="24" fillId="0" borderId="1" xfId="54" applyFont="1" applyBorder="1" applyAlignment="1" applyProtection="1">
      <alignment horizontal="center"/>
    </xf>
    <xf numFmtId="0" fontId="23" fillId="42" borderId="1" xfId="53" applyFont="1" applyFill="1" applyBorder="1" applyAlignment="1">
      <alignment horizontal="center"/>
    </xf>
    <xf numFmtId="0" fontId="3" fillId="3" borderId="17" xfId="53" applyFont="1" applyFill="1" applyBorder="1" applyAlignment="1">
      <alignment horizontal="center"/>
    </xf>
    <xf numFmtId="0" fontId="3" fillId="3" borderId="16" xfId="53" applyFont="1" applyFill="1" applyBorder="1" applyAlignment="1">
      <alignment horizontal="center"/>
    </xf>
    <xf numFmtId="0" fontId="3" fillId="3" borderId="15" xfId="53" applyFont="1" applyFill="1" applyBorder="1" applyAlignment="1">
      <alignment horizontal="center"/>
    </xf>
    <xf numFmtId="0" fontId="2" fillId="32" borderId="50" xfId="53" applyFont="1" applyFill="1" applyBorder="1" applyAlignment="1">
      <alignment horizontal="center" vertical="center"/>
    </xf>
    <xf numFmtId="0" fontId="2" fillId="32" borderId="45" xfId="53" applyFont="1" applyFill="1" applyBorder="1" applyAlignment="1">
      <alignment horizontal="center" vertical="center"/>
    </xf>
    <xf numFmtId="0" fontId="2" fillId="32" borderId="38" xfId="53" applyFont="1" applyFill="1" applyBorder="1" applyAlignment="1">
      <alignment horizontal="center" vertical="center"/>
    </xf>
    <xf numFmtId="0" fontId="3" fillId="35" borderId="57" xfId="53" applyFont="1" applyFill="1" applyBorder="1" applyAlignment="1">
      <alignment horizontal="center" vertical="center" wrapText="1"/>
    </xf>
    <xf numFmtId="0" fontId="3" fillId="35" borderId="52" xfId="53" applyFont="1" applyFill="1" applyBorder="1" applyAlignment="1">
      <alignment horizontal="center" vertical="center" wrapText="1"/>
    </xf>
    <xf numFmtId="0" fontId="3" fillId="35" borderId="56" xfId="53" applyFont="1" applyFill="1" applyBorder="1" applyAlignment="1">
      <alignment horizontal="center" vertical="center"/>
    </xf>
    <xf numFmtId="0" fontId="3" fillId="35" borderId="51" xfId="53" applyFont="1" applyFill="1" applyBorder="1" applyAlignment="1">
      <alignment horizontal="center" vertical="center"/>
    </xf>
    <xf numFmtId="0" fontId="3" fillId="35" borderId="55" xfId="53" applyFont="1" applyFill="1" applyBorder="1" applyAlignment="1">
      <alignment horizontal="center" vertical="center"/>
    </xf>
    <xf numFmtId="0" fontId="3" fillId="35" borderId="54" xfId="53" applyFont="1" applyFill="1" applyBorder="1" applyAlignment="1">
      <alignment horizontal="center" vertical="center"/>
    </xf>
    <xf numFmtId="0" fontId="3" fillId="35" borderId="53" xfId="53" applyFont="1" applyFill="1" applyBorder="1" applyAlignment="1">
      <alignment horizontal="center" vertical="center"/>
    </xf>
    <xf numFmtId="0" fontId="3" fillId="35" borderId="59" xfId="53" applyFont="1" applyFill="1" applyBorder="1" applyAlignment="1">
      <alignment horizontal="center" vertical="center"/>
    </xf>
    <xf numFmtId="0" fontId="3" fillId="35" borderId="16" xfId="53" applyFont="1" applyFill="1" applyBorder="1" applyAlignment="1">
      <alignment horizontal="center" vertical="center"/>
    </xf>
    <xf numFmtId="0" fontId="3" fillId="35" borderId="60" xfId="53" applyFont="1" applyFill="1" applyBorder="1" applyAlignment="1">
      <alignment horizontal="center" vertical="center"/>
    </xf>
    <xf numFmtId="0" fontId="40" fillId="41" borderId="50" xfId="53" applyFont="1" applyFill="1" applyBorder="1" applyAlignment="1">
      <alignment horizontal="center" vertical="center"/>
    </xf>
    <xf numFmtId="0" fontId="40" fillId="41" borderId="45" xfId="53" applyFont="1" applyFill="1" applyBorder="1" applyAlignment="1">
      <alignment horizontal="center" vertical="center"/>
    </xf>
    <xf numFmtId="0" fontId="40" fillId="41" borderId="38" xfId="53" applyFont="1" applyFill="1" applyBorder="1" applyAlignment="1">
      <alignment horizontal="center" vertical="center"/>
    </xf>
    <xf numFmtId="175" fontId="1" fillId="0" borderId="77" xfId="53" applyNumberFormat="1" applyBorder="1" applyAlignment="1">
      <alignment horizontal="center" vertical="center"/>
    </xf>
    <xf numFmtId="175" fontId="1" fillId="0" borderId="65" xfId="53" applyNumberFormat="1" applyBorder="1" applyAlignment="1">
      <alignment horizontal="center" vertical="center"/>
    </xf>
    <xf numFmtId="175" fontId="1" fillId="0" borderId="75" xfId="53" applyNumberFormat="1" applyBorder="1" applyAlignment="1">
      <alignment horizontal="center" vertical="center"/>
    </xf>
    <xf numFmtId="0" fontId="2" fillId="66" borderId="50" xfId="53" applyFont="1" applyFill="1" applyBorder="1" applyAlignment="1">
      <alignment horizontal="center" vertical="center" wrapText="1"/>
    </xf>
    <xf numFmtId="0" fontId="2" fillId="66" borderId="45" xfId="53" applyFont="1" applyFill="1" applyBorder="1" applyAlignment="1">
      <alignment horizontal="center" vertical="center" wrapText="1"/>
    </xf>
    <xf numFmtId="0" fontId="2" fillId="66" borderId="38" xfId="53" applyFont="1" applyFill="1" applyBorder="1" applyAlignment="1">
      <alignment horizontal="center" vertical="center" wrapText="1"/>
    </xf>
    <xf numFmtId="0" fontId="3" fillId="35" borderId="84" xfId="53" applyFont="1" applyFill="1" applyBorder="1" applyAlignment="1">
      <alignment horizontal="center" vertical="center" wrapText="1"/>
    </xf>
    <xf numFmtId="0" fontId="3" fillId="35" borderId="87" xfId="53" applyFont="1" applyFill="1" applyBorder="1" applyAlignment="1">
      <alignment horizontal="center" vertical="center" wrapText="1"/>
    </xf>
    <xf numFmtId="0" fontId="3" fillId="35" borderId="68" xfId="53" applyFont="1" applyFill="1" applyBorder="1" applyAlignment="1">
      <alignment horizontal="center" vertical="center"/>
    </xf>
    <xf numFmtId="0" fontId="3" fillId="35" borderId="74" xfId="53" applyFont="1" applyFill="1" applyBorder="1" applyAlignment="1">
      <alignment horizontal="center" vertical="center"/>
    </xf>
    <xf numFmtId="0" fontId="3" fillId="35" borderId="17" xfId="53" applyFont="1" applyFill="1" applyBorder="1" applyAlignment="1">
      <alignment horizontal="center" vertical="center"/>
    </xf>
    <xf numFmtId="0" fontId="3" fillId="35" borderId="15" xfId="53" applyFont="1" applyFill="1" applyBorder="1" applyAlignment="1">
      <alignment horizontal="center" vertical="center"/>
    </xf>
    <xf numFmtId="0" fontId="40" fillId="41" borderId="55" xfId="53" applyFont="1" applyFill="1" applyBorder="1" applyAlignment="1">
      <alignment horizontal="center" vertical="center"/>
    </xf>
    <xf numFmtId="0" fontId="40" fillId="41" borderId="70" xfId="53" applyFont="1" applyFill="1" applyBorder="1" applyAlignment="1">
      <alignment horizontal="center" vertical="center"/>
    </xf>
    <xf numFmtId="0" fontId="2" fillId="66" borderId="50" xfId="53" applyFont="1" applyFill="1" applyBorder="1" applyAlignment="1">
      <alignment horizontal="center" vertical="center"/>
    </xf>
    <xf numFmtId="0" fontId="2" fillId="66" borderId="45" xfId="53" applyFont="1" applyFill="1" applyBorder="1" applyAlignment="1">
      <alignment horizontal="center" vertical="center"/>
    </xf>
    <xf numFmtId="0" fontId="2" fillId="66" borderId="38" xfId="53" applyFont="1" applyFill="1" applyBorder="1" applyAlignment="1">
      <alignment horizontal="center" vertical="center"/>
    </xf>
    <xf numFmtId="0" fontId="40" fillId="41" borderId="82" xfId="53" applyFont="1" applyFill="1" applyBorder="1" applyAlignment="1">
      <alignment horizontal="center" vertical="center"/>
    </xf>
    <xf numFmtId="0" fontId="40" fillId="41" borderId="89" xfId="53" applyFont="1" applyFill="1" applyBorder="1" applyAlignment="1">
      <alignment horizontal="center" vertical="center"/>
    </xf>
    <xf numFmtId="0" fontId="40" fillId="41" borderId="76" xfId="53" applyFont="1" applyFill="1" applyBorder="1" applyAlignment="1">
      <alignment horizontal="center" vertical="center"/>
    </xf>
    <xf numFmtId="0" fontId="57" fillId="0" borderId="45" xfId="83" applyBorder="1"/>
    <xf numFmtId="0" fontId="57" fillId="0" borderId="38" xfId="83" applyBorder="1"/>
    <xf numFmtId="0" fontId="50" fillId="35" borderId="50" xfId="53" applyFont="1" applyFill="1" applyBorder="1" applyAlignment="1">
      <alignment horizontal="center" vertical="center"/>
    </xf>
    <xf numFmtId="0" fontId="50" fillId="35" borderId="45" xfId="53" applyFont="1" applyFill="1" applyBorder="1" applyAlignment="1">
      <alignment horizontal="center" vertical="center"/>
    </xf>
    <xf numFmtId="0" fontId="50" fillId="35" borderId="38" xfId="53" applyFont="1" applyFill="1" applyBorder="1" applyAlignment="1">
      <alignment horizontal="center" vertical="center"/>
    </xf>
    <xf numFmtId="0" fontId="3" fillId="66" borderId="50" xfId="53" applyFont="1" applyFill="1" applyBorder="1" applyAlignment="1">
      <alignment horizontal="center" vertical="center"/>
    </xf>
    <xf numFmtId="0" fontId="3" fillId="66" borderId="45" xfId="53" applyFont="1" applyFill="1" applyBorder="1" applyAlignment="1">
      <alignment horizontal="center" vertical="center"/>
    </xf>
    <xf numFmtId="0" fontId="3" fillId="66" borderId="38" xfId="53" applyFont="1" applyFill="1" applyBorder="1" applyAlignment="1">
      <alignment horizontal="center" vertical="center"/>
    </xf>
    <xf numFmtId="0" fontId="50" fillId="67" borderId="50" xfId="53" applyFont="1" applyFill="1" applyBorder="1" applyAlignment="1">
      <alignment horizontal="center" vertical="center"/>
    </xf>
    <xf numFmtId="0" fontId="50" fillId="67" borderId="45" xfId="53" applyFont="1" applyFill="1" applyBorder="1" applyAlignment="1">
      <alignment horizontal="center" vertical="center"/>
    </xf>
    <xf numFmtId="0" fontId="50" fillId="67" borderId="38" xfId="53" applyFont="1" applyFill="1" applyBorder="1" applyAlignment="1">
      <alignment horizontal="center" vertical="center"/>
    </xf>
    <xf numFmtId="0" fontId="3" fillId="35" borderId="50" xfId="53" applyFont="1" applyFill="1" applyBorder="1" applyAlignment="1">
      <alignment horizontal="center" vertical="center" wrapText="1"/>
    </xf>
    <xf numFmtId="0" fontId="3" fillId="35" borderId="38" xfId="53" applyFont="1" applyFill="1" applyBorder="1" applyAlignment="1">
      <alignment horizontal="center" vertical="center" wrapText="1"/>
    </xf>
    <xf numFmtId="0" fontId="3" fillId="35" borderId="50" xfId="53" applyFont="1" applyFill="1" applyBorder="1" applyAlignment="1">
      <alignment horizontal="center" vertical="center"/>
    </xf>
    <xf numFmtId="0" fontId="3" fillId="35" borderId="38" xfId="53" applyFont="1" applyFill="1" applyBorder="1" applyAlignment="1">
      <alignment horizontal="center" vertical="center"/>
    </xf>
    <xf numFmtId="0" fontId="50" fillId="6" borderId="50" xfId="53" applyFont="1" applyFill="1" applyBorder="1" applyAlignment="1">
      <alignment horizontal="center" vertical="center"/>
    </xf>
    <xf numFmtId="0" fontId="50" fillId="6" borderId="45" xfId="53" applyFont="1" applyFill="1" applyBorder="1" applyAlignment="1">
      <alignment horizontal="center" vertical="center"/>
    </xf>
    <xf numFmtId="0" fontId="50" fillId="6" borderId="38" xfId="53" applyFont="1" applyFill="1" applyBorder="1" applyAlignment="1">
      <alignment horizontal="center" vertical="center"/>
    </xf>
    <xf numFmtId="0" fontId="2" fillId="5" borderId="50" xfId="53" applyFont="1" applyFill="1" applyBorder="1" applyAlignment="1">
      <alignment horizontal="center" vertical="center"/>
    </xf>
    <xf numFmtId="0" fontId="2" fillId="5" borderId="45" xfId="53" applyFont="1" applyFill="1" applyBorder="1" applyAlignment="1">
      <alignment horizontal="center" vertical="center"/>
    </xf>
    <xf numFmtId="0" fontId="2" fillId="5" borderId="38" xfId="53" applyFont="1" applyFill="1" applyBorder="1" applyAlignment="1">
      <alignment horizontal="center" vertical="center"/>
    </xf>
    <xf numFmtId="0" fontId="2" fillId="65" borderId="50" xfId="53" applyFont="1" applyFill="1" applyBorder="1" applyAlignment="1">
      <alignment horizontal="center" vertical="center"/>
    </xf>
    <xf numFmtId="0" fontId="2" fillId="65" borderId="45" xfId="53" applyFont="1" applyFill="1" applyBorder="1" applyAlignment="1">
      <alignment horizontal="center" vertical="center"/>
    </xf>
    <xf numFmtId="0" fontId="2" fillId="65" borderId="38" xfId="53" applyFont="1" applyFill="1" applyBorder="1" applyAlignment="1">
      <alignment horizontal="center" vertical="center"/>
    </xf>
    <xf numFmtId="0" fontId="3" fillId="6" borderId="50" xfId="53" applyFont="1" applyFill="1" applyBorder="1" applyAlignment="1">
      <alignment horizontal="center" vertical="center" wrapText="1"/>
    </xf>
    <xf numFmtId="0" fontId="3" fillId="6" borderId="45" xfId="53" applyFont="1" applyFill="1" applyBorder="1" applyAlignment="1">
      <alignment horizontal="center" vertical="center" wrapText="1"/>
    </xf>
    <xf numFmtId="0" fontId="3" fillId="6" borderId="38" xfId="53" applyFont="1" applyFill="1" applyBorder="1" applyAlignment="1">
      <alignment horizontal="center" vertical="center" wrapText="1"/>
    </xf>
    <xf numFmtId="0" fontId="3" fillId="35" borderId="85" xfId="53" applyFont="1" applyFill="1" applyBorder="1" applyAlignment="1">
      <alignment horizontal="center" vertical="center"/>
    </xf>
    <xf numFmtId="0" fontId="3" fillId="35" borderId="86" xfId="53" applyFont="1" applyFill="1" applyBorder="1" applyAlignment="1">
      <alignment horizontal="center" vertical="center"/>
    </xf>
    <xf numFmtId="0" fontId="2" fillId="64" borderId="50" xfId="53" applyFont="1" applyFill="1" applyBorder="1" applyAlignment="1">
      <alignment horizontal="center" vertical="center"/>
    </xf>
    <xf numFmtId="0" fontId="2" fillId="64" borderId="45" xfId="53" applyFont="1" applyFill="1" applyBorder="1" applyAlignment="1">
      <alignment horizontal="center" vertical="center"/>
    </xf>
    <xf numFmtId="0" fontId="2" fillId="64" borderId="38" xfId="53" applyFont="1" applyFill="1" applyBorder="1" applyAlignment="1">
      <alignment horizontal="center" vertical="center"/>
    </xf>
    <xf numFmtId="1" fontId="40" fillId="41" borderId="50" xfId="53" applyNumberFormat="1" applyFont="1" applyFill="1" applyBorder="1" applyAlignment="1">
      <alignment horizontal="center" vertical="center"/>
    </xf>
    <xf numFmtId="1" fontId="40" fillId="41" borderId="45" xfId="53" applyNumberFormat="1" applyFont="1" applyFill="1" applyBorder="1" applyAlignment="1">
      <alignment horizontal="center" vertical="center"/>
    </xf>
    <xf numFmtId="1" fontId="40" fillId="41" borderId="38" xfId="53" applyNumberFormat="1" applyFont="1" applyFill="1" applyBorder="1" applyAlignment="1">
      <alignment horizontal="center" vertical="center"/>
    </xf>
    <xf numFmtId="0" fontId="2" fillId="63" borderId="50" xfId="53" applyFont="1" applyFill="1" applyBorder="1" applyAlignment="1">
      <alignment horizontal="center" vertical="center"/>
    </xf>
    <xf numFmtId="0" fontId="2" fillId="63" borderId="45" xfId="53" applyFont="1" applyFill="1" applyBorder="1" applyAlignment="1">
      <alignment horizontal="center" vertical="center"/>
    </xf>
    <xf numFmtId="0" fontId="2" fillId="63" borderId="38" xfId="53" applyFont="1" applyFill="1" applyBorder="1" applyAlignment="1">
      <alignment horizontal="center" vertical="center"/>
    </xf>
    <xf numFmtId="0" fontId="2" fillId="62" borderId="50" xfId="53" applyFont="1" applyFill="1" applyBorder="1" applyAlignment="1">
      <alignment horizontal="center" vertical="center"/>
    </xf>
    <xf numFmtId="0" fontId="2" fillId="62" borderId="45" xfId="53" applyFont="1" applyFill="1" applyBorder="1" applyAlignment="1">
      <alignment horizontal="center" vertical="center"/>
    </xf>
    <xf numFmtId="0" fontId="2" fillId="62" borderId="38" xfId="53" applyFont="1" applyFill="1" applyBorder="1" applyAlignment="1">
      <alignment horizontal="center" vertical="center"/>
    </xf>
    <xf numFmtId="0" fontId="3" fillId="35" borderId="78" xfId="53" applyFont="1" applyFill="1" applyBorder="1" applyAlignment="1">
      <alignment horizontal="center" vertical="center"/>
    </xf>
    <xf numFmtId="0" fontId="3" fillId="35" borderId="0" xfId="53" applyFont="1" applyFill="1" applyBorder="1" applyAlignment="1">
      <alignment horizontal="center" vertical="center"/>
    </xf>
    <xf numFmtId="0" fontId="3" fillId="35" borderId="79" xfId="53" applyFont="1" applyFill="1" applyBorder="1" applyAlignment="1">
      <alignment horizontal="center" vertical="center"/>
    </xf>
    <xf numFmtId="175" fontId="1" fillId="0" borderId="54" xfId="53" applyNumberFormat="1" applyBorder="1" applyAlignment="1">
      <alignment horizontal="center" vertical="center"/>
    </xf>
    <xf numFmtId="175" fontId="1" fillId="0" borderId="0" xfId="53" applyNumberFormat="1" applyBorder="1" applyAlignment="1">
      <alignment horizontal="center" vertical="center"/>
    </xf>
    <xf numFmtId="0" fontId="57" fillId="0" borderId="65" xfId="83" applyBorder="1"/>
    <xf numFmtId="0" fontId="1" fillId="0" borderId="46" xfId="53" applyFont="1" applyBorder="1" applyAlignment="1">
      <alignment horizontal="center" vertical="center" wrapText="1"/>
    </xf>
    <xf numFmtId="0" fontId="1" fillId="0" borderId="1" xfId="53" applyFont="1" applyBorder="1" applyAlignment="1">
      <alignment horizontal="center" vertical="center" wrapText="1"/>
    </xf>
    <xf numFmtId="0" fontId="3" fillId="61" borderId="55" xfId="53" applyFont="1" applyFill="1" applyBorder="1" applyAlignment="1">
      <alignment horizontal="center"/>
    </xf>
    <xf numFmtId="0" fontId="3" fillId="61" borderId="53" xfId="53" applyFont="1" applyFill="1" applyBorder="1" applyAlignment="1">
      <alignment horizontal="center"/>
    </xf>
    <xf numFmtId="0" fontId="1" fillId="0" borderId="49" xfId="53" applyFont="1" applyBorder="1" applyAlignment="1">
      <alignment horizontal="center" vertical="center" wrapText="1"/>
    </xf>
    <xf numFmtId="0" fontId="1" fillId="0" borderId="48" xfId="53" applyFont="1" applyBorder="1" applyAlignment="1">
      <alignment horizontal="center" vertical="center" wrapText="1"/>
    </xf>
    <xf numFmtId="0" fontId="0" fillId="0" borderId="55" xfId="53" applyFont="1" applyBorder="1" applyAlignment="1">
      <alignment horizontal="center" vertical="center"/>
    </xf>
    <xf numFmtId="0" fontId="0" fillId="0" borderId="39" xfId="53" applyFont="1" applyBorder="1" applyAlignment="1">
      <alignment horizontal="center" vertical="center"/>
    </xf>
    <xf numFmtId="0" fontId="0" fillId="0" borderId="17" xfId="53" applyFont="1" applyBorder="1" applyAlignment="1">
      <alignment horizontal="center"/>
    </xf>
    <xf numFmtId="0" fontId="0" fillId="0" borderId="16" xfId="53" applyFont="1" applyBorder="1" applyAlignment="1">
      <alignment horizontal="center"/>
    </xf>
    <xf numFmtId="0" fontId="0" fillId="0" borderId="15" xfId="53" applyFont="1" applyBorder="1" applyAlignment="1">
      <alignment horizontal="center"/>
    </xf>
    <xf numFmtId="0" fontId="0" fillId="0" borderId="50" xfId="53" applyFont="1" applyBorder="1" applyAlignment="1">
      <alignment horizontal="center" vertical="center"/>
    </xf>
    <xf numFmtId="0" fontId="1" fillId="0" borderId="38" xfId="53" applyBorder="1" applyAlignment="1">
      <alignment horizontal="center" vertical="center"/>
    </xf>
    <xf numFmtId="0" fontId="2" fillId="40" borderId="50" xfId="53" applyFont="1" applyFill="1" applyBorder="1" applyAlignment="1">
      <alignment horizontal="center" vertical="center"/>
    </xf>
    <xf numFmtId="0" fontId="2" fillId="40" borderId="45" xfId="53" applyFont="1" applyFill="1" applyBorder="1" applyAlignment="1">
      <alignment horizontal="center" vertical="center"/>
    </xf>
    <xf numFmtId="0" fontId="2" fillId="40" borderId="38" xfId="53" applyFont="1" applyFill="1" applyBorder="1" applyAlignment="1">
      <alignment horizontal="center" vertical="center"/>
    </xf>
    <xf numFmtId="0" fontId="38" fillId="0" borderId="0" xfId="54" applyFont="1" applyAlignment="1">
      <alignment horizontal="center"/>
    </xf>
    <xf numFmtId="0" fontId="29" fillId="35" borderId="23" xfId="54" applyFont="1" applyFill="1" applyBorder="1" applyAlignment="1" applyProtection="1">
      <alignment horizontal="center"/>
    </xf>
    <xf numFmtId="0" fontId="29" fillId="33" borderId="24" xfId="54" applyFont="1" applyFill="1" applyBorder="1" applyAlignment="1" applyProtection="1">
      <alignment horizontal="center"/>
    </xf>
    <xf numFmtId="0" fontId="25" fillId="0" borderId="23" xfId="54" applyBorder="1"/>
    <xf numFmtId="0" fontId="25" fillId="0" borderId="36" xfId="54" applyBorder="1" applyAlignment="1">
      <alignment horizontal="center"/>
    </xf>
    <xf numFmtId="0" fontId="25" fillId="0" borderId="35" xfId="54" applyBorder="1" applyAlignment="1">
      <alignment horizontal="center"/>
    </xf>
    <xf numFmtId="0" fontId="31" fillId="0" borderId="0" xfId="54" applyFont="1" applyBorder="1" applyAlignment="1">
      <alignment horizontal="center"/>
    </xf>
    <xf numFmtId="0" fontId="36" fillId="0" borderId="19" xfId="54" applyFont="1" applyBorder="1" applyAlignment="1">
      <alignment horizontal="center" vertical="center"/>
    </xf>
    <xf numFmtId="14" fontId="34" fillId="34" borderId="0" xfId="54" applyNumberFormat="1" applyFont="1" applyFill="1" applyBorder="1" applyAlignment="1">
      <alignment horizontal="center" vertical="center"/>
    </xf>
    <xf numFmtId="14" fontId="34" fillId="34" borderId="18" xfId="54" applyNumberFormat="1" applyFont="1" applyFill="1" applyBorder="1" applyAlignment="1">
      <alignment horizontal="center" vertical="center"/>
    </xf>
    <xf numFmtId="0" fontId="32" fillId="32" borderId="70" xfId="54" applyFont="1" applyFill="1" applyBorder="1" applyAlignment="1">
      <alignment horizontal="center" vertical="center"/>
    </xf>
    <xf numFmtId="0" fontId="32" fillId="32" borderId="0" xfId="54" applyFont="1" applyFill="1" applyBorder="1" applyAlignment="1">
      <alignment horizontal="center" vertical="center"/>
    </xf>
    <xf numFmtId="0" fontId="32" fillId="33" borderId="70" xfId="54" applyFont="1" applyFill="1" applyBorder="1" applyAlignment="1">
      <alignment horizontal="center" vertical="center"/>
    </xf>
    <xf numFmtId="0" fontId="32" fillId="33" borderId="0" xfId="54" applyFont="1" applyFill="1" applyBorder="1" applyAlignment="1">
      <alignment horizontal="center" vertical="center"/>
    </xf>
    <xf numFmtId="0" fontId="3" fillId="55" borderId="17" xfId="0" applyFont="1" applyFill="1" applyBorder="1" applyAlignment="1">
      <alignment horizontal="center"/>
    </xf>
    <xf numFmtId="0" fontId="3" fillId="55" borderId="16" xfId="0" applyFont="1" applyFill="1" applyBorder="1" applyAlignment="1">
      <alignment horizontal="center"/>
    </xf>
    <xf numFmtId="0" fontId="3" fillId="44" borderId="17" xfId="0" applyFont="1" applyFill="1" applyBorder="1" applyAlignment="1">
      <alignment horizontal="center"/>
    </xf>
    <xf numFmtId="0" fontId="3" fillId="44" borderId="16" xfId="0" applyFont="1" applyFill="1" applyBorder="1" applyAlignment="1">
      <alignment horizontal="center"/>
    </xf>
    <xf numFmtId="0" fontId="3" fillId="47" borderId="17" xfId="0" applyFont="1" applyFill="1" applyBorder="1" applyAlignment="1">
      <alignment horizontal="center"/>
    </xf>
    <xf numFmtId="0" fontId="3" fillId="4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32" borderId="41" xfId="0" applyFont="1" applyFill="1" applyBorder="1" applyAlignment="1">
      <alignment horizont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50" fillId="2" borderId="1" xfId="1" applyFont="1" applyFill="1" applyBorder="1" applyAlignment="1">
      <alignment horizontal="center" vertical="center" wrapText="1"/>
    </xf>
    <xf numFmtId="0" fontId="3" fillId="47" borderId="71" xfId="0" applyFont="1" applyFill="1" applyBorder="1" applyAlignment="1">
      <alignment horizontal="center" vertical="center" wrapText="1"/>
    </xf>
    <xf numFmtId="0" fontId="3" fillId="47" borderId="72" xfId="0" applyFont="1" applyFill="1" applyBorder="1" applyAlignment="1">
      <alignment horizontal="center" vertical="center" wrapText="1"/>
    </xf>
    <xf numFmtId="0" fontId="3" fillId="47" borderId="73" xfId="0" applyFont="1" applyFill="1" applyBorder="1" applyAlignment="1">
      <alignment horizontal="center" vertical="center" wrapText="1"/>
    </xf>
    <xf numFmtId="164" fontId="3" fillId="49" borderId="1" xfId="1" applyFont="1" applyFill="1" applyBorder="1" applyAlignment="1">
      <alignment horizontal="center" vertical="center" wrapText="1"/>
    </xf>
    <xf numFmtId="164" fontId="3" fillId="2" borderId="1" xfId="1" applyFont="1" applyFill="1" applyBorder="1" applyAlignment="1">
      <alignment horizontal="center" vertical="center" wrapText="1"/>
    </xf>
    <xf numFmtId="164" fontId="3" fillId="43" borderId="1" xfId="1" applyFont="1" applyFill="1" applyBorder="1" applyAlignment="1">
      <alignment horizontal="center" vertical="center" wrapText="1"/>
    </xf>
    <xf numFmtId="164" fontId="3" fillId="31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48" borderId="17" xfId="0" applyFont="1" applyFill="1" applyBorder="1" applyAlignment="1">
      <alignment horizontal="center"/>
    </xf>
    <xf numFmtId="0" fontId="3" fillId="48" borderId="16" xfId="0" applyFont="1" applyFill="1" applyBorder="1" applyAlignment="1">
      <alignment horizontal="center"/>
    </xf>
    <xf numFmtId="0" fontId="3" fillId="48" borderId="15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7" xfId="1" applyFont="1" applyBorder="1" applyAlignment="1">
      <alignment horizontal="center"/>
    </xf>
    <xf numFmtId="164" fontId="0" fillId="0" borderId="16" xfId="1" applyFont="1" applyBorder="1" applyAlignment="1">
      <alignment horizontal="center"/>
    </xf>
    <xf numFmtId="164" fontId="0" fillId="0" borderId="15" xfId="1" applyFont="1" applyBorder="1" applyAlignment="1">
      <alignment horizontal="center"/>
    </xf>
  </cellXfs>
  <cellStyles count="85">
    <cellStyle name="20% - Ênfase1 2" xfId="4" xr:uid="{00000000-0005-0000-0000-000000000000}"/>
    <cellStyle name="20% - Ênfase2 2" xfId="5" xr:uid="{00000000-0005-0000-0000-000001000000}"/>
    <cellStyle name="20% - Ênfase3 2" xfId="6" xr:uid="{00000000-0005-0000-0000-000002000000}"/>
    <cellStyle name="20% - Ênfase4 2" xfId="7" xr:uid="{00000000-0005-0000-0000-000003000000}"/>
    <cellStyle name="20% - Ênfase5 2" xfId="8" xr:uid="{00000000-0005-0000-0000-000004000000}"/>
    <cellStyle name="20% - Ênfase6 2" xfId="9" xr:uid="{00000000-0005-0000-0000-000005000000}"/>
    <cellStyle name="40% - Ênfase1 2" xfId="10" xr:uid="{00000000-0005-0000-0000-000006000000}"/>
    <cellStyle name="40% - Ênfase2 2" xfId="11" xr:uid="{00000000-0005-0000-0000-000007000000}"/>
    <cellStyle name="40% - Ênfase3 2" xfId="12" xr:uid="{00000000-0005-0000-0000-000008000000}"/>
    <cellStyle name="40% - Ênfase4 2" xfId="13" xr:uid="{00000000-0005-0000-0000-000009000000}"/>
    <cellStyle name="40% - Ênfase5 2" xfId="14" xr:uid="{00000000-0005-0000-0000-00000A000000}"/>
    <cellStyle name="40% - Ênfase6 2" xfId="15" xr:uid="{00000000-0005-0000-0000-00000B000000}"/>
    <cellStyle name="60% - Ênfase1 2" xfId="16" xr:uid="{00000000-0005-0000-0000-00000C000000}"/>
    <cellStyle name="60% - Ênfase2 2" xfId="17" xr:uid="{00000000-0005-0000-0000-00000D000000}"/>
    <cellStyle name="60% - Ênfase3 2" xfId="18" xr:uid="{00000000-0005-0000-0000-00000E000000}"/>
    <cellStyle name="60% - Ênfase4 2" xfId="19" xr:uid="{00000000-0005-0000-0000-00000F000000}"/>
    <cellStyle name="60% - Ênfase5 2" xfId="20" xr:uid="{00000000-0005-0000-0000-000010000000}"/>
    <cellStyle name="60% - Ênfase6 2" xfId="21" xr:uid="{00000000-0005-0000-0000-000011000000}"/>
    <cellStyle name="Bom 2" xfId="22" xr:uid="{00000000-0005-0000-0000-000012000000}"/>
    <cellStyle name="Cálculo 2" xfId="23" xr:uid="{00000000-0005-0000-0000-000013000000}"/>
    <cellStyle name="Célula de Verificação 2" xfId="24" xr:uid="{00000000-0005-0000-0000-000014000000}"/>
    <cellStyle name="Célula Vinculada 2" xfId="25" xr:uid="{00000000-0005-0000-0000-000015000000}"/>
    <cellStyle name="Ênfase1 2" xfId="26" xr:uid="{00000000-0005-0000-0000-000016000000}"/>
    <cellStyle name="Ênfase2 2" xfId="27" xr:uid="{00000000-0005-0000-0000-000017000000}"/>
    <cellStyle name="Ênfase3 2" xfId="28" xr:uid="{00000000-0005-0000-0000-000018000000}"/>
    <cellStyle name="Ênfase4 2" xfId="29" xr:uid="{00000000-0005-0000-0000-000019000000}"/>
    <cellStyle name="Ênfase5 2" xfId="30" xr:uid="{00000000-0005-0000-0000-00001A000000}"/>
    <cellStyle name="Ênfase6 2" xfId="31" xr:uid="{00000000-0005-0000-0000-00001B000000}"/>
    <cellStyle name="Entrada 2" xfId="32" xr:uid="{00000000-0005-0000-0000-00001C000000}"/>
    <cellStyle name="Excel Built-in Normal" xfId="33" xr:uid="{00000000-0005-0000-0000-00001D000000}"/>
    <cellStyle name="Heading" xfId="34" xr:uid="{00000000-0005-0000-0000-00001E000000}"/>
    <cellStyle name="Heading1" xfId="35" xr:uid="{00000000-0005-0000-0000-00001F000000}"/>
    <cellStyle name="Hiperlink" xfId="57" builtinId="8"/>
    <cellStyle name="Incorreto 2" xfId="36" xr:uid="{00000000-0005-0000-0000-000021000000}"/>
    <cellStyle name="Moeda" xfId="1" builtinId="4"/>
    <cellStyle name="Moeda 2" xfId="3" xr:uid="{00000000-0005-0000-0000-000023000000}"/>
    <cellStyle name="Moeda 2 10" xfId="61" xr:uid="{00000000-0005-0000-0000-000024000000}"/>
    <cellStyle name="Moeda 2 11" xfId="66" xr:uid="{00000000-0005-0000-0000-000025000000}"/>
    <cellStyle name="Moeda 2 2" xfId="67" xr:uid="{00000000-0005-0000-0000-000026000000}"/>
    <cellStyle name="Moeda 2 3" xfId="68" xr:uid="{00000000-0005-0000-0000-000027000000}"/>
    <cellStyle name="Moeda 2 4" xfId="69" xr:uid="{00000000-0005-0000-0000-000028000000}"/>
    <cellStyle name="Moeda 2 5" xfId="70" xr:uid="{00000000-0005-0000-0000-000029000000}"/>
    <cellStyle name="Moeda 2 6" xfId="71" xr:uid="{00000000-0005-0000-0000-00002A000000}"/>
    <cellStyle name="Moeda 2 7" xfId="72" xr:uid="{00000000-0005-0000-0000-00002B000000}"/>
    <cellStyle name="Moeda 2 8" xfId="73" xr:uid="{00000000-0005-0000-0000-00002C000000}"/>
    <cellStyle name="Moeda 2 8 2" xfId="64" xr:uid="{00000000-0005-0000-0000-00002D000000}"/>
    <cellStyle name="Moeda 2 9" xfId="74" xr:uid="{00000000-0005-0000-0000-00002E000000}"/>
    <cellStyle name="Moeda 3" xfId="55" xr:uid="{00000000-0005-0000-0000-00002F000000}"/>
    <cellStyle name="Moeda 4" xfId="80" xr:uid="{00000000-0005-0000-0000-000030000000}"/>
    <cellStyle name="Moeda 5" xfId="84" xr:uid="{00000000-0005-0000-0000-000031000000}"/>
    <cellStyle name="Neutra 2" xfId="37" xr:uid="{00000000-0005-0000-0000-000032000000}"/>
    <cellStyle name="Normal" xfId="0" builtinId="0"/>
    <cellStyle name="Normal 2" xfId="38" xr:uid="{00000000-0005-0000-0000-000034000000}"/>
    <cellStyle name="Normal 2 2" xfId="53" xr:uid="{00000000-0005-0000-0000-000035000000}"/>
    <cellStyle name="Normal 2 3" xfId="60" xr:uid="{00000000-0005-0000-0000-000036000000}"/>
    <cellStyle name="Normal 3" xfId="51" xr:uid="{00000000-0005-0000-0000-000037000000}"/>
    <cellStyle name="Normal 3 2" xfId="75" xr:uid="{00000000-0005-0000-0000-000038000000}"/>
    <cellStyle name="Normal 4" xfId="54" xr:uid="{00000000-0005-0000-0000-000039000000}"/>
    <cellStyle name="Normal 5" xfId="83" xr:uid="{00000000-0005-0000-0000-00003A000000}"/>
    <cellStyle name="Nota 2" xfId="39" xr:uid="{00000000-0005-0000-0000-00003B000000}"/>
    <cellStyle name="Porcentagem" xfId="2" builtinId="5"/>
    <cellStyle name="Porcentagem 2" xfId="52" xr:uid="{00000000-0005-0000-0000-00003D000000}"/>
    <cellStyle name="Porcentagem 2 2" xfId="58" xr:uid="{00000000-0005-0000-0000-00003E000000}"/>
    <cellStyle name="Porcentagem 3" xfId="59" xr:uid="{00000000-0005-0000-0000-00003F000000}"/>
    <cellStyle name="Porcentagem 4" xfId="82" xr:uid="{00000000-0005-0000-0000-000040000000}"/>
    <cellStyle name="Result" xfId="40" xr:uid="{00000000-0005-0000-0000-000041000000}"/>
    <cellStyle name="Result2" xfId="41" xr:uid="{00000000-0005-0000-0000-000042000000}"/>
    <cellStyle name="Saída 2" xfId="42" xr:uid="{00000000-0005-0000-0000-000043000000}"/>
    <cellStyle name="Separador de milhares 2" xfId="65" xr:uid="{00000000-0005-0000-0000-000044000000}"/>
    <cellStyle name="Separador de milhares 2 2" xfId="76" xr:uid="{00000000-0005-0000-0000-000045000000}"/>
    <cellStyle name="Separador de milhares 2 3" xfId="77" xr:uid="{00000000-0005-0000-0000-000046000000}"/>
    <cellStyle name="Separador de milhares 2 4" xfId="78" xr:uid="{00000000-0005-0000-0000-000047000000}"/>
    <cellStyle name="Separador de milhares 2 5" xfId="63" xr:uid="{00000000-0005-0000-0000-000048000000}"/>
    <cellStyle name="Separador de milhares 2 6" xfId="62" xr:uid="{00000000-0005-0000-0000-000049000000}"/>
    <cellStyle name="Texto de Aviso 2" xfId="43" xr:uid="{00000000-0005-0000-0000-00004A000000}"/>
    <cellStyle name="Texto Explicativo 2" xfId="44" xr:uid="{00000000-0005-0000-0000-00004B000000}"/>
    <cellStyle name="Título 1 1" xfId="45" xr:uid="{00000000-0005-0000-0000-00004C000000}"/>
    <cellStyle name="Título 1 2" xfId="46" xr:uid="{00000000-0005-0000-0000-00004D000000}"/>
    <cellStyle name="Título 2 2" xfId="47" xr:uid="{00000000-0005-0000-0000-00004E000000}"/>
    <cellStyle name="Título 3 2" xfId="48" xr:uid="{00000000-0005-0000-0000-00004F000000}"/>
    <cellStyle name="Título 3 2 2" xfId="81" xr:uid="{00000000-0005-0000-0000-000050000000}"/>
    <cellStyle name="Título 4 2" xfId="49" xr:uid="{00000000-0005-0000-0000-000051000000}"/>
    <cellStyle name="Total 2" xfId="50" xr:uid="{00000000-0005-0000-0000-000052000000}"/>
    <cellStyle name="Vírgula 2" xfId="56" xr:uid="{00000000-0005-0000-0000-000053000000}"/>
    <cellStyle name="Vírgula 2 2" xfId="79" xr:uid="{00000000-0005-0000-0000-000054000000}"/>
  </cellStyles>
  <dxfs count="2414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F74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L13" sqref="L13:L16"/>
    </sheetView>
  </sheetViews>
  <sheetFormatPr defaultRowHeight="14.5" x14ac:dyDescent="0.35"/>
  <cols>
    <col min="2" max="2" width="11" bestFit="1" customWidth="1"/>
    <col min="3" max="3" width="15.453125" bestFit="1" customWidth="1"/>
    <col min="4" max="4" width="14.1796875" bestFit="1" customWidth="1"/>
    <col min="6" max="6" width="10.1796875" bestFit="1" customWidth="1"/>
    <col min="9" max="9" width="11.54296875" bestFit="1" customWidth="1"/>
    <col min="10" max="10" width="10.1796875" customWidth="1"/>
    <col min="11" max="11" width="20.54296875" bestFit="1" customWidth="1"/>
  </cols>
  <sheetData>
    <row r="1" spans="1:12" x14ac:dyDescent="0.35">
      <c r="A1" s="589" t="s">
        <v>59</v>
      </c>
      <c r="B1" s="589"/>
      <c r="C1" s="442" t="s">
        <v>58</v>
      </c>
      <c r="D1" s="442" t="s">
        <v>57</v>
      </c>
      <c r="E1" s="105"/>
      <c r="F1" s="105"/>
      <c r="G1" s="105"/>
      <c r="H1" s="105"/>
      <c r="I1" s="233"/>
      <c r="J1" s="233"/>
      <c r="K1" s="233"/>
    </row>
    <row r="2" spans="1:12" x14ac:dyDescent="0.35">
      <c r="A2" s="588" t="s">
        <v>202</v>
      </c>
      <c r="B2" s="588"/>
      <c r="C2" s="137">
        <v>1100</v>
      </c>
      <c r="D2" s="452">
        <f>C2/15000</f>
        <v>7.3333333333333334E-2</v>
      </c>
      <c r="E2" s="132"/>
      <c r="F2" s="204"/>
      <c r="G2" s="204"/>
      <c r="H2" s="132"/>
      <c r="I2" s="292"/>
      <c r="J2" s="400"/>
      <c r="K2" s="293"/>
    </row>
    <row r="3" spans="1:12" x14ac:dyDescent="0.35">
      <c r="A3" s="588" t="s">
        <v>200</v>
      </c>
      <c r="B3" s="588"/>
      <c r="C3" s="137">
        <v>37</v>
      </c>
      <c r="D3" s="452">
        <f>C3/50</f>
        <v>0.74</v>
      </c>
      <c r="E3" s="132"/>
      <c r="F3" s="204"/>
      <c r="G3" s="204"/>
      <c r="H3" s="132"/>
      <c r="I3" s="132"/>
      <c r="J3" s="132"/>
      <c r="K3" s="132"/>
    </row>
    <row r="4" spans="1:12" x14ac:dyDescent="0.35">
      <c r="A4" s="588" t="s">
        <v>472</v>
      </c>
      <c r="B4" s="588"/>
      <c r="C4" s="137">
        <v>850</v>
      </c>
      <c r="D4" s="452">
        <f>C4/25</f>
        <v>34</v>
      </c>
      <c r="E4" s="132"/>
      <c r="F4" s="204"/>
      <c r="G4" s="204"/>
      <c r="H4" s="139"/>
      <c r="I4" s="132"/>
      <c r="J4" s="132"/>
      <c r="K4" s="132"/>
    </row>
    <row r="5" spans="1:12" x14ac:dyDescent="0.35">
      <c r="A5" s="588" t="s">
        <v>42</v>
      </c>
      <c r="B5" s="588"/>
      <c r="C5" s="137">
        <v>0.6</v>
      </c>
      <c r="D5" s="452">
        <f>C5</f>
        <v>0.6</v>
      </c>
      <c r="E5" s="132"/>
      <c r="F5" s="204"/>
      <c r="G5" s="204"/>
      <c r="H5" s="133"/>
      <c r="I5" s="132"/>
      <c r="J5" s="132"/>
      <c r="K5" s="132"/>
    </row>
    <row r="6" spans="1:12" x14ac:dyDescent="0.35">
      <c r="A6" s="588"/>
      <c r="B6" s="588"/>
      <c r="C6" s="137"/>
      <c r="D6" s="452">
        <f>C6</f>
        <v>0</v>
      </c>
      <c r="E6" s="132"/>
      <c r="F6" s="204"/>
      <c r="G6" s="204"/>
      <c r="H6" s="132"/>
      <c r="I6" s="132"/>
      <c r="J6" s="132"/>
      <c r="K6" s="132"/>
    </row>
    <row r="7" spans="1:12" x14ac:dyDescent="0.35">
      <c r="A7" s="588"/>
      <c r="B7" s="588"/>
      <c r="C7" s="137"/>
      <c r="D7" s="452">
        <f>C7</f>
        <v>0</v>
      </c>
      <c r="E7" s="132"/>
      <c r="F7" s="204"/>
      <c r="G7" s="204"/>
      <c r="H7" s="232"/>
      <c r="I7" s="132"/>
      <c r="J7" s="132"/>
      <c r="K7" s="132"/>
    </row>
    <row r="8" spans="1:12" x14ac:dyDescent="0.35">
      <c r="A8" s="136"/>
      <c r="B8" s="136"/>
      <c r="C8" s="135"/>
      <c r="D8" s="134"/>
      <c r="E8" s="132"/>
      <c r="F8" s="132"/>
      <c r="G8" s="132"/>
      <c r="H8" s="133"/>
      <c r="I8" s="132"/>
      <c r="J8" s="132"/>
      <c r="K8" s="132"/>
    </row>
    <row r="9" spans="1:12" ht="15" thickBot="1" x14ac:dyDescent="0.4">
      <c r="A9" s="105"/>
      <c r="B9" s="105"/>
      <c r="C9" s="105"/>
      <c r="D9" s="105"/>
      <c r="E9" s="105"/>
      <c r="F9" s="105"/>
      <c r="G9" s="105"/>
      <c r="H9" s="107"/>
      <c r="I9" s="105"/>
      <c r="J9" s="105"/>
      <c r="K9" s="105"/>
    </row>
    <row r="10" spans="1:12" ht="15" thickBot="1" x14ac:dyDescent="0.4">
      <c r="A10" s="590" t="s">
        <v>53</v>
      </c>
      <c r="B10" s="591"/>
      <c r="C10" s="591"/>
      <c r="D10" s="591"/>
      <c r="E10" s="591"/>
      <c r="F10" s="591"/>
      <c r="G10" s="591"/>
      <c r="H10" s="591"/>
      <c r="I10" s="591"/>
      <c r="J10" s="591"/>
      <c r="K10" s="592"/>
    </row>
    <row r="11" spans="1:12" ht="15" thickBot="1" x14ac:dyDescent="0.4">
      <c r="A11" s="593" t="s">
        <v>474</v>
      </c>
      <c r="B11" s="596" t="s">
        <v>52</v>
      </c>
      <c r="C11" s="598" t="s">
        <v>51</v>
      </c>
      <c r="D11" s="600" t="s">
        <v>8</v>
      </c>
      <c r="E11" s="601"/>
      <c r="F11" s="601"/>
      <c r="G11" s="601"/>
      <c r="H11" s="602"/>
      <c r="I11" s="603" t="s">
        <v>0</v>
      </c>
      <c r="J11" s="604"/>
      <c r="K11" s="605"/>
    </row>
    <row r="12" spans="1:12" ht="29.5" thickBot="1" x14ac:dyDescent="0.4">
      <c r="A12" s="594"/>
      <c r="B12" s="597"/>
      <c r="C12" s="599"/>
      <c r="D12" s="128" t="s">
        <v>50</v>
      </c>
      <c r="E12" s="130" t="s">
        <v>49</v>
      </c>
      <c r="F12" s="129" t="s">
        <v>48</v>
      </c>
      <c r="G12" s="142" t="s">
        <v>60</v>
      </c>
      <c r="H12" s="128" t="s">
        <v>61</v>
      </c>
      <c r="I12" s="129" t="s">
        <v>126</v>
      </c>
      <c r="J12" s="129" t="s">
        <v>46</v>
      </c>
      <c r="K12" s="128" t="s">
        <v>45</v>
      </c>
      <c r="L12" s="586" t="s">
        <v>473</v>
      </c>
    </row>
    <row r="13" spans="1:12" x14ac:dyDescent="0.35">
      <c r="A13" s="594"/>
      <c r="B13" s="606">
        <v>1000</v>
      </c>
      <c r="C13" s="585" t="s">
        <v>202</v>
      </c>
      <c r="D13" s="125">
        <v>200</v>
      </c>
      <c r="E13" s="126">
        <f>D13/D18</f>
        <v>0.79872204472843444</v>
      </c>
      <c r="F13" s="125">
        <f>(D18*E13)/C18</f>
        <v>11.980830670926517</v>
      </c>
      <c r="G13" s="143">
        <f>H13/25</f>
        <v>479.23322683706073</v>
      </c>
      <c r="H13" s="124">
        <f>B13*F13</f>
        <v>11980.830670926518</v>
      </c>
      <c r="I13" s="123">
        <f>F13*$D$2</f>
        <v>0.87859424920127793</v>
      </c>
      <c r="J13" s="609">
        <f>(I13+I14+I15+I16+I17)/25</f>
        <v>0.18038977635782746</v>
      </c>
      <c r="K13" s="122">
        <f>$D$2*H13</f>
        <v>878.59424920127799</v>
      </c>
      <c r="L13" s="443">
        <f>K13/$K$18</f>
        <v>0.19482129573872695</v>
      </c>
    </row>
    <row r="14" spans="1:12" x14ac:dyDescent="0.35">
      <c r="A14" s="594"/>
      <c r="B14" s="607"/>
      <c r="C14" s="553" t="s">
        <v>200</v>
      </c>
      <c r="D14" s="119">
        <v>50</v>
      </c>
      <c r="E14" s="120">
        <f>D14/D18</f>
        <v>0.19968051118210861</v>
      </c>
      <c r="F14" s="119">
        <f>(D18*E14)/C18</f>
        <v>2.9952076677316293</v>
      </c>
      <c r="G14" s="144">
        <f>H14/25</f>
        <v>119.80830670926518</v>
      </c>
      <c r="H14" s="118">
        <f>B13*F14</f>
        <v>2995.2076677316295</v>
      </c>
      <c r="I14" s="117">
        <f>F14*$D$3</f>
        <v>2.2164536741214058</v>
      </c>
      <c r="J14" s="610"/>
      <c r="K14" s="116">
        <f>$D$3*H14</f>
        <v>2216.4536741214056</v>
      </c>
      <c r="L14" s="443">
        <f t="shared" ref="L14:L17" si="0">K14/$K$18</f>
        <v>0.49148099606815204</v>
      </c>
    </row>
    <row r="15" spans="1:12" x14ac:dyDescent="0.35">
      <c r="A15" s="594"/>
      <c r="B15" s="607"/>
      <c r="C15" s="553" t="s">
        <v>472</v>
      </c>
      <c r="D15" s="119">
        <v>0.4</v>
      </c>
      <c r="E15" s="356">
        <f>D15/D18</f>
        <v>1.5974440894568692E-3</v>
      </c>
      <c r="F15" s="509">
        <f>(D18*E15)/C18</f>
        <v>2.3961661341853034E-2</v>
      </c>
      <c r="G15" s="144">
        <f>H15/20</f>
        <v>1.1980830670926517</v>
      </c>
      <c r="H15" s="118">
        <f>B13*F15</f>
        <v>23.961661341853034</v>
      </c>
      <c r="I15" s="117">
        <f>F15*$D$4</f>
        <v>0.81469648562300312</v>
      </c>
      <c r="J15" s="610"/>
      <c r="K15" s="116">
        <f>$D$4*H15</f>
        <v>814.69648562300313</v>
      </c>
      <c r="L15" s="443">
        <f t="shared" si="0"/>
        <v>0.18065247423045588</v>
      </c>
    </row>
    <row r="16" spans="1:12" x14ac:dyDescent="0.35">
      <c r="A16" s="594"/>
      <c r="B16" s="607"/>
      <c r="C16" s="121" t="s">
        <v>42</v>
      </c>
      <c r="D16" s="355">
        <v>1</v>
      </c>
      <c r="E16" s="356"/>
      <c r="F16" s="355">
        <v>1</v>
      </c>
      <c r="G16" s="144">
        <f>H16/1</f>
        <v>1000</v>
      </c>
      <c r="H16" s="355">
        <f>F16*B13</f>
        <v>1000</v>
      </c>
      <c r="I16" s="117">
        <f>F16*$D$5</f>
        <v>0.6</v>
      </c>
      <c r="J16" s="610"/>
      <c r="K16" s="116">
        <f>$D$5*H16</f>
        <v>600</v>
      </c>
      <c r="L16" s="443">
        <f t="shared" si="0"/>
        <v>0.13304523396266515</v>
      </c>
    </row>
    <row r="17" spans="1:12" ht="15" thickBot="1" x14ac:dyDescent="0.4">
      <c r="A17" s="594"/>
      <c r="B17" s="608"/>
      <c r="C17" s="357"/>
      <c r="D17" s="351"/>
      <c r="E17" s="352"/>
      <c r="F17" s="351"/>
      <c r="G17" s="353">
        <f>H17/1</f>
        <v>0</v>
      </c>
      <c r="H17" s="351">
        <f>F17*B13</f>
        <v>0</v>
      </c>
      <c r="I17" s="354">
        <f>F17*$D$6</f>
        <v>0</v>
      </c>
      <c r="J17" s="611"/>
      <c r="K17" s="131">
        <f>$D$6*H17</f>
        <v>0</v>
      </c>
      <c r="L17" s="443">
        <f t="shared" si="0"/>
        <v>0</v>
      </c>
    </row>
    <row r="18" spans="1:12" ht="15" thickBot="1" x14ac:dyDescent="0.4">
      <c r="A18" s="595"/>
      <c r="B18" s="115" t="s">
        <v>4</v>
      </c>
      <c r="C18" s="114">
        <f>D18/15</f>
        <v>16.693333333333335</v>
      </c>
      <c r="D18" s="113">
        <f>SUM(D13:D15)</f>
        <v>250.4</v>
      </c>
      <c r="E18" s="112">
        <f>SUM(E13:E15)</f>
        <v>0.99999999999999989</v>
      </c>
      <c r="F18" s="111">
        <f>SUM(F13:F15)</f>
        <v>14.999999999999998</v>
      </c>
      <c r="G18" s="145"/>
      <c r="H18" s="110">
        <f>SUM(H13:H15)</f>
        <v>15000</v>
      </c>
      <c r="I18" s="146">
        <f>SUM(I13:I16)</f>
        <v>4.5097444089456866</v>
      </c>
      <c r="J18" s="109"/>
      <c r="K18" s="108">
        <f>SUM(K13:K16)</f>
        <v>4509.7444089456867</v>
      </c>
    </row>
  </sheetData>
  <mergeCells count="15">
    <mergeCell ref="A7:B7"/>
    <mergeCell ref="A10:K10"/>
    <mergeCell ref="A11:A18"/>
    <mergeCell ref="B11:B12"/>
    <mergeCell ref="C11:C12"/>
    <mergeCell ref="D11:H11"/>
    <mergeCell ref="I11:K11"/>
    <mergeCell ref="B13:B17"/>
    <mergeCell ref="J13:J17"/>
    <mergeCell ref="A6:B6"/>
    <mergeCell ref="A1:B1"/>
    <mergeCell ref="A2:B2"/>
    <mergeCell ref="A3:B3"/>
    <mergeCell ref="A4:B4"/>
    <mergeCell ref="A5:B5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251"/>
  <sheetViews>
    <sheetView zoomScaleNormal="100" workbookViewId="0">
      <selection activeCell="F7" sqref="F7"/>
    </sheetView>
  </sheetViews>
  <sheetFormatPr defaultRowHeight="14.5" x14ac:dyDescent="0.35"/>
  <cols>
    <col min="1" max="1" width="9" style="105" customWidth="1"/>
    <col min="2" max="2" width="20.54296875" style="105" customWidth="1"/>
    <col min="3" max="3" width="11.26953125" style="105" customWidth="1"/>
    <col min="4" max="4" width="17.54296875" style="105" customWidth="1"/>
    <col min="5" max="5" width="10.1796875" style="105" customWidth="1"/>
    <col min="6" max="6" width="8.81640625" style="105" customWidth="1"/>
    <col min="7" max="7" width="11" style="105" customWidth="1"/>
    <col min="8" max="8" width="11.7265625" style="105" customWidth="1"/>
    <col min="9" max="9" width="13.453125" style="105" customWidth="1"/>
    <col min="10" max="10" width="13.26953125" style="105" bestFit="1" customWidth="1"/>
    <col min="11" max="11" width="15.26953125" style="105" bestFit="1" customWidth="1"/>
    <col min="12" max="256" width="9.1796875" style="105"/>
    <col min="257" max="257" width="9" style="105" customWidth="1"/>
    <col min="258" max="258" width="20.54296875" style="105" customWidth="1"/>
    <col min="259" max="259" width="11.26953125" style="105" customWidth="1"/>
    <col min="260" max="260" width="17.54296875" style="105" customWidth="1"/>
    <col min="261" max="261" width="10.1796875" style="105" customWidth="1"/>
    <col min="262" max="262" width="8.81640625" style="105" customWidth="1"/>
    <col min="263" max="263" width="11" style="105" customWidth="1"/>
    <col min="264" max="264" width="11.7265625" style="105" customWidth="1"/>
    <col min="265" max="265" width="13.453125" style="105" customWidth="1"/>
    <col min="266" max="266" width="13.26953125" style="105" bestFit="1" customWidth="1"/>
    <col min="267" max="267" width="15.26953125" style="105" bestFit="1" customWidth="1"/>
    <col min="268" max="512" width="9.1796875" style="105"/>
    <col min="513" max="513" width="9" style="105" customWidth="1"/>
    <col min="514" max="514" width="20.54296875" style="105" customWidth="1"/>
    <col min="515" max="515" width="11.26953125" style="105" customWidth="1"/>
    <col min="516" max="516" width="17.54296875" style="105" customWidth="1"/>
    <col min="517" max="517" width="10.1796875" style="105" customWidth="1"/>
    <col min="518" max="518" width="8.81640625" style="105" customWidth="1"/>
    <col min="519" max="519" width="11" style="105" customWidth="1"/>
    <col min="520" max="520" width="11.7265625" style="105" customWidth="1"/>
    <col min="521" max="521" width="13.453125" style="105" customWidth="1"/>
    <col min="522" max="522" width="13.26953125" style="105" bestFit="1" customWidth="1"/>
    <col min="523" max="523" width="15.26953125" style="105" bestFit="1" customWidth="1"/>
    <col min="524" max="768" width="9.1796875" style="105"/>
    <col min="769" max="769" width="9" style="105" customWidth="1"/>
    <col min="770" max="770" width="20.54296875" style="105" customWidth="1"/>
    <col min="771" max="771" width="11.26953125" style="105" customWidth="1"/>
    <col min="772" max="772" width="17.54296875" style="105" customWidth="1"/>
    <col min="773" max="773" width="10.1796875" style="105" customWidth="1"/>
    <col min="774" max="774" width="8.81640625" style="105" customWidth="1"/>
    <col min="775" max="775" width="11" style="105" customWidth="1"/>
    <col min="776" max="776" width="11.7265625" style="105" customWidth="1"/>
    <col min="777" max="777" width="13.453125" style="105" customWidth="1"/>
    <col min="778" max="778" width="13.26953125" style="105" bestFit="1" customWidth="1"/>
    <col min="779" max="779" width="15.26953125" style="105" bestFit="1" customWidth="1"/>
    <col min="780" max="1024" width="9.1796875" style="105"/>
    <col min="1025" max="1025" width="9" style="105" customWidth="1"/>
    <col min="1026" max="1026" width="20.54296875" style="105" customWidth="1"/>
    <col min="1027" max="1027" width="11.26953125" style="105" customWidth="1"/>
    <col min="1028" max="1028" width="17.54296875" style="105" customWidth="1"/>
    <col min="1029" max="1029" width="10.1796875" style="105" customWidth="1"/>
    <col min="1030" max="1030" width="8.81640625" style="105" customWidth="1"/>
    <col min="1031" max="1031" width="11" style="105" customWidth="1"/>
    <col min="1032" max="1032" width="11.7265625" style="105" customWidth="1"/>
    <col min="1033" max="1033" width="13.453125" style="105" customWidth="1"/>
    <col min="1034" max="1034" width="13.26953125" style="105" bestFit="1" customWidth="1"/>
    <col min="1035" max="1035" width="15.26953125" style="105" bestFit="1" customWidth="1"/>
    <col min="1036" max="1280" width="9.1796875" style="105"/>
    <col min="1281" max="1281" width="9" style="105" customWidth="1"/>
    <col min="1282" max="1282" width="20.54296875" style="105" customWidth="1"/>
    <col min="1283" max="1283" width="11.26953125" style="105" customWidth="1"/>
    <col min="1284" max="1284" width="17.54296875" style="105" customWidth="1"/>
    <col min="1285" max="1285" width="10.1796875" style="105" customWidth="1"/>
    <col min="1286" max="1286" width="8.81640625" style="105" customWidth="1"/>
    <col min="1287" max="1287" width="11" style="105" customWidth="1"/>
    <col min="1288" max="1288" width="11.7265625" style="105" customWidth="1"/>
    <col min="1289" max="1289" width="13.453125" style="105" customWidth="1"/>
    <col min="1290" max="1290" width="13.26953125" style="105" bestFit="1" customWidth="1"/>
    <col min="1291" max="1291" width="15.26953125" style="105" bestFit="1" customWidth="1"/>
    <col min="1292" max="1536" width="9.1796875" style="105"/>
    <col min="1537" max="1537" width="9" style="105" customWidth="1"/>
    <col min="1538" max="1538" width="20.54296875" style="105" customWidth="1"/>
    <col min="1539" max="1539" width="11.26953125" style="105" customWidth="1"/>
    <col min="1540" max="1540" width="17.54296875" style="105" customWidth="1"/>
    <col min="1541" max="1541" width="10.1796875" style="105" customWidth="1"/>
    <col min="1542" max="1542" width="8.81640625" style="105" customWidth="1"/>
    <col min="1543" max="1543" width="11" style="105" customWidth="1"/>
    <col min="1544" max="1544" width="11.7265625" style="105" customWidth="1"/>
    <col min="1545" max="1545" width="13.453125" style="105" customWidth="1"/>
    <col min="1546" max="1546" width="13.26953125" style="105" bestFit="1" customWidth="1"/>
    <col min="1547" max="1547" width="15.26953125" style="105" bestFit="1" customWidth="1"/>
    <col min="1548" max="1792" width="9.1796875" style="105"/>
    <col min="1793" max="1793" width="9" style="105" customWidth="1"/>
    <col min="1794" max="1794" width="20.54296875" style="105" customWidth="1"/>
    <col min="1795" max="1795" width="11.26953125" style="105" customWidth="1"/>
    <col min="1796" max="1796" width="17.54296875" style="105" customWidth="1"/>
    <col min="1797" max="1797" width="10.1796875" style="105" customWidth="1"/>
    <col min="1798" max="1798" width="8.81640625" style="105" customWidth="1"/>
    <col min="1799" max="1799" width="11" style="105" customWidth="1"/>
    <col min="1800" max="1800" width="11.7265625" style="105" customWidth="1"/>
    <col min="1801" max="1801" width="13.453125" style="105" customWidth="1"/>
    <col min="1802" max="1802" width="13.26953125" style="105" bestFit="1" customWidth="1"/>
    <col min="1803" max="1803" width="15.26953125" style="105" bestFit="1" customWidth="1"/>
    <col min="1804" max="2048" width="9.1796875" style="105"/>
    <col min="2049" max="2049" width="9" style="105" customWidth="1"/>
    <col min="2050" max="2050" width="20.54296875" style="105" customWidth="1"/>
    <col min="2051" max="2051" width="11.26953125" style="105" customWidth="1"/>
    <col min="2052" max="2052" width="17.54296875" style="105" customWidth="1"/>
    <col min="2053" max="2053" width="10.1796875" style="105" customWidth="1"/>
    <col min="2054" max="2054" width="8.81640625" style="105" customWidth="1"/>
    <col min="2055" max="2055" width="11" style="105" customWidth="1"/>
    <col min="2056" max="2056" width="11.7265625" style="105" customWidth="1"/>
    <col min="2057" max="2057" width="13.453125" style="105" customWidth="1"/>
    <col min="2058" max="2058" width="13.26953125" style="105" bestFit="1" customWidth="1"/>
    <col min="2059" max="2059" width="15.26953125" style="105" bestFit="1" customWidth="1"/>
    <col min="2060" max="2304" width="9.1796875" style="105"/>
    <col min="2305" max="2305" width="9" style="105" customWidth="1"/>
    <col min="2306" max="2306" width="20.54296875" style="105" customWidth="1"/>
    <col min="2307" max="2307" width="11.26953125" style="105" customWidth="1"/>
    <col min="2308" max="2308" width="17.54296875" style="105" customWidth="1"/>
    <col min="2309" max="2309" width="10.1796875" style="105" customWidth="1"/>
    <col min="2310" max="2310" width="8.81640625" style="105" customWidth="1"/>
    <col min="2311" max="2311" width="11" style="105" customWidth="1"/>
    <col min="2312" max="2312" width="11.7265625" style="105" customWidth="1"/>
    <col min="2313" max="2313" width="13.453125" style="105" customWidth="1"/>
    <col min="2314" max="2314" width="13.26953125" style="105" bestFit="1" customWidth="1"/>
    <col min="2315" max="2315" width="15.26953125" style="105" bestFit="1" customWidth="1"/>
    <col min="2316" max="2560" width="9.1796875" style="105"/>
    <col min="2561" max="2561" width="9" style="105" customWidth="1"/>
    <col min="2562" max="2562" width="20.54296875" style="105" customWidth="1"/>
    <col min="2563" max="2563" width="11.26953125" style="105" customWidth="1"/>
    <col min="2564" max="2564" width="17.54296875" style="105" customWidth="1"/>
    <col min="2565" max="2565" width="10.1796875" style="105" customWidth="1"/>
    <col min="2566" max="2566" width="8.81640625" style="105" customWidth="1"/>
    <col min="2567" max="2567" width="11" style="105" customWidth="1"/>
    <col min="2568" max="2568" width="11.7265625" style="105" customWidth="1"/>
    <col min="2569" max="2569" width="13.453125" style="105" customWidth="1"/>
    <col min="2570" max="2570" width="13.26953125" style="105" bestFit="1" customWidth="1"/>
    <col min="2571" max="2571" width="15.26953125" style="105" bestFit="1" customWidth="1"/>
    <col min="2572" max="2816" width="9.1796875" style="105"/>
    <col min="2817" max="2817" width="9" style="105" customWidth="1"/>
    <col min="2818" max="2818" width="20.54296875" style="105" customWidth="1"/>
    <col min="2819" max="2819" width="11.26953125" style="105" customWidth="1"/>
    <col min="2820" max="2820" width="17.54296875" style="105" customWidth="1"/>
    <col min="2821" max="2821" width="10.1796875" style="105" customWidth="1"/>
    <col min="2822" max="2822" width="8.81640625" style="105" customWidth="1"/>
    <col min="2823" max="2823" width="11" style="105" customWidth="1"/>
    <col min="2824" max="2824" width="11.7265625" style="105" customWidth="1"/>
    <col min="2825" max="2825" width="13.453125" style="105" customWidth="1"/>
    <col min="2826" max="2826" width="13.26953125" style="105" bestFit="1" customWidth="1"/>
    <col min="2827" max="2827" width="15.26953125" style="105" bestFit="1" customWidth="1"/>
    <col min="2828" max="3072" width="9.1796875" style="105"/>
    <col min="3073" max="3073" width="9" style="105" customWidth="1"/>
    <col min="3074" max="3074" width="20.54296875" style="105" customWidth="1"/>
    <col min="3075" max="3075" width="11.26953125" style="105" customWidth="1"/>
    <col min="3076" max="3076" width="17.54296875" style="105" customWidth="1"/>
    <col min="3077" max="3077" width="10.1796875" style="105" customWidth="1"/>
    <col min="3078" max="3078" width="8.81640625" style="105" customWidth="1"/>
    <col min="3079" max="3079" width="11" style="105" customWidth="1"/>
    <col min="3080" max="3080" width="11.7265625" style="105" customWidth="1"/>
    <col min="3081" max="3081" width="13.453125" style="105" customWidth="1"/>
    <col min="3082" max="3082" width="13.26953125" style="105" bestFit="1" customWidth="1"/>
    <col min="3083" max="3083" width="15.26953125" style="105" bestFit="1" customWidth="1"/>
    <col min="3084" max="3328" width="9.1796875" style="105"/>
    <col min="3329" max="3329" width="9" style="105" customWidth="1"/>
    <col min="3330" max="3330" width="20.54296875" style="105" customWidth="1"/>
    <col min="3331" max="3331" width="11.26953125" style="105" customWidth="1"/>
    <col min="3332" max="3332" width="17.54296875" style="105" customWidth="1"/>
    <col min="3333" max="3333" width="10.1796875" style="105" customWidth="1"/>
    <col min="3334" max="3334" width="8.81640625" style="105" customWidth="1"/>
    <col min="3335" max="3335" width="11" style="105" customWidth="1"/>
    <col min="3336" max="3336" width="11.7265625" style="105" customWidth="1"/>
    <col min="3337" max="3337" width="13.453125" style="105" customWidth="1"/>
    <col min="3338" max="3338" width="13.26953125" style="105" bestFit="1" customWidth="1"/>
    <col min="3339" max="3339" width="15.26953125" style="105" bestFit="1" customWidth="1"/>
    <col min="3340" max="3584" width="9.1796875" style="105"/>
    <col min="3585" max="3585" width="9" style="105" customWidth="1"/>
    <col min="3586" max="3586" width="20.54296875" style="105" customWidth="1"/>
    <col min="3587" max="3587" width="11.26953125" style="105" customWidth="1"/>
    <col min="3588" max="3588" width="17.54296875" style="105" customWidth="1"/>
    <col min="3589" max="3589" width="10.1796875" style="105" customWidth="1"/>
    <col min="3590" max="3590" width="8.81640625" style="105" customWidth="1"/>
    <col min="3591" max="3591" width="11" style="105" customWidth="1"/>
    <col min="3592" max="3592" width="11.7265625" style="105" customWidth="1"/>
    <col min="3593" max="3593" width="13.453125" style="105" customWidth="1"/>
    <col min="3594" max="3594" width="13.26953125" style="105" bestFit="1" customWidth="1"/>
    <col min="3595" max="3595" width="15.26953125" style="105" bestFit="1" customWidth="1"/>
    <col min="3596" max="3840" width="9.1796875" style="105"/>
    <col min="3841" max="3841" width="9" style="105" customWidth="1"/>
    <col min="3842" max="3842" width="20.54296875" style="105" customWidth="1"/>
    <col min="3843" max="3843" width="11.26953125" style="105" customWidth="1"/>
    <col min="3844" max="3844" width="17.54296875" style="105" customWidth="1"/>
    <col min="3845" max="3845" width="10.1796875" style="105" customWidth="1"/>
    <col min="3846" max="3846" width="8.81640625" style="105" customWidth="1"/>
    <col min="3847" max="3847" width="11" style="105" customWidth="1"/>
    <col min="3848" max="3848" width="11.7265625" style="105" customWidth="1"/>
    <col min="3849" max="3849" width="13.453125" style="105" customWidth="1"/>
    <col min="3850" max="3850" width="13.26953125" style="105" bestFit="1" customWidth="1"/>
    <col min="3851" max="3851" width="15.26953125" style="105" bestFit="1" customWidth="1"/>
    <col min="3852" max="4096" width="9.1796875" style="105"/>
    <col min="4097" max="4097" width="9" style="105" customWidth="1"/>
    <col min="4098" max="4098" width="20.54296875" style="105" customWidth="1"/>
    <col min="4099" max="4099" width="11.26953125" style="105" customWidth="1"/>
    <col min="4100" max="4100" width="17.54296875" style="105" customWidth="1"/>
    <col min="4101" max="4101" width="10.1796875" style="105" customWidth="1"/>
    <col min="4102" max="4102" width="8.81640625" style="105" customWidth="1"/>
    <col min="4103" max="4103" width="11" style="105" customWidth="1"/>
    <col min="4104" max="4104" width="11.7265625" style="105" customWidth="1"/>
    <col min="4105" max="4105" width="13.453125" style="105" customWidth="1"/>
    <col min="4106" max="4106" width="13.26953125" style="105" bestFit="1" customWidth="1"/>
    <col min="4107" max="4107" width="15.26953125" style="105" bestFit="1" customWidth="1"/>
    <col min="4108" max="4352" width="9.1796875" style="105"/>
    <col min="4353" max="4353" width="9" style="105" customWidth="1"/>
    <col min="4354" max="4354" width="20.54296875" style="105" customWidth="1"/>
    <col min="4355" max="4355" width="11.26953125" style="105" customWidth="1"/>
    <col min="4356" max="4356" width="17.54296875" style="105" customWidth="1"/>
    <col min="4357" max="4357" width="10.1796875" style="105" customWidth="1"/>
    <col min="4358" max="4358" width="8.81640625" style="105" customWidth="1"/>
    <col min="4359" max="4359" width="11" style="105" customWidth="1"/>
    <col min="4360" max="4360" width="11.7265625" style="105" customWidth="1"/>
    <col min="4361" max="4361" width="13.453125" style="105" customWidth="1"/>
    <col min="4362" max="4362" width="13.26953125" style="105" bestFit="1" customWidth="1"/>
    <col min="4363" max="4363" width="15.26953125" style="105" bestFit="1" customWidth="1"/>
    <col min="4364" max="4608" width="9.1796875" style="105"/>
    <col min="4609" max="4609" width="9" style="105" customWidth="1"/>
    <col min="4610" max="4610" width="20.54296875" style="105" customWidth="1"/>
    <col min="4611" max="4611" width="11.26953125" style="105" customWidth="1"/>
    <col min="4612" max="4612" width="17.54296875" style="105" customWidth="1"/>
    <col min="4613" max="4613" width="10.1796875" style="105" customWidth="1"/>
    <col min="4614" max="4614" width="8.81640625" style="105" customWidth="1"/>
    <col min="4615" max="4615" width="11" style="105" customWidth="1"/>
    <col min="4616" max="4616" width="11.7265625" style="105" customWidth="1"/>
    <col min="4617" max="4617" width="13.453125" style="105" customWidth="1"/>
    <col min="4618" max="4618" width="13.26953125" style="105" bestFit="1" customWidth="1"/>
    <col min="4619" max="4619" width="15.26953125" style="105" bestFit="1" customWidth="1"/>
    <col min="4620" max="4864" width="9.1796875" style="105"/>
    <col min="4865" max="4865" width="9" style="105" customWidth="1"/>
    <col min="4866" max="4866" width="20.54296875" style="105" customWidth="1"/>
    <col min="4867" max="4867" width="11.26953125" style="105" customWidth="1"/>
    <col min="4868" max="4868" width="17.54296875" style="105" customWidth="1"/>
    <col min="4869" max="4869" width="10.1796875" style="105" customWidth="1"/>
    <col min="4870" max="4870" width="8.81640625" style="105" customWidth="1"/>
    <col min="4871" max="4871" width="11" style="105" customWidth="1"/>
    <col min="4872" max="4872" width="11.7265625" style="105" customWidth="1"/>
    <col min="4873" max="4873" width="13.453125" style="105" customWidth="1"/>
    <col min="4874" max="4874" width="13.26953125" style="105" bestFit="1" customWidth="1"/>
    <col min="4875" max="4875" width="15.26953125" style="105" bestFit="1" customWidth="1"/>
    <col min="4876" max="5120" width="9.1796875" style="105"/>
    <col min="5121" max="5121" width="9" style="105" customWidth="1"/>
    <col min="5122" max="5122" width="20.54296875" style="105" customWidth="1"/>
    <col min="5123" max="5123" width="11.26953125" style="105" customWidth="1"/>
    <col min="5124" max="5124" width="17.54296875" style="105" customWidth="1"/>
    <col min="5125" max="5125" width="10.1796875" style="105" customWidth="1"/>
    <col min="5126" max="5126" width="8.81640625" style="105" customWidth="1"/>
    <col min="5127" max="5127" width="11" style="105" customWidth="1"/>
    <col min="5128" max="5128" width="11.7265625" style="105" customWidth="1"/>
    <col min="5129" max="5129" width="13.453125" style="105" customWidth="1"/>
    <col min="5130" max="5130" width="13.26953125" style="105" bestFit="1" customWidth="1"/>
    <col min="5131" max="5131" width="15.26953125" style="105" bestFit="1" customWidth="1"/>
    <col min="5132" max="5376" width="9.1796875" style="105"/>
    <col min="5377" max="5377" width="9" style="105" customWidth="1"/>
    <col min="5378" max="5378" width="20.54296875" style="105" customWidth="1"/>
    <col min="5379" max="5379" width="11.26953125" style="105" customWidth="1"/>
    <col min="5380" max="5380" width="17.54296875" style="105" customWidth="1"/>
    <col min="5381" max="5381" width="10.1796875" style="105" customWidth="1"/>
    <col min="5382" max="5382" width="8.81640625" style="105" customWidth="1"/>
    <col min="5383" max="5383" width="11" style="105" customWidth="1"/>
    <col min="5384" max="5384" width="11.7265625" style="105" customWidth="1"/>
    <col min="5385" max="5385" width="13.453125" style="105" customWidth="1"/>
    <col min="5386" max="5386" width="13.26953125" style="105" bestFit="1" customWidth="1"/>
    <col min="5387" max="5387" width="15.26953125" style="105" bestFit="1" customWidth="1"/>
    <col min="5388" max="5632" width="9.1796875" style="105"/>
    <col min="5633" max="5633" width="9" style="105" customWidth="1"/>
    <col min="5634" max="5634" width="20.54296875" style="105" customWidth="1"/>
    <col min="5635" max="5635" width="11.26953125" style="105" customWidth="1"/>
    <col min="5636" max="5636" width="17.54296875" style="105" customWidth="1"/>
    <col min="5637" max="5637" width="10.1796875" style="105" customWidth="1"/>
    <col min="5638" max="5638" width="8.81640625" style="105" customWidth="1"/>
    <col min="5639" max="5639" width="11" style="105" customWidth="1"/>
    <col min="5640" max="5640" width="11.7265625" style="105" customWidth="1"/>
    <col min="5641" max="5641" width="13.453125" style="105" customWidth="1"/>
    <col min="5642" max="5642" width="13.26953125" style="105" bestFit="1" customWidth="1"/>
    <col min="5643" max="5643" width="15.26953125" style="105" bestFit="1" customWidth="1"/>
    <col min="5644" max="5888" width="9.1796875" style="105"/>
    <col min="5889" max="5889" width="9" style="105" customWidth="1"/>
    <col min="5890" max="5890" width="20.54296875" style="105" customWidth="1"/>
    <col min="5891" max="5891" width="11.26953125" style="105" customWidth="1"/>
    <col min="5892" max="5892" width="17.54296875" style="105" customWidth="1"/>
    <col min="5893" max="5893" width="10.1796875" style="105" customWidth="1"/>
    <col min="5894" max="5894" width="8.81640625" style="105" customWidth="1"/>
    <col min="5895" max="5895" width="11" style="105" customWidth="1"/>
    <col min="5896" max="5896" width="11.7265625" style="105" customWidth="1"/>
    <col min="5897" max="5897" width="13.453125" style="105" customWidth="1"/>
    <col min="5898" max="5898" width="13.26953125" style="105" bestFit="1" customWidth="1"/>
    <col min="5899" max="5899" width="15.26953125" style="105" bestFit="1" customWidth="1"/>
    <col min="5900" max="6144" width="9.1796875" style="105"/>
    <col min="6145" max="6145" width="9" style="105" customWidth="1"/>
    <col min="6146" max="6146" width="20.54296875" style="105" customWidth="1"/>
    <col min="6147" max="6147" width="11.26953125" style="105" customWidth="1"/>
    <col min="6148" max="6148" width="17.54296875" style="105" customWidth="1"/>
    <col min="6149" max="6149" width="10.1796875" style="105" customWidth="1"/>
    <col min="6150" max="6150" width="8.81640625" style="105" customWidth="1"/>
    <col min="6151" max="6151" width="11" style="105" customWidth="1"/>
    <col min="6152" max="6152" width="11.7265625" style="105" customWidth="1"/>
    <col min="6153" max="6153" width="13.453125" style="105" customWidth="1"/>
    <col min="6154" max="6154" width="13.26953125" style="105" bestFit="1" customWidth="1"/>
    <col min="6155" max="6155" width="15.26953125" style="105" bestFit="1" customWidth="1"/>
    <col min="6156" max="6400" width="9.1796875" style="105"/>
    <col min="6401" max="6401" width="9" style="105" customWidth="1"/>
    <col min="6402" max="6402" width="20.54296875" style="105" customWidth="1"/>
    <col min="6403" max="6403" width="11.26953125" style="105" customWidth="1"/>
    <col min="6404" max="6404" width="17.54296875" style="105" customWidth="1"/>
    <col min="6405" max="6405" width="10.1796875" style="105" customWidth="1"/>
    <col min="6406" max="6406" width="8.81640625" style="105" customWidth="1"/>
    <col min="6407" max="6407" width="11" style="105" customWidth="1"/>
    <col min="6408" max="6408" width="11.7265625" style="105" customWidth="1"/>
    <col min="6409" max="6409" width="13.453125" style="105" customWidth="1"/>
    <col min="6410" max="6410" width="13.26953125" style="105" bestFit="1" customWidth="1"/>
    <col min="6411" max="6411" width="15.26953125" style="105" bestFit="1" customWidth="1"/>
    <col min="6412" max="6656" width="9.1796875" style="105"/>
    <col min="6657" max="6657" width="9" style="105" customWidth="1"/>
    <col min="6658" max="6658" width="20.54296875" style="105" customWidth="1"/>
    <col min="6659" max="6659" width="11.26953125" style="105" customWidth="1"/>
    <col min="6660" max="6660" width="17.54296875" style="105" customWidth="1"/>
    <col min="6661" max="6661" width="10.1796875" style="105" customWidth="1"/>
    <col min="6662" max="6662" width="8.81640625" style="105" customWidth="1"/>
    <col min="6663" max="6663" width="11" style="105" customWidth="1"/>
    <col min="6664" max="6664" width="11.7265625" style="105" customWidth="1"/>
    <col min="6665" max="6665" width="13.453125" style="105" customWidth="1"/>
    <col min="6666" max="6666" width="13.26953125" style="105" bestFit="1" customWidth="1"/>
    <col min="6667" max="6667" width="15.26953125" style="105" bestFit="1" customWidth="1"/>
    <col min="6668" max="6912" width="9.1796875" style="105"/>
    <col min="6913" max="6913" width="9" style="105" customWidth="1"/>
    <col min="6914" max="6914" width="20.54296875" style="105" customWidth="1"/>
    <col min="6915" max="6915" width="11.26953125" style="105" customWidth="1"/>
    <col min="6916" max="6916" width="17.54296875" style="105" customWidth="1"/>
    <col min="6917" max="6917" width="10.1796875" style="105" customWidth="1"/>
    <col min="6918" max="6918" width="8.81640625" style="105" customWidth="1"/>
    <col min="6919" max="6919" width="11" style="105" customWidth="1"/>
    <col min="6920" max="6920" width="11.7265625" style="105" customWidth="1"/>
    <col min="6921" max="6921" width="13.453125" style="105" customWidth="1"/>
    <col min="6922" max="6922" width="13.26953125" style="105" bestFit="1" customWidth="1"/>
    <col min="6923" max="6923" width="15.26953125" style="105" bestFit="1" customWidth="1"/>
    <col min="6924" max="7168" width="9.1796875" style="105"/>
    <col min="7169" max="7169" width="9" style="105" customWidth="1"/>
    <col min="7170" max="7170" width="20.54296875" style="105" customWidth="1"/>
    <col min="7171" max="7171" width="11.26953125" style="105" customWidth="1"/>
    <col min="7172" max="7172" width="17.54296875" style="105" customWidth="1"/>
    <col min="7173" max="7173" width="10.1796875" style="105" customWidth="1"/>
    <col min="7174" max="7174" width="8.81640625" style="105" customWidth="1"/>
    <col min="7175" max="7175" width="11" style="105" customWidth="1"/>
    <col min="7176" max="7176" width="11.7265625" style="105" customWidth="1"/>
    <col min="7177" max="7177" width="13.453125" style="105" customWidth="1"/>
    <col min="7178" max="7178" width="13.26953125" style="105" bestFit="1" customWidth="1"/>
    <col min="7179" max="7179" width="15.26953125" style="105" bestFit="1" customWidth="1"/>
    <col min="7180" max="7424" width="9.1796875" style="105"/>
    <col min="7425" max="7425" width="9" style="105" customWidth="1"/>
    <col min="7426" max="7426" width="20.54296875" style="105" customWidth="1"/>
    <col min="7427" max="7427" width="11.26953125" style="105" customWidth="1"/>
    <col min="7428" max="7428" width="17.54296875" style="105" customWidth="1"/>
    <col min="7429" max="7429" width="10.1796875" style="105" customWidth="1"/>
    <col min="7430" max="7430" width="8.81640625" style="105" customWidth="1"/>
    <col min="7431" max="7431" width="11" style="105" customWidth="1"/>
    <col min="7432" max="7432" width="11.7265625" style="105" customWidth="1"/>
    <col min="7433" max="7433" width="13.453125" style="105" customWidth="1"/>
    <col min="7434" max="7434" width="13.26953125" style="105" bestFit="1" customWidth="1"/>
    <col min="7435" max="7435" width="15.26953125" style="105" bestFit="1" customWidth="1"/>
    <col min="7436" max="7680" width="9.1796875" style="105"/>
    <col min="7681" max="7681" width="9" style="105" customWidth="1"/>
    <col min="7682" max="7682" width="20.54296875" style="105" customWidth="1"/>
    <col min="7683" max="7683" width="11.26953125" style="105" customWidth="1"/>
    <col min="7684" max="7684" width="17.54296875" style="105" customWidth="1"/>
    <col min="7685" max="7685" width="10.1796875" style="105" customWidth="1"/>
    <col min="7686" max="7686" width="8.81640625" style="105" customWidth="1"/>
    <col min="7687" max="7687" width="11" style="105" customWidth="1"/>
    <col min="7688" max="7688" width="11.7265625" style="105" customWidth="1"/>
    <col min="7689" max="7689" width="13.453125" style="105" customWidth="1"/>
    <col min="7690" max="7690" width="13.26953125" style="105" bestFit="1" customWidth="1"/>
    <col min="7691" max="7691" width="15.26953125" style="105" bestFit="1" customWidth="1"/>
    <col min="7692" max="7936" width="9.1796875" style="105"/>
    <col min="7937" max="7937" width="9" style="105" customWidth="1"/>
    <col min="7938" max="7938" width="20.54296875" style="105" customWidth="1"/>
    <col min="7939" max="7939" width="11.26953125" style="105" customWidth="1"/>
    <col min="7940" max="7940" width="17.54296875" style="105" customWidth="1"/>
    <col min="7941" max="7941" width="10.1796875" style="105" customWidth="1"/>
    <col min="7942" max="7942" width="8.81640625" style="105" customWidth="1"/>
    <col min="7943" max="7943" width="11" style="105" customWidth="1"/>
    <col min="7944" max="7944" width="11.7265625" style="105" customWidth="1"/>
    <col min="7945" max="7945" width="13.453125" style="105" customWidth="1"/>
    <col min="7946" max="7946" width="13.26953125" style="105" bestFit="1" customWidth="1"/>
    <col min="7947" max="7947" width="15.26953125" style="105" bestFit="1" customWidth="1"/>
    <col min="7948" max="8192" width="9.1796875" style="105"/>
    <col min="8193" max="8193" width="9" style="105" customWidth="1"/>
    <col min="8194" max="8194" width="20.54296875" style="105" customWidth="1"/>
    <col min="8195" max="8195" width="11.26953125" style="105" customWidth="1"/>
    <col min="8196" max="8196" width="17.54296875" style="105" customWidth="1"/>
    <col min="8197" max="8197" width="10.1796875" style="105" customWidth="1"/>
    <col min="8198" max="8198" width="8.81640625" style="105" customWidth="1"/>
    <col min="8199" max="8199" width="11" style="105" customWidth="1"/>
    <col min="8200" max="8200" width="11.7265625" style="105" customWidth="1"/>
    <col min="8201" max="8201" width="13.453125" style="105" customWidth="1"/>
    <col min="8202" max="8202" width="13.26953125" style="105" bestFit="1" customWidth="1"/>
    <col min="8203" max="8203" width="15.26953125" style="105" bestFit="1" customWidth="1"/>
    <col min="8204" max="8448" width="9.1796875" style="105"/>
    <col min="8449" max="8449" width="9" style="105" customWidth="1"/>
    <col min="8450" max="8450" width="20.54296875" style="105" customWidth="1"/>
    <col min="8451" max="8451" width="11.26953125" style="105" customWidth="1"/>
    <col min="8452" max="8452" width="17.54296875" style="105" customWidth="1"/>
    <col min="8453" max="8453" width="10.1796875" style="105" customWidth="1"/>
    <col min="8454" max="8454" width="8.81640625" style="105" customWidth="1"/>
    <col min="8455" max="8455" width="11" style="105" customWidth="1"/>
    <col min="8456" max="8456" width="11.7265625" style="105" customWidth="1"/>
    <col min="8457" max="8457" width="13.453125" style="105" customWidth="1"/>
    <col min="8458" max="8458" width="13.26953125" style="105" bestFit="1" customWidth="1"/>
    <col min="8459" max="8459" width="15.26953125" style="105" bestFit="1" customWidth="1"/>
    <col min="8460" max="8704" width="9.1796875" style="105"/>
    <col min="8705" max="8705" width="9" style="105" customWidth="1"/>
    <col min="8706" max="8706" width="20.54296875" style="105" customWidth="1"/>
    <col min="8707" max="8707" width="11.26953125" style="105" customWidth="1"/>
    <col min="8708" max="8708" width="17.54296875" style="105" customWidth="1"/>
    <col min="8709" max="8709" width="10.1796875" style="105" customWidth="1"/>
    <col min="8710" max="8710" width="8.81640625" style="105" customWidth="1"/>
    <col min="8711" max="8711" width="11" style="105" customWidth="1"/>
    <col min="8712" max="8712" width="11.7265625" style="105" customWidth="1"/>
    <col min="8713" max="8713" width="13.453125" style="105" customWidth="1"/>
    <col min="8714" max="8714" width="13.26953125" style="105" bestFit="1" customWidth="1"/>
    <col min="8715" max="8715" width="15.26953125" style="105" bestFit="1" customWidth="1"/>
    <col min="8716" max="8960" width="9.1796875" style="105"/>
    <col min="8961" max="8961" width="9" style="105" customWidth="1"/>
    <col min="8962" max="8962" width="20.54296875" style="105" customWidth="1"/>
    <col min="8963" max="8963" width="11.26953125" style="105" customWidth="1"/>
    <col min="8964" max="8964" width="17.54296875" style="105" customWidth="1"/>
    <col min="8965" max="8965" width="10.1796875" style="105" customWidth="1"/>
    <col min="8966" max="8966" width="8.81640625" style="105" customWidth="1"/>
    <col min="8967" max="8967" width="11" style="105" customWidth="1"/>
    <col min="8968" max="8968" width="11.7265625" style="105" customWidth="1"/>
    <col min="8969" max="8969" width="13.453125" style="105" customWidth="1"/>
    <col min="8970" max="8970" width="13.26953125" style="105" bestFit="1" customWidth="1"/>
    <col min="8971" max="8971" width="15.26953125" style="105" bestFit="1" customWidth="1"/>
    <col min="8972" max="9216" width="9.1796875" style="105"/>
    <col min="9217" max="9217" width="9" style="105" customWidth="1"/>
    <col min="9218" max="9218" width="20.54296875" style="105" customWidth="1"/>
    <col min="9219" max="9219" width="11.26953125" style="105" customWidth="1"/>
    <col min="9220" max="9220" width="17.54296875" style="105" customWidth="1"/>
    <col min="9221" max="9221" width="10.1796875" style="105" customWidth="1"/>
    <col min="9222" max="9222" width="8.81640625" style="105" customWidth="1"/>
    <col min="9223" max="9223" width="11" style="105" customWidth="1"/>
    <col min="9224" max="9224" width="11.7265625" style="105" customWidth="1"/>
    <col min="9225" max="9225" width="13.453125" style="105" customWidth="1"/>
    <col min="9226" max="9226" width="13.26953125" style="105" bestFit="1" customWidth="1"/>
    <col min="9227" max="9227" width="15.26953125" style="105" bestFit="1" customWidth="1"/>
    <col min="9228" max="9472" width="9.1796875" style="105"/>
    <col min="9473" max="9473" width="9" style="105" customWidth="1"/>
    <col min="9474" max="9474" width="20.54296875" style="105" customWidth="1"/>
    <col min="9475" max="9475" width="11.26953125" style="105" customWidth="1"/>
    <col min="9476" max="9476" width="17.54296875" style="105" customWidth="1"/>
    <col min="9477" max="9477" width="10.1796875" style="105" customWidth="1"/>
    <col min="9478" max="9478" width="8.81640625" style="105" customWidth="1"/>
    <col min="9479" max="9479" width="11" style="105" customWidth="1"/>
    <col min="9480" max="9480" width="11.7265625" style="105" customWidth="1"/>
    <col min="9481" max="9481" width="13.453125" style="105" customWidth="1"/>
    <col min="9482" max="9482" width="13.26953125" style="105" bestFit="1" customWidth="1"/>
    <col min="9483" max="9483" width="15.26953125" style="105" bestFit="1" customWidth="1"/>
    <col min="9484" max="9728" width="9.1796875" style="105"/>
    <col min="9729" max="9729" width="9" style="105" customWidth="1"/>
    <col min="9730" max="9730" width="20.54296875" style="105" customWidth="1"/>
    <col min="9731" max="9731" width="11.26953125" style="105" customWidth="1"/>
    <col min="9732" max="9732" width="17.54296875" style="105" customWidth="1"/>
    <col min="9733" max="9733" width="10.1796875" style="105" customWidth="1"/>
    <col min="9734" max="9734" width="8.81640625" style="105" customWidth="1"/>
    <col min="9735" max="9735" width="11" style="105" customWidth="1"/>
    <col min="9736" max="9736" width="11.7265625" style="105" customWidth="1"/>
    <col min="9737" max="9737" width="13.453125" style="105" customWidth="1"/>
    <col min="9738" max="9738" width="13.26953125" style="105" bestFit="1" customWidth="1"/>
    <col min="9739" max="9739" width="15.26953125" style="105" bestFit="1" customWidth="1"/>
    <col min="9740" max="9984" width="9.1796875" style="105"/>
    <col min="9985" max="9985" width="9" style="105" customWidth="1"/>
    <col min="9986" max="9986" width="20.54296875" style="105" customWidth="1"/>
    <col min="9987" max="9987" width="11.26953125" style="105" customWidth="1"/>
    <col min="9988" max="9988" width="17.54296875" style="105" customWidth="1"/>
    <col min="9989" max="9989" width="10.1796875" style="105" customWidth="1"/>
    <col min="9990" max="9990" width="8.81640625" style="105" customWidth="1"/>
    <col min="9991" max="9991" width="11" style="105" customWidth="1"/>
    <col min="9992" max="9992" width="11.7265625" style="105" customWidth="1"/>
    <col min="9993" max="9993" width="13.453125" style="105" customWidth="1"/>
    <col min="9994" max="9994" width="13.26953125" style="105" bestFit="1" customWidth="1"/>
    <col min="9995" max="9995" width="15.26953125" style="105" bestFit="1" customWidth="1"/>
    <col min="9996" max="10240" width="9.1796875" style="105"/>
    <col min="10241" max="10241" width="9" style="105" customWidth="1"/>
    <col min="10242" max="10242" width="20.54296875" style="105" customWidth="1"/>
    <col min="10243" max="10243" width="11.26953125" style="105" customWidth="1"/>
    <col min="10244" max="10244" width="17.54296875" style="105" customWidth="1"/>
    <col min="10245" max="10245" width="10.1796875" style="105" customWidth="1"/>
    <col min="10246" max="10246" width="8.81640625" style="105" customWidth="1"/>
    <col min="10247" max="10247" width="11" style="105" customWidth="1"/>
    <col min="10248" max="10248" width="11.7265625" style="105" customWidth="1"/>
    <col min="10249" max="10249" width="13.453125" style="105" customWidth="1"/>
    <col min="10250" max="10250" width="13.26953125" style="105" bestFit="1" customWidth="1"/>
    <col min="10251" max="10251" width="15.26953125" style="105" bestFit="1" customWidth="1"/>
    <col min="10252" max="10496" width="9.1796875" style="105"/>
    <col min="10497" max="10497" width="9" style="105" customWidth="1"/>
    <col min="10498" max="10498" width="20.54296875" style="105" customWidth="1"/>
    <col min="10499" max="10499" width="11.26953125" style="105" customWidth="1"/>
    <col min="10500" max="10500" width="17.54296875" style="105" customWidth="1"/>
    <col min="10501" max="10501" width="10.1796875" style="105" customWidth="1"/>
    <col min="10502" max="10502" width="8.81640625" style="105" customWidth="1"/>
    <col min="10503" max="10503" width="11" style="105" customWidth="1"/>
    <col min="10504" max="10504" width="11.7265625" style="105" customWidth="1"/>
    <col min="10505" max="10505" width="13.453125" style="105" customWidth="1"/>
    <col min="10506" max="10506" width="13.26953125" style="105" bestFit="1" customWidth="1"/>
    <col min="10507" max="10507" width="15.26953125" style="105" bestFit="1" customWidth="1"/>
    <col min="10508" max="10752" width="9.1796875" style="105"/>
    <col min="10753" max="10753" width="9" style="105" customWidth="1"/>
    <col min="10754" max="10754" width="20.54296875" style="105" customWidth="1"/>
    <col min="10755" max="10755" width="11.26953125" style="105" customWidth="1"/>
    <col min="10756" max="10756" width="17.54296875" style="105" customWidth="1"/>
    <col min="10757" max="10757" width="10.1796875" style="105" customWidth="1"/>
    <col min="10758" max="10758" width="8.81640625" style="105" customWidth="1"/>
    <col min="10759" max="10759" width="11" style="105" customWidth="1"/>
    <col min="10760" max="10760" width="11.7265625" style="105" customWidth="1"/>
    <col min="10761" max="10761" width="13.453125" style="105" customWidth="1"/>
    <col min="10762" max="10762" width="13.26953125" style="105" bestFit="1" customWidth="1"/>
    <col min="10763" max="10763" width="15.26953125" style="105" bestFit="1" customWidth="1"/>
    <col min="10764" max="11008" width="9.1796875" style="105"/>
    <col min="11009" max="11009" width="9" style="105" customWidth="1"/>
    <col min="11010" max="11010" width="20.54296875" style="105" customWidth="1"/>
    <col min="11011" max="11011" width="11.26953125" style="105" customWidth="1"/>
    <col min="11012" max="11012" width="17.54296875" style="105" customWidth="1"/>
    <col min="11013" max="11013" width="10.1796875" style="105" customWidth="1"/>
    <col min="11014" max="11014" width="8.81640625" style="105" customWidth="1"/>
    <col min="11015" max="11015" width="11" style="105" customWidth="1"/>
    <col min="11016" max="11016" width="11.7265625" style="105" customWidth="1"/>
    <col min="11017" max="11017" width="13.453125" style="105" customWidth="1"/>
    <col min="11018" max="11018" width="13.26953125" style="105" bestFit="1" customWidth="1"/>
    <col min="11019" max="11019" width="15.26953125" style="105" bestFit="1" customWidth="1"/>
    <col min="11020" max="11264" width="9.1796875" style="105"/>
    <col min="11265" max="11265" width="9" style="105" customWidth="1"/>
    <col min="11266" max="11266" width="20.54296875" style="105" customWidth="1"/>
    <col min="11267" max="11267" width="11.26953125" style="105" customWidth="1"/>
    <col min="11268" max="11268" width="17.54296875" style="105" customWidth="1"/>
    <col min="11269" max="11269" width="10.1796875" style="105" customWidth="1"/>
    <col min="11270" max="11270" width="8.81640625" style="105" customWidth="1"/>
    <col min="11271" max="11271" width="11" style="105" customWidth="1"/>
    <col min="11272" max="11272" width="11.7265625" style="105" customWidth="1"/>
    <col min="11273" max="11273" width="13.453125" style="105" customWidth="1"/>
    <col min="11274" max="11274" width="13.26953125" style="105" bestFit="1" customWidth="1"/>
    <col min="11275" max="11275" width="15.26953125" style="105" bestFit="1" customWidth="1"/>
    <col min="11276" max="11520" width="9.1796875" style="105"/>
    <col min="11521" max="11521" width="9" style="105" customWidth="1"/>
    <col min="11522" max="11522" width="20.54296875" style="105" customWidth="1"/>
    <col min="11523" max="11523" width="11.26953125" style="105" customWidth="1"/>
    <col min="11524" max="11524" width="17.54296875" style="105" customWidth="1"/>
    <col min="11525" max="11525" width="10.1796875" style="105" customWidth="1"/>
    <col min="11526" max="11526" width="8.81640625" style="105" customWidth="1"/>
    <col min="11527" max="11527" width="11" style="105" customWidth="1"/>
    <col min="11528" max="11528" width="11.7265625" style="105" customWidth="1"/>
    <col min="11529" max="11529" width="13.453125" style="105" customWidth="1"/>
    <col min="11530" max="11530" width="13.26953125" style="105" bestFit="1" customWidth="1"/>
    <col min="11531" max="11531" width="15.26953125" style="105" bestFit="1" customWidth="1"/>
    <col min="11532" max="11776" width="9.1796875" style="105"/>
    <col min="11777" max="11777" width="9" style="105" customWidth="1"/>
    <col min="11778" max="11778" width="20.54296875" style="105" customWidth="1"/>
    <col min="11779" max="11779" width="11.26953125" style="105" customWidth="1"/>
    <col min="11780" max="11780" width="17.54296875" style="105" customWidth="1"/>
    <col min="11781" max="11781" width="10.1796875" style="105" customWidth="1"/>
    <col min="11782" max="11782" width="8.81640625" style="105" customWidth="1"/>
    <col min="11783" max="11783" width="11" style="105" customWidth="1"/>
    <col min="11784" max="11784" width="11.7265625" style="105" customWidth="1"/>
    <col min="11785" max="11785" width="13.453125" style="105" customWidth="1"/>
    <col min="11786" max="11786" width="13.26953125" style="105" bestFit="1" customWidth="1"/>
    <col min="11787" max="11787" width="15.26953125" style="105" bestFit="1" customWidth="1"/>
    <col min="11788" max="12032" width="9.1796875" style="105"/>
    <col min="12033" max="12033" width="9" style="105" customWidth="1"/>
    <col min="12034" max="12034" width="20.54296875" style="105" customWidth="1"/>
    <col min="12035" max="12035" width="11.26953125" style="105" customWidth="1"/>
    <col min="12036" max="12036" width="17.54296875" style="105" customWidth="1"/>
    <col min="12037" max="12037" width="10.1796875" style="105" customWidth="1"/>
    <col min="12038" max="12038" width="8.81640625" style="105" customWidth="1"/>
    <col min="12039" max="12039" width="11" style="105" customWidth="1"/>
    <col min="12040" max="12040" width="11.7265625" style="105" customWidth="1"/>
    <col min="12041" max="12041" width="13.453125" style="105" customWidth="1"/>
    <col min="12042" max="12042" width="13.26953125" style="105" bestFit="1" customWidth="1"/>
    <col min="12043" max="12043" width="15.26953125" style="105" bestFit="1" customWidth="1"/>
    <col min="12044" max="12288" width="9.1796875" style="105"/>
    <col min="12289" max="12289" width="9" style="105" customWidth="1"/>
    <col min="12290" max="12290" width="20.54296875" style="105" customWidth="1"/>
    <col min="12291" max="12291" width="11.26953125" style="105" customWidth="1"/>
    <col min="12292" max="12292" width="17.54296875" style="105" customWidth="1"/>
    <col min="12293" max="12293" width="10.1796875" style="105" customWidth="1"/>
    <col min="12294" max="12294" width="8.81640625" style="105" customWidth="1"/>
    <col min="12295" max="12295" width="11" style="105" customWidth="1"/>
    <col min="12296" max="12296" width="11.7265625" style="105" customWidth="1"/>
    <col min="12297" max="12297" width="13.453125" style="105" customWidth="1"/>
    <col min="12298" max="12298" width="13.26953125" style="105" bestFit="1" customWidth="1"/>
    <col min="12299" max="12299" width="15.26953125" style="105" bestFit="1" customWidth="1"/>
    <col min="12300" max="12544" width="9.1796875" style="105"/>
    <col min="12545" max="12545" width="9" style="105" customWidth="1"/>
    <col min="12546" max="12546" width="20.54296875" style="105" customWidth="1"/>
    <col min="12547" max="12547" width="11.26953125" style="105" customWidth="1"/>
    <col min="12548" max="12548" width="17.54296875" style="105" customWidth="1"/>
    <col min="12549" max="12549" width="10.1796875" style="105" customWidth="1"/>
    <col min="12550" max="12550" width="8.81640625" style="105" customWidth="1"/>
    <col min="12551" max="12551" width="11" style="105" customWidth="1"/>
    <col min="12552" max="12552" width="11.7265625" style="105" customWidth="1"/>
    <col min="12553" max="12553" width="13.453125" style="105" customWidth="1"/>
    <col min="12554" max="12554" width="13.26953125" style="105" bestFit="1" customWidth="1"/>
    <col min="12555" max="12555" width="15.26953125" style="105" bestFit="1" customWidth="1"/>
    <col min="12556" max="12800" width="9.1796875" style="105"/>
    <col min="12801" max="12801" width="9" style="105" customWidth="1"/>
    <col min="12802" max="12802" width="20.54296875" style="105" customWidth="1"/>
    <col min="12803" max="12803" width="11.26953125" style="105" customWidth="1"/>
    <col min="12804" max="12804" width="17.54296875" style="105" customWidth="1"/>
    <col min="12805" max="12805" width="10.1796875" style="105" customWidth="1"/>
    <col min="12806" max="12806" width="8.81640625" style="105" customWidth="1"/>
    <col min="12807" max="12807" width="11" style="105" customWidth="1"/>
    <col min="12808" max="12808" width="11.7265625" style="105" customWidth="1"/>
    <col min="12809" max="12809" width="13.453125" style="105" customWidth="1"/>
    <col min="12810" max="12810" width="13.26953125" style="105" bestFit="1" customWidth="1"/>
    <col min="12811" max="12811" width="15.26953125" style="105" bestFit="1" customWidth="1"/>
    <col min="12812" max="13056" width="9.1796875" style="105"/>
    <col min="13057" max="13057" width="9" style="105" customWidth="1"/>
    <col min="13058" max="13058" width="20.54296875" style="105" customWidth="1"/>
    <col min="13059" max="13059" width="11.26953125" style="105" customWidth="1"/>
    <col min="13060" max="13060" width="17.54296875" style="105" customWidth="1"/>
    <col min="13061" max="13061" width="10.1796875" style="105" customWidth="1"/>
    <col min="13062" max="13062" width="8.81640625" style="105" customWidth="1"/>
    <col min="13063" max="13063" width="11" style="105" customWidth="1"/>
    <col min="13064" max="13064" width="11.7265625" style="105" customWidth="1"/>
    <col min="13065" max="13065" width="13.453125" style="105" customWidth="1"/>
    <col min="13066" max="13066" width="13.26953125" style="105" bestFit="1" customWidth="1"/>
    <col min="13067" max="13067" width="15.26953125" style="105" bestFit="1" customWidth="1"/>
    <col min="13068" max="13312" width="9.1796875" style="105"/>
    <col min="13313" max="13313" width="9" style="105" customWidth="1"/>
    <col min="13314" max="13314" width="20.54296875" style="105" customWidth="1"/>
    <col min="13315" max="13315" width="11.26953125" style="105" customWidth="1"/>
    <col min="13316" max="13316" width="17.54296875" style="105" customWidth="1"/>
    <col min="13317" max="13317" width="10.1796875" style="105" customWidth="1"/>
    <col min="13318" max="13318" width="8.81640625" style="105" customWidth="1"/>
    <col min="13319" max="13319" width="11" style="105" customWidth="1"/>
    <col min="13320" max="13320" width="11.7265625" style="105" customWidth="1"/>
    <col min="13321" max="13321" width="13.453125" style="105" customWidth="1"/>
    <col min="13322" max="13322" width="13.26953125" style="105" bestFit="1" customWidth="1"/>
    <col min="13323" max="13323" width="15.26953125" style="105" bestFit="1" customWidth="1"/>
    <col min="13324" max="13568" width="9.1796875" style="105"/>
    <col min="13569" max="13569" width="9" style="105" customWidth="1"/>
    <col min="13570" max="13570" width="20.54296875" style="105" customWidth="1"/>
    <col min="13571" max="13571" width="11.26953125" style="105" customWidth="1"/>
    <col min="13572" max="13572" width="17.54296875" style="105" customWidth="1"/>
    <col min="13573" max="13573" width="10.1796875" style="105" customWidth="1"/>
    <col min="13574" max="13574" width="8.81640625" style="105" customWidth="1"/>
    <col min="13575" max="13575" width="11" style="105" customWidth="1"/>
    <col min="13576" max="13576" width="11.7265625" style="105" customWidth="1"/>
    <col min="13577" max="13577" width="13.453125" style="105" customWidth="1"/>
    <col min="13578" max="13578" width="13.26953125" style="105" bestFit="1" customWidth="1"/>
    <col min="13579" max="13579" width="15.26953125" style="105" bestFit="1" customWidth="1"/>
    <col min="13580" max="13824" width="9.1796875" style="105"/>
    <col min="13825" max="13825" width="9" style="105" customWidth="1"/>
    <col min="13826" max="13826" width="20.54296875" style="105" customWidth="1"/>
    <col min="13827" max="13827" width="11.26953125" style="105" customWidth="1"/>
    <col min="13828" max="13828" width="17.54296875" style="105" customWidth="1"/>
    <col min="13829" max="13829" width="10.1796875" style="105" customWidth="1"/>
    <col min="13830" max="13830" width="8.81640625" style="105" customWidth="1"/>
    <col min="13831" max="13831" width="11" style="105" customWidth="1"/>
    <col min="13832" max="13832" width="11.7265625" style="105" customWidth="1"/>
    <col min="13833" max="13833" width="13.453125" style="105" customWidth="1"/>
    <col min="13834" max="13834" width="13.26953125" style="105" bestFit="1" customWidth="1"/>
    <col min="13835" max="13835" width="15.26953125" style="105" bestFit="1" customWidth="1"/>
    <col min="13836" max="14080" width="9.1796875" style="105"/>
    <col min="14081" max="14081" width="9" style="105" customWidth="1"/>
    <col min="14082" max="14082" width="20.54296875" style="105" customWidth="1"/>
    <col min="14083" max="14083" width="11.26953125" style="105" customWidth="1"/>
    <col min="14084" max="14084" width="17.54296875" style="105" customWidth="1"/>
    <col min="14085" max="14085" width="10.1796875" style="105" customWidth="1"/>
    <col min="14086" max="14086" width="8.81640625" style="105" customWidth="1"/>
    <col min="14087" max="14087" width="11" style="105" customWidth="1"/>
    <col min="14088" max="14088" width="11.7265625" style="105" customWidth="1"/>
    <col min="14089" max="14089" width="13.453125" style="105" customWidth="1"/>
    <col min="14090" max="14090" width="13.26953125" style="105" bestFit="1" customWidth="1"/>
    <col min="14091" max="14091" width="15.26953125" style="105" bestFit="1" customWidth="1"/>
    <col min="14092" max="14336" width="9.1796875" style="105"/>
    <col min="14337" max="14337" width="9" style="105" customWidth="1"/>
    <col min="14338" max="14338" width="20.54296875" style="105" customWidth="1"/>
    <col min="14339" max="14339" width="11.26953125" style="105" customWidth="1"/>
    <col min="14340" max="14340" width="17.54296875" style="105" customWidth="1"/>
    <col min="14341" max="14341" width="10.1796875" style="105" customWidth="1"/>
    <col min="14342" max="14342" width="8.81640625" style="105" customWidth="1"/>
    <col min="14343" max="14343" width="11" style="105" customWidth="1"/>
    <col min="14344" max="14344" width="11.7265625" style="105" customWidth="1"/>
    <col min="14345" max="14345" width="13.453125" style="105" customWidth="1"/>
    <col min="14346" max="14346" width="13.26953125" style="105" bestFit="1" customWidth="1"/>
    <col min="14347" max="14347" width="15.26953125" style="105" bestFit="1" customWidth="1"/>
    <col min="14348" max="14592" width="9.1796875" style="105"/>
    <col min="14593" max="14593" width="9" style="105" customWidth="1"/>
    <col min="14594" max="14594" width="20.54296875" style="105" customWidth="1"/>
    <col min="14595" max="14595" width="11.26953125" style="105" customWidth="1"/>
    <col min="14596" max="14596" width="17.54296875" style="105" customWidth="1"/>
    <col min="14597" max="14597" width="10.1796875" style="105" customWidth="1"/>
    <col min="14598" max="14598" width="8.81640625" style="105" customWidth="1"/>
    <col min="14599" max="14599" width="11" style="105" customWidth="1"/>
    <col min="14600" max="14600" width="11.7265625" style="105" customWidth="1"/>
    <col min="14601" max="14601" width="13.453125" style="105" customWidth="1"/>
    <col min="14602" max="14602" width="13.26953125" style="105" bestFit="1" customWidth="1"/>
    <col min="14603" max="14603" width="15.26953125" style="105" bestFit="1" customWidth="1"/>
    <col min="14604" max="14848" width="9.1796875" style="105"/>
    <col min="14849" max="14849" width="9" style="105" customWidth="1"/>
    <col min="14850" max="14850" width="20.54296875" style="105" customWidth="1"/>
    <col min="14851" max="14851" width="11.26953125" style="105" customWidth="1"/>
    <col min="14852" max="14852" width="17.54296875" style="105" customWidth="1"/>
    <col min="14853" max="14853" width="10.1796875" style="105" customWidth="1"/>
    <col min="14854" max="14854" width="8.81640625" style="105" customWidth="1"/>
    <col min="14855" max="14855" width="11" style="105" customWidth="1"/>
    <col min="14856" max="14856" width="11.7265625" style="105" customWidth="1"/>
    <col min="14857" max="14857" width="13.453125" style="105" customWidth="1"/>
    <col min="14858" max="14858" width="13.26953125" style="105" bestFit="1" customWidth="1"/>
    <col min="14859" max="14859" width="15.26953125" style="105" bestFit="1" customWidth="1"/>
    <col min="14860" max="15104" width="9.1796875" style="105"/>
    <col min="15105" max="15105" width="9" style="105" customWidth="1"/>
    <col min="15106" max="15106" width="20.54296875" style="105" customWidth="1"/>
    <col min="15107" max="15107" width="11.26953125" style="105" customWidth="1"/>
    <col min="15108" max="15108" width="17.54296875" style="105" customWidth="1"/>
    <col min="15109" max="15109" width="10.1796875" style="105" customWidth="1"/>
    <col min="15110" max="15110" width="8.81640625" style="105" customWidth="1"/>
    <col min="15111" max="15111" width="11" style="105" customWidth="1"/>
    <col min="15112" max="15112" width="11.7265625" style="105" customWidth="1"/>
    <col min="15113" max="15113" width="13.453125" style="105" customWidth="1"/>
    <col min="15114" max="15114" width="13.26953125" style="105" bestFit="1" customWidth="1"/>
    <col min="15115" max="15115" width="15.26953125" style="105" bestFit="1" customWidth="1"/>
    <col min="15116" max="15360" width="9.1796875" style="105"/>
    <col min="15361" max="15361" width="9" style="105" customWidth="1"/>
    <col min="15362" max="15362" width="20.54296875" style="105" customWidth="1"/>
    <col min="15363" max="15363" width="11.26953125" style="105" customWidth="1"/>
    <col min="15364" max="15364" width="17.54296875" style="105" customWidth="1"/>
    <col min="15365" max="15365" width="10.1796875" style="105" customWidth="1"/>
    <col min="15366" max="15366" width="8.81640625" style="105" customWidth="1"/>
    <col min="15367" max="15367" width="11" style="105" customWidth="1"/>
    <col min="15368" max="15368" width="11.7265625" style="105" customWidth="1"/>
    <col min="15369" max="15369" width="13.453125" style="105" customWidth="1"/>
    <col min="15370" max="15370" width="13.26953125" style="105" bestFit="1" customWidth="1"/>
    <col min="15371" max="15371" width="15.26953125" style="105" bestFit="1" customWidth="1"/>
    <col min="15372" max="15616" width="9.1796875" style="105"/>
    <col min="15617" max="15617" width="9" style="105" customWidth="1"/>
    <col min="15618" max="15618" width="20.54296875" style="105" customWidth="1"/>
    <col min="15619" max="15619" width="11.26953125" style="105" customWidth="1"/>
    <col min="15620" max="15620" width="17.54296875" style="105" customWidth="1"/>
    <col min="15621" max="15621" width="10.1796875" style="105" customWidth="1"/>
    <col min="15622" max="15622" width="8.81640625" style="105" customWidth="1"/>
    <col min="15623" max="15623" width="11" style="105" customWidth="1"/>
    <col min="15624" max="15624" width="11.7265625" style="105" customWidth="1"/>
    <col min="15625" max="15625" width="13.453125" style="105" customWidth="1"/>
    <col min="15626" max="15626" width="13.26953125" style="105" bestFit="1" customWidth="1"/>
    <col min="15627" max="15627" width="15.26953125" style="105" bestFit="1" customWidth="1"/>
    <col min="15628" max="15872" width="9.1796875" style="105"/>
    <col min="15873" max="15873" width="9" style="105" customWidth="1"/>
    <col min="15874" max="15874" width="20.54296875" style="105" customWidth="1"/>
    <col min="15875" max="15875" width="11.26953125" style="105" customWidth="1"/>
    <col min="15876" max="15876" width="17.54296875" style="105" customWidth="1"/>
    <col min="15877" max="15877" width="10.1796875" style="105" customWidth="1"/>
    <col min="15878" max="15878" width="8.81640625" style="105" customWidth="1"/>
    <col min="15879" max="15879" width="11" style="105" customWidth="1"/>
    <col min="15880" max="15880" width="11.7265625" style="105" customWidth="1"/>
    <col min="15881" max="15881" width="13.453125" style="105" customWidth="1"/>
    <col min="15882" max="15882" width="13.26953125" style="105" bestFit="1" customWidth="1"/>
    <col min="15883" max="15883" width="15.26953125" style="105" bestFit="1" customWidth="1"/>
    <col min="15884" max="16128" width="9.1796875" style="105"/>
    <col min="16129" max="16129" width="9" style="105" customWidth="1"/>
    <col min="16130" max="16130" width="20.54296875" style="105" customWidth="1"/>
    <col min="16131" max="16131" width="11.26953125" style="105" customWidth="1"/>
    <col min="16132" max="16132" width="17.54296875" style="105" customWidth="1"/>
    <col min="16133" max="16133" width="10.1796875" style="105" customWidth="1"/>
    <col min="16134" max="16134" width="8.81640625" style="105" customWidth="1"/>
    <col min="16135" max="16135" width="11" style="105" customWidth="1"/>
    <col min="16136" max="16136" width="11.7265625" style="105" customWidth="1"/>
    <col min="16137" max="16137" width="13.453125" style="105" customWidth="1"/>
    <col min="16138" max="16138" width="13.26953125" style="105" bestFit="1" customWidth="1"/>
    <col min="16139" max="16139" width="15.26953125" style="105" bestFit="1" customWidth="1"/>
    <col min="16140" max="16384" width="9.1796875" style="105"/>
  </cols>
  <sheetData>
    <row r="1" spans="2:13" ht="15" thickBot="1" x14ac:dyDescent="0.4">
      <c r="B1" s="678" t="s">
        <v>59</v>
      </c>
      <c r="C1" s="679"/>
      <c r="D1" s="453" t="s">
        <v>57</v>
      </c>
      <c r="E1" s="105" t="s">
        <v>370</v>
      </c>
      <c r="F1" s="105" t="s">
        <v>371</v>
      </c>
    </row>
    <row r="2" spans="2:13" s="132" customFormat="1" ht="15" thickBot="1" x14ac:dyDescent="0.4">
      <c r="B2" s="680" t="s">
        <v>202</v>
      </c>
      <c r="C2" s="681"/>
      <c r="D2" s="454">
        <f>E2/F2</f>
        <v>8.1481481481481488E-2</v>
      </c>
      <c r="E2" s="132">
        <v>1100</v>
      </c>
      <c r="F2" s="132">
        <v>13500</v>
      </c>
    </row>
    <row r="3" spans="2:13" s="132" customFormat="1" ht="15" thickBot="1" x14ac:dyDescent="0.4">
      <c r="B3" s="676" t="s">
        <v>372</v>
      </c>
      <c r="C3" s="677"/>
      <c r="D3" s="454">
        <f t="shared" ref="D3:D11" si="0">E3/F3</f>
        <v>1</v>
      </c>
      <c r="E3" s="132">
        <v>1</v>
      </c>
      <c r="F3" s="132">
        <v>1</v>
      </c>
      <c r="H3" s="139"/>
      <c r="K3" s="138"/>
    </row>
    <row r="4" spans="2:13" s="132" customFormat="1" ht="15" thickBot="1" x14ac:dyDescent="0.4">
      <c r="B4" s="676" t="s">
        <v>373</v>
      </c>
      <c r="C4" s="677"/>
      <c r="D4" s="454">
        <f t="shared" si="0"/>
        <v>0.65</v>
      </c>
      <c r="E4" s="132">
        <v>32.5</v>
      </c>
      <c r="F4" s="132">
        <v>50</v>
      </c>
    </row>
    <row r="5" spans="2:13" s="132" customFormat="1" ht="15" thickBot="1" x14ac:dyDescent="0.4">
      <c r="B5" s="676" t="s">
        <v>374</v>
      </c>
      <c r="C5" s="677"/>
      <c r="D5" s="454">
        <f t="shared" si="0"/>
        <v>1</v>
      </c>
      <c r="E5" s="132">
        <v>1</v>
      </c>
      <c r="F5" s="132">
        <v>1</v>
      </c>
      <c r="H5" s="133"/>
    </row>
    <row r="6" spans="2:13" s="132" customFormat="1" ht="15" thickBot="1" x14ac:dyDescent="0.4">
      <c r="B6" s="676" t="s">
        <v>56</v>
      </c>
      <c r="C6" s="677"/>
      <c r="D6" s="454">
        <f t="shared" si="0"/>
        <v>33.200000000000003</v>
      </c>
      <c r="E6" s="132">
        <v>830</v>
      </c>
      <c r="F6" s="132">
        <v>25</v>
      </c>
      <c r="K6" s="132">
        <v>1000</v>
      </c>
      <c r="L6" s="132">
        <v>15000</v>
      </c>
      <c r="M6" s="132">
        <f>K6/L6</f>
        <v>6.6666666666666666E-2</v>
      </c>
    </row>
    <row r="7" spans="2:13" s="132" customFormat="1" ht="15" thickBot="1" x14ac:dyDescent="0.4">
      <c r="B7" s="676" t="s">
        <v>44</v>
      </c>
      <c r="C7" s="677"/>
      <c r="D7" s="454">
        <f t="shared" si="0"/>
        <v>12</v>
      </c>
      <c r="E7" s="132">
        <v>300</v>
      </c>
      <c r="F7" s="132">
        <v>25</v>
      </c>
    </row>
    <row r="8" spans="2:13" s="132" customFormat="1" ht="15" thickBot="1" x14ac:dyDescent="0.4">
      <c r="B8" s="676" t="s">
        <v>375</v>
      </c>
      <c r="C8" s="677"/>
      <c r="D8" s="454">
        <f t="shared" si="0"/>
        <v>1</v>
      </c>
      <c r="E8" s="132">
        <v>1</v>
      </c>
      <c r="F8" s="132">
        <v>1</v>
      </c>
      <c r="H8" s="132" t="s">
        <v>376</v>
      </c>
    </row>
    <row r="9" spans="2:13" s="132" customFormat="1" ht="15" thickBot="1" x14ac:dyDescent="0.4">
      <c r="B9" s="676" t="s">
        <v>377</v>
      </c>
      <c r="C9" s="677"/>
      <c r="D9" s="454">
        <f t="shared" si="0"/>
        <v>1</v>
      </c>
      <c r="E9" s="132">
        <v>1</v>
      </c>
      <c r="F9" s="132">
        <v>1</v>
      </c>
      <c r="H9" s="132" t="s">
        <v>378</v>
      </c>
    </row>
    <row r="10" spans="2:13" s="132" customFormat="1" ht="15" thickBot="1" x14ac:dyDescent="0.4">
      <c r="B10" s="676" t="s">
        <v>379</v>
      </c>
      <c r="C10" s="677"/>
      <c r="D10" s="454">
        <f t="shared" si="0"/>
        <v>1</v>
      </c>
      <c r="E10" s="132">
        <v>1</v>
      </c>
      <c r="F10" s="132">
        <v>1</v>
      </c>
      <c r="H10" s="139"/>
      <c r="K10" s="138"/>
    </row>
    <row r="11" spans="2:13" s="132" customFormat="1" x14ac:dyDescent="0.35">
      <c r="B11" s="676" t="s">
        <v>380</v>
      </c>
      <c r="C11" s="677"/>
      <c r="D11" s="454">
        <f t="shared" si="0"/>
        <v>1</v>
      </c>
      <c r="E11" s="132">
        <v>1</v>
      </c>
      <c r="F11" s="132">
        <v>1</v>
      </c>
      <c r="H11" s="139"/>
      <c r="K11" s="138"/>
    </row>
    <row r="12" spans="2:13" ht="4.5" customHeight="1" x14ac:dyDescent="0.35">
      <c r="B12" s="455"/>
      <c r="H12" s="107"/>
      <c r="K12" s="106"/>
    </row>
    <row r="13" spans="2:13" ht="15" thickBot="1" x14ac:dyDescent="0.4">
      <c r="H13" s="107"/>
      <c r="K13" s="106"/>
    </row>
    <row r="14" spans="2:13" ht="15" thickBot="1" x14ac:dyDescent="0.4">
      <c r="B14" s="590" t="s">
        <v>53</v>
      </c>
      <c r="C14" s="591"/>
      <c r="D14" s="591"/>
      <c r="E14" s="591"/>
      <c r="F14" s="591"/>
      <c r="G14" s="591"/>
      <c r="H14" s="591"/>
      <c r="I14" s="591"/>
      <c r="J14" s="591"/>
      <c r="K14" s="592"/>
    </row>
    <row r="15" spans="2:13" ht="15.75" customHeight="1" thickBot="1" x14ac:dyDescent="0.4">
      <c r="B15" s="667" t="s">
        <v>381</v>
      </c>
      <c r="C15" s="596" t="s">
        <v>52</v>
      </c>
      <c r="D15" s="598" t="s">
        <v>51</v>
      </c>
      <c r="E15" s="600" t="s">
        <v>8</v>
      </c>
      <c r="F15" s="601"/>
      <c r="G15" s="601"/>
      <c r="H15" s="602"/>
      <c r="I15" s="670" t="s">
        <v>0</v>
      </c>
      <c r="J15" s="671"/>
      <c r="K15" s="672"/>
    </row>
    <row r="16" spans="2:13" ht="29.5" thickBot="1" x14ac:dyDescent="0.4">
      <c r="B16" s="668"/>
      <c r="C16" s="597"/>
      <c r="D16" s="599"/>
      <c r="E16" s="128" t="s">
        <v>50</v>
      </c>
      <c r="F16" s="456" t="s">
        <v>49</v>
      </c>
      <c r="G16" s="129" t="s">
        <v>48</v>
      </c>
      <c r="H16" s="128" t="s">
        <v>382</v>
      </c>
      <c r="I16" s="129" t="s">
        <v>47</v>
      </c>
      <c r="J16" s="129" t="s">
        <v>46</v>
      </c>
      <c r="K16" s="128" t="s">
        <v>45</v>
      </c>
    </row>
    <row r="17" spans="2:15" ht="15" customHeight="1" x14ac:dyDescent="0.35">
      <c r="B17" s="668"/>
      <c r="C17" s="661">
        <v>26000</v>
      </c>
      <c r="D17" s="457" t="s">
        <v>202</v>
      </c>
      <c r="E17" s="119">
        <v>175</v>
      </c>
      <c r="F17" s="458">
        <f>E17/E20</f>
        <v>0.77656978034169077</v>
      </c>
      <c r="G17" s="459">
        <f>(E20*F17)/D20</f>
        <v>11.64854670512536</v>
      </c>
      <c r="H17" s="460">
        <f>C17*G17</f>
        <v>302862.21433325938</v>
      </c>
      <c r="I17" s="461">
        <f>G17*$D$2</f>
        <v>0.94914084263984422</v>
      </c>
      <c r="J17" s="609">
        <f>I20/15</f>
        <v>0.25906039165413469</v>
      </c>
      <c r="K17" s="462">
        <f>$D$2*H17</f>
        <v>24677.661908635953</v>
      </c>
    </row>
    <row r="18" spans="2:15" ht="15" customHeight="1" x14ac:dyDescent="0.35">
      <c r="B18" s="668"/>
      <c r="C18" s="662"/>
      <c r="D18" s="463" t="s">
        <v>200</v>
      </c>
      <c r="E18" s="119">
        <v>50</v>
      </c>
      <c r="F18" s="464">
        <f>E18/E20</f>
        <v>0.22187708009762591</v>
      </c>
      <c r="G18" s="465">
        <f>(E20*F18)/D20</f>
        <v>3.3281562014643886</v>
      </c>
      <c r="H18" s="460">
        <f>C17*G18</f>
        <v>86532.061238074108</v>
      </c>
      <c r="I18" s="466">
        <f>G18*$D$4</f>
        <v>2.1633015309518528</v>
      </c>
      <c r="J18" s="675"/>
      <c r="K18" s="116">
        <f>$D$4*H18</f>
        <v>56245.839804748175</v>
      </c>
    </row>
    <row r="19" spans="2:15" ht="15" customHeight="1" thickBot="1" x14ac:dyDescent="0.4">
      <c r="B19" s="668"/>
      <c r="C19" s="662"/>
      <c r="D19" s="463" t="s">
        <v>56</v>
      </c>
      <c r="E19" s="119">
        <v>0.35</v>
      </c>
      <c r="F19" s="467">
        <f>E19/E20</f>
        <v>1.5531395606833813E-3</v>
      </c>
      <c r="G19" s="468">
        <f>(E20*F19)/D20</f>
        <v>2.329709341025072E-2</v>
      </c>
      <c r="H19" s="460">
        <f>C17*G19</f>
        <v>605.72442866651875</v>
      </c>
      <c r="I19" s="469">
        <f>G19*$D$6</f>
        <v>0.77346350122032392</v>
      </c>
      <c r="J19" s="675"/>
      <c r="K19" s="116">
        <f>$D$6*H19</f>
        <v>20110.051031728424</v>
      </c>
    </row>
    <row r="20" spans="2:15" ht="15.75" customHeight="1" thickBot="1" x14ac:dyDescent="0.4">
      <c r="B20" s="669"/>
      <c r="C20" s="115" t="s">
        <v>4</v>
      </c>
      <c r="D20" s="470">
        <f>E20/15</f>
        <v>15.023333333333333</v>
      </c>
      <c r="E20" s="471">
        <f>SUM(E17:E19)</f>
        <v>225.35</v>
      </c>
      <c r="F20" s="472">
        <f>SUM(F17:F19)</f>
        <v>1</v>
      </c>
      <c r="G20" s="473">
        <f>SUM(G17:G19)</f>
        <v>15</v>
      </c>
      <c r="H20" s="474">
        <f>SUM(H17:H19)</f>
        <v>390000</v>
      </c>
      <c r="I20" s="475">
        <f>SUM(I17:I19)</f>
        <v>3.8859058748120208</v>
      </c>
      <c r="J20" s="475"/>
      <c r="K20" s="476">
        <f>SUM(K17:K19)</f>
        <v>101033.55274511255</v>
      </c>
    </row>
    <row r="21" spans="2:15" ht="15" thickBot="1" x14ac:dyDescent="0.4">
      <c r="H21" s="107"/>
      <c r="K21" s="106"/>
      <c r="M21" s="105">
        <v>450</v>
      </c>
      <c r="N21" s="105">
        <v>25</v>
      </c>
      <c r="O21" s="105">
        <f>M21/N21</f>
        <v>18</v>
      </c>
    </row>
    <row r="22" spans="2:15" ht="15" thickBot="1" x14ac:dyDescent="0.4">
      <c r="B22" s="590" t="s">
        <v>53</v>
      </c>
      <c r="C22" s="591"/>
      <c r="D22" s="591"/>
      <c r="E22" s="591"/>
      <c r="F22" s="591"/>
      <c r="G22" s="591"/>
      <c r="H22" s="591"/>
      <c r="I22" s="591"/>
      <c r="J22" s="591"/>
      <c r="K22" s="592"/>
    </row>
    <row r="23" spans="2:15" ht="15.75" customHeight="1" thickBot="1" x14ac:dyDescent="0.4">
      <c r="B23" s="667" t="s">
        <v>383</v>
      </c>
      <c r="C23" s="596" t="s">
        <v>52</v>
      </c>
      <c r="D23" s="598" t="s">
        <v>51</v>
      </c>
      <c r="E23" s="600" t="s">
        <v>8</v>
      </c>
      <c r="F23" s="601"/>
      <c r="G23" s="601"/>
      <c r="H23" s="602"/>
      <c r="I23" s="670" t="s">
        <v>0</v>
      </c>
      <c r="J23" s="671"/>
      <c r="K23" s="672"/>
    </row>
    <row r="24" spans="2:15" ht="29.5" thickBot="1" x14ac:dyDescent="0.4">
      <c r="B24" s="668"/>
      <c r="C24" s="597"/>
      <c r="D24" s="599"/>
      <c r="E24" s="128" t="s">
        <v>50</v>
      </c>
      <c r="F24" s="456" t="s">
        <v>49</v>
      </c>
      <c r="G24" s="129" t="s">
        <v>48</v>
      </c>
      <c r="H24" s="128" t="s">
        <v>382</v>
      </c>
      <c r="I24" s="129" t="s">
        <v>47</v>
      </c>
      <c r="J24" s="129" t="s">
        <v>46</v>
      </c>
      <c r="K24" s="128" t="s">
        <v>45</v>
      </c>
    </row>
    <row r="25" spans="2:15" ht="15" customHeight="1" x14ac:dyDescent="0.35">
      <c r="B25" s="668"/>
      <c r="C25" s="661">
        <v>4000</v>
      </c>
      <c r="D25" s="457" t="s">
        <v>202</v>
      </c>
      <c r="E25" s="119">
        <v>175</v>
      </c>
      <c r="F25" s="458">
        <f>E25/E29</f>
        <v>0.76923076923076927</v>
      </c>
      <c r="G25" s="459">
        <f>(E29*F25)/D29</f>
        <v>11.538461538461538</v>
      </c>
      <c r="H25" s="460">
        <f>C25*G25</f>
        <v>46153.846153846156</v>
      </c>
      <c r="I25" s="461">
        <f>G25*$D$2</f>
        <v>0.94017094017094027</v>
      </c>
      <c r="J25" s="673">
        <f>I29/15</f>
        <v>0.38399674399674405</v>
      </c>
      <c r="K25" s="462">
        <f>$D$2*H25</f>
        <v>3760.6837606837612</v>
      </c>
    </row>
    <row r="26" spans="2:15" ht="15" customHeight="1" x14ac:dyDescent="0.35">
      <c r="B26" s="668"/>
      <c r="C26" s="662"/>
      <c r="D26" s="463" t="s">
        <v>200</v>
      </c>
      <c r="E26" s="119">
        <v>50</v>
      </c>
      <c r="F26" s="464">
        <f>E26/E29</f>
        <v>0.21978021978021978</v>
      </c>
      <c r="G26" s="465">
        <f>(E29*F26)/D29</f>
        <v>3.296703296703297</v>
      </c>
      <c r="H26" s="460">
        <f>C25*G26</f>
        <v>13186.813186813188</v>
      </c>
      <c r="I26" s="466">
        <f>G26*$D$4</f>
        <v>2.1428571428571432</v>
      </c>
      <c r="J26" s="674"/>
      <c r="K26" s="116">
        <f>$D$4*H26</f>
        <v>8571.4285714285725</v>
      </c>
    </row>
    <row r="27" spans="2:15" ht="15" customHeight="1" x14ac:dyDescent="0.35">
      <c r="B27" s="668"/>
      <c r="C27" s="662"/>
      <c r="D27" s="463" t="s">
        <v>56</v>
      </c>
      <c r="E27" s="119">
        <v>0.5</v>
      </c>
      <c r="F27" s="467">
        <f>E27/E29</f>
        <v>2.1978021978021978E-3</v>
      </c>
      <c r="G27" s="468">
        <f>(E29*F27)/D29</f>
        <v>3.2967032967032968E-2</v>
      </c>
      <c r="H27" s="460">
        <f>C25*G27</f>
        <v>131.86813186813188</v>
      </c>
      <c r="I27" s="469">
        <f>G27*$D$6</f>
        <v>1.0945054945054946</v>
      </c>
      <c r="J27" s="674"/>
      <c r="K27" s="116">
        <f>$D$6*H27</f>
        <v>4378.0219780219786</v>
      </c>
    </row>
    <row r="28" spans="2:15" ht="15" customHeight="1" thickBot="1" x14ac:dyDescent="0.4">
      <c r="B28" s="668"/>
      <c r="C28" s="662"/>
      <c r="D28" s="477" t="s">
        <v>13</v>
      </c>
      <c r="E28" s="478">
        <v>2</v>
      </c>
      <c r="F28" s="467">
        <f>E28/E29</f>
        <v>8.7912087912087912E-3</v>
      </c>
      <c r="G28" s="468">
        <f>(E29*F28)/D29</f>
        <v>0.13186813186813187</v>
      </c>
      <c r="H28" s="460">
        <f>C25*G28</f>
        <v>527.47252747252753</v>
      </c>
      <c r="I28" s="469">
        <f>G28*$D$7</f>
        <v>1.5824175824175826</v>
      </c>
      <c r="J28" s="674"/>
      <c r="K28" s="116">
        <f>$D$7*H28</f>
        <v>6329.6703296703308</v>
      </c>
    </row>
    <row r="29" spans="2:15" ht="15.75" customHeight="1" thickBot="1" x14ac:dyDescent="0.4">
      <c r="B29" s="669"/>
      <c r="C29" s="115" t="s">
        <v>4</v>
      </c>
      <c r="D29" s="470">
        <f>E29/15</f>
        <v>15.166666666666666</v>
      </c>
      <c r="E29" s="479">
        <f>SUM(E25:E28)</f>
        <v>227.5</v>
      </c>
      <c r="F29" s="472">
        <f>SUM(F25:F27)</f>
        <v>0.99120879120879124</v>
      </c>
      <c r="G29" s="473">
        <f>SUM(G25:G28)</f>
        <v>15</v>
      </c>
      <c r="H29" s="474">
        <f>SUM(H25:H27)</f>
        <v>59472.527472527479</v>
      </c>
      <c r="I29" s="475">
        <f>SUM(I25:I28)</f>
        <v>5.7599511599511608</v>
      </c>
      <c r="J29" s="475"/>
      <c r="K29" s="476">
        <f>SUM(K25:K28)</f>
        <v>23039.804639804643</v>
      </c>
    </row>
    <row r="30" spans="2:15" ht="15" thickBot="1" x14ac:dyDescent="0.4">
      <c r="H30" s="107"/>
      <c r="K30" s="106"/>
    </row>
    <row r="31" spans="2:15" ht="15" customHeight="1" thickBot="1" x14ac:dyDescent="0.4">
      <c r="B31" s="664" t="s">
        <v>384</v>
      </c>
      <c r="C31" s="615" t="s">
        <v>52</v>
      </c>
      <c r="D31" s="617" t="s">
        <v>51</v>
      </c>
      <c r="E31" s="600" t="s">
        <v>8</v>
      </c>
      <c r="F31" s="601"/>
      <c r="G31" s="601"/>
      <c r="H31" s="602"/>
      <c r="I31" s="656" t="s">
        <v>0</v>
      </c>
      <c r="J31" s="601"/>
      <c r="K31" s="657"/>
    </row>
    <row r="32" spans="2:15" ht="29.5" thickBot="1" x14ac:dyDescent="0.4">
      <c r="B32" s="665"/>
      <c r="C32" s="616"/>
      <c r="D32" s="599"/>
      <c r="E32" s="128" t="s">
        <v>50</v>
      </c>
      <c r="F32" s="456" t="s">
        <v>49</v>
      </c>
      <c r="G32" s="129" t="s">
        <v>48</v>
      </c>
      <c r="H32" s="128" t="s">
        <v>382</v>
      </c>
      <c r="I32" s="129" t="s">
        <v>47</v>
      </c>
      <c r="J32" s="129" t="s">
        <v>46</v>
      </c>
      <c r="K32" s="128" t="s">
        <v>45</v>
      </c>
    </row>
    <row r="33" spans="2:11" ht="15" customHeight="1" x14ac:dyDescent="0.35">
      <c r="B33" s="665"/>
      <c r="C33" s="661">
        <f>E37/15</f>
        <v>68.833333333333329</v>
      </c>
      <c r="D33" s="457" t="s">
        <v>202</v>
      </c>
      <c r="E33" s="119">
        <v>770</v>
      </c>
      <c r="F33" s="458">
        <f>E33/E37</f>
        <v>0.74576271186440679</v>
      </c>
      <c r="G33" s="459">
        <f>(E37*F33)/D37</f>
        <v>11.186440677966102</v>
      </c>
      <c r="H33" s="460">
        <f>C33*G33</f>
        <v>770</v>
      </c>
      <c r="I33" s="461">
        <f>G33*$D$2</f>
        <v>0.91148775894538614</v>
      </c>
      <c r="J33" s="609">
        <f>I37/15</f>
        <v>0.41476100798134702</v>
      </c>
      <c r="K33" s="462">
        <f>$D$2*H33</f>
        <v>62.740740740740748</v>
      </c>
    </row>
    <row r="34" spans="2:11" ht="15" customHeight="1" x14ac:dyDescent="0.35">
      <c r="B34" s="665"/>
      <c r="C34" s="662"/>
      <c r="D34" s="463" t="s">
        <v>200</v>
      </c>
      <c r="E34" s="119">
        <v>250</v>
      </c>
      <c r="F34" s="464">
        <f>E34/E37</f>
        <v>0.24213075060532688</v>
      </c>
      <c r="G34" s="465">
        <f>(E37*F34)/D37</f>
        <v>3.6319612590799033</v>
      </c>
      <c r="H34" s="460">
        <f>C33*G34</f>
        <v>250</v>
      </c>
      <c r="I34" s="466">
        <f>G34*$D$4</f>
        <v>2.360774818401937</v>
      </c>
      <c r="J34" s="610"/>
      <c r="K34" s="116">
        <f>$D$4*H34</f>
        <v>162.5</v>
      </c>
    </row>
    <row r="35" spans="2:11" ht="15" customHeight="1" x14ac:dyDescent="0.35">
      <c r="B35" s="665"/>
      <c r="C35" s="662"/>
      <c r="D35" s="463" t="s">
        <v>56</v>
      </c>
      <c r="E35" s="119">
        <v>2.5</v>
      </c>
      <c r="F35" s="467">
        <f>E35/E37</f>
        <v>2.4213075060532689E-3</v>
      </c>
      <c r="G35" s="468">
        <f>(E37*F35)/D37</f>
        <v>3.6319612590799036E-2</v>
      </c>
      <c r="H35" s="460">
        <f>C33*G35</f>
        <v>2.5</v>
      </c>
      <c r="I35" s="469">
        <f>G35*$D$6</f>
        <v>1.205811138014528</v>
      </c>
      <c r="J35" s="610"/>
      <c r="K35" s="116">
        <f>$D$6*H35</f>
        <v>83</v>
      </c>
    </row>
    <row r="36" spans="2:11" ht="15" customHeight="1" thickBot="1" x14ac:dyDescent="0.4">
      <c r="B36" s="665"/>
      <c r="C36" s="662"/>
      <c r="D36" s="463" t="s">
        <v>44</v>
      </c>
      <c r="E36" s="119">
        <v>10</v>
      </c>
      <c r="F36" s="467">
        <f>E36/E37</f>
        <v>9.6852300242130755E-3</v>
      </c>
      <c r="G36" s="119">
        <f>(E37*F36)/D37</f>
        <v>0.14527845036319614</v>
      </c>
      <c r="H36" s="480">
        <f>C33*G36</f>
        <v>10</v>
      </c>
      <c r="I36" s="469">
        <f>G36*$D$7</f>
        <v>1.7433414043583537</v>
      </c>
      <c r="J36" s="610"/>
      <c r="K36" s="116">
        <f>$D$7*H36</f>
        <v>120</v>
      </c>
    </row>
    <row r="37" spans="2:11" ht="15.75" customHeight="1" thickBot="1" x14ac:dyDescent="0.4">
      <c r="B37" s="666"/>
      <c r="C37" s="115" t="s">
        <v>4</v>
      </c>
      <c r="D37" s="470">
        <f>E37/15</f>
        <v>68.833333333333329</v>
      </c>
      <c r="E37" s="473">
        <f>SUM(E33:E36)</f>
        <v>1032.5</v>
      </c>
      <c r="F37" s="481">
        <f>SUM(F33:F36)</f>
        <v>1</v>
      </c>
      <c r="G37" s="482">
        <f>SUM(G33:G36)</f>
        <v>15</v>
      </c>
      <c r="H37" s="483">
        <f>SUM(H33:H36)</f>
        <v>1032.5</v>
      </c>
      <c r="I37" s="484">
        <f>SUM(I33:I36)</f>
        <v>6.2214151197202057</v>
      </c>
      <c r="J37" s="484"/>
      <c r="K37" s="476">
        <f>SUM(K33:K36)</f>
        <v>428.24074074074076</v>
      </c>
    </row>
    <row r="38" spans="2:11" ht="15" thickBot="1" x14ac:dyDescent="0.4">
      <c r="H38" s="107"/>
      <c r="K38" s="106"/>
    </row>
    <row r="39" spans="2:11" ht="15" customHeight="1" thickBot="1" x14ac:dyDescent="0.4">
      <c r="B39" s="658" t="s">
        <v>385</v>
      </c>
      <c r="C39" s="615" t="s">
        <v>52</v>
      </c>
      <c r="D39" s="617" t="s">
        <v>51</v>
      </c>
      <c r="E39" s="600" t="s">
        <v>8</v>
      </c>
      <c r="F39" s="601"/>
      <c r="G39" s="601"/>
      <c r="H39" s="602"/>
      <c r="I39" s="656" t="s">
        <v>0</v>
      </c>
      <c r="J39" s="601"/>
      <c r="K39" s="657"/>
    </row>
    <row r="40" spans="2:11" ht="29.5" thickBot="1" x14ac:dyDescent="0.4">
      <c r="B40" s="659"/>
      <c r="C40" s="616"/>
      <c r="D40" s="599"/>
      <c r="E40" s="128" t="s">
        <v>50</v>
      </c>
      <c r="F40" s="456" t="s">
        <v>49</v>
      </c>
      <c r="G40" s="129" t="s">
        <v>48</v>
      </c>
      <c r="H40" s="128" t="s">
        <v>382</v>
      </c>
      <c r="I40" s="129" t="s">
        <v>47</v>
      </c>
      <c r="J40" s="129" t="s">
        <v>46</v>
      </c>
      <c r="K40" s="128" t="s">
        <v>45</v>
      </c>
    </row>
    <row r="41" spans="2:11" ht="15" customHeight="1" x14ac:dyDescent="0.35">
      <c r="B41" s="659"/>
      <c r="C41" s="661">
        <v>69</v>
      </c>
      <c r="D41" s="457" t="s">
        <v>202</v>
      </c>
      <c r="E41" s="119">
        <v>770</v>
      </c>
      <c r="F41" s="458">
        <f>E41/E46</f>
        <v>0.74432092798453364</v>
      </c>
      <c r="G41" s="459">
        <f>(E46*F41)/D46</f>
        <v>11.164813919768003</v>
      </c>
      <c r="H41" s="460">
        <f>C41*G41</f>
        <v>770.37216046399215</v>
      </c>
      <c r="I41" s="461">
        <f>G41*$D$2</f>
        <v>0.90972557864776327</v>
      </c>
      <c r="J41" s="609">
        <f>I46/15</f>
        <v>0.43715876340332599</v>
      </c>
      <c r="K41" s="462">
        <f>$D$2*H41</f>
        <v>62.771064926695658</v>
      </c>
    </row>
    <row r="42" spans="2:11" ht="15" customHeight="1" x14ac:dyDescent="0.35">
      <c r="B42" s="659"/>
      <c r="C42" s="662"/>
      <c r="D42" s="463" t="s">
        <v>200</v>
      </c>
      <c r="E42" s="119">
        <v>250</v>
      </c>
      <c r="F42" s="464">
        <f>E42/E46</f>
        <v>0.24166263895601739</v>
      </c>
      <c r="G42" s="465">
        <f>(E46*F42)/D46</f>
        <v>3.624939584340261</v>
      </c>
      <c r="H42" s="460">
        <f>C41*G42</f>
        <v>250.12083131947801</v>
      </c>
      <c r="I42" s="466">
        <f>G42*$D$4</f>
        <v>2.3562107298211696</v>
      </c>
      <c r="J42" s="610"/>
      <c r="K42" s="116">
        <f>$D$4*H42</f>
        <v>162.57854035766073</v>
      </c>
    </row>
    <row r="43" spans="2:11" ht="15" customHeight="1" x14ac:dyDescent="0.35">
      <c r="B43" s="659"/>
      <c r="C43" s="662"/>
      <c r="D43" s="463" t="s">
        <v>56</v>
      </c>
      <c r="E43" s="119">
        <v>2.5</v>
      </c>
      <c r="F43" s="467">
        <f>E43/E46</f>
        <v>2.4166263895601739E-3</v>
      </c>
      <c r="G43" s="468">
        <f>(E46*F43)/D46</f>
        <v>3.6249395843402608E-2</v>
      </c>
      <c r="H43" s="460">
        <f>C41*G43</f>
        <v>2.50120831319478</v>
      </c>
      <c r="I43" s="469">
        <f>G43*$D$6</f>
        <v>1.2034799420009668</v>
      </c>
      <c r="J43" s="610"/>
      <c r="K43" s="116">
        <f>$D$6*H43</f>
        <v>83.040115998066696</v>
      </c>
    </row>
    <row r="44" spans="2:11" ht="15" customHeight="1" x14ac:dyDescent="0.35">
      <c r="B44" s="659"/>
      <c r="C44" s="662"/>
      <c r="D44" s="463" t="s">
        <v>44</v>
      </c>
      <c r="E44" s="119">
        <v>12</v>
      </c>
      <c r="F44" s="467">
        <f>E44/E46</f>
        <v>1.1599806669888834E-2</v>
      </c>
      <c r="G44" s="119">
        <f>(E46*F44)/D46</f>
        <v>0.17399710004833252</v>
      </c>
      <c r="H44" s="480">
        <f>C41*G44</f>
        <v>12.005799903334944</v>
      </c>
      <c r="I44" s="469">
        <f>G44*$D$7</f>
        <v>2.0879652005799905</v>
      </c>
      <c r="J44" s="610"/>
      <c r="K44" s="116">
        <f>$D$7*H44</f>
        <v>144.06959884001932</v>
      </c>
    </row>
    <row r="45" spans="2:11" ht="15.75" customHeight="1" thickBot="1" x14ac:dyDescent="0.4">
      <c r="B45" s="659"/>
      <c r="C45" s="663"/>
      <c r="D45" s="485" t="s">
        <v>386</v>
      </c>
      <c r="E45" s="486"/>
      <c r="F45" s="487">
        <f>E45/E46</f>
        <v>0</v>
      </c>
      <c r="G45" s="488">
        <f>(E46*F45)/D46</f>
        <v>0</v>
      </c>
      <c r="H45" s="489">
        <f>C41*G45</f>
        <v>0</v>
      </c>
      <c r="I45" s="490">
        <f>G45*$D$3</f>
        <v>0</v>
      </c>
      <c r="J45" s="611"/>
      <c r="K45" s="131">
        <f>$D$3*H45</f>
        <v>0</v>
      </c>
    </row>
    <row r="46" spans="2:11" ht="15.75" customHeight="1" thickBot="1" x14ac:dyDescent="0.4">
      <c r="B46" s="660"/>
      <c r="C46" s="115" t="s">
        <v>4</v>
      </c>
      <c r="D46" s="470">
        <f>E46/15</f>
        <v>68.966666666666669</v>
      </c>
      <c r="E46" s="473">
        <f>SUM(E41:E45)</f>
        <v>1034.5</v>
      </c>
      <c r="F46" s="491">
        <f>SUM(F41:F45)</f>
        <v>1</v>
      </c>
      <c r="G46" s="473">
        <f>SUM(G41:G45)</f>
        <v>14.999999999999998</v>
      </c>
      <c r="H46" s="492">
        <f>SUM(H41:H45)</f>
        <v>1034.9999999999998</v>
      </c>
      <c r="I46" s="484">
        <f>SUM(I41:I45)</f>
        <v>6.5573814510498902</v>
      </c>
      <c r="J46" s="475"/>
      <c r="K46" s="476">
        <f>SUM(K41:K45)</f>
        <v>452.45932012244236</v>
      </c>
    </row>
    <row r="47" spans="2:11" x14ac:dyDescent="0.35">
      <c r="H47" s="107"/>
      <c r="K47" s="106"/>
    </row>
    <row r="48" spans="2:11" ht="15" thickBot="1" x14ac:dyDescent="0.4">
      <c r="H48" s="107"/>
      <c r="K48" s="106"/>
    </row>
    <row r="49" spans="2:11" ht="15" customHeight="1" thickBot="1" x14ac:dyDescent="0.4">
      <c r="B49" s="653" t="s">
        <v>387</v>
      </c>
      <c r="C49" s="615" t="s">
        <v>52</v>
      </c>
      <c r="D49" s="617" t="s">
        <v>51</v>
      </c>
      <c r="E49" s="600" t="s">
        <v>8</v>
      </c>
      <c r="F49" s="601"/>
      <c r="G49" s="601"/>
      <c r="H49" s="602"/>
      <c r="I49" s="656" t="s">
        <v>0</v>
      </c>
      <c r="J49" s="601"/>
      <c r="K49" s="657"/>
    </row>
    <row r="50" spans="2:11" ht="29.5" thickBot="1" x14ac:dyDescent="0.4">
      <c r="B50" s="654"/>
      <c r="C50" s="616"/>
      <c r="D50" s="599"/>
      <c r="E50" s="128" t="s">
        <v>50</v>
      </c>
      <c r="F50" s="456" t="s">
        <v>49</v>
      </c>
      <c r="G50" s="129" t="s">
        <v>48</v>
      </c>
      <c r="H50" s="128" t="s">
        <v>382</v>
      </c>
      <c r="I50" s="129" t="s">
        <v>47</v>
      </c>
      <c r="J50" s="129" t="s">
        <v>46</v>
      </c>
      <c r="K50" s="128" t="s">
        <v>45</v>
      </c>
    </row>
    <row r="51" spans="2:11" ht="15" customHeight="1" x14ac:dyDescent="0.35">
      <c r="B51" s="654"/>
      <c r="C51" s="606">
        <v>13</v>
      </c>
      <c r="D51" s="457" t="s">
        <v>372</v>
      </c>
      <c r="E51" s="119">
        <v>150</v>
      </c>
      <c r="F51" s="458">
        <f>E51/E56</f>
        <v>0.73746312684365778</v>
      </c>
      <c r="G51" s="459">
        <f>(E56*F51)/D56</f>
        <v>11.061946902654867</v>
      </c>
      <c r="H51" s="460">
        <f>C51*G51</f>
        <v>143.80530973451329</v>
      </c>
      <c r="I51" s="461">
        <f>G51*$D$3</f>
        <v>11.061946902654867</v>
      </c>
      <c r="J51" s="609">
        <f>I56/15</f>
        <v>1.2255653883972466</v>
      </c>
      <c r="K51" s="462">
        <f>$D$3*H51</f>
        <v>143.80530973451329</v>
      </c>
    </row>
    <row r="52" spans="2:11" ht="15" customHeight="1" x14ac:dyDescent="0.35">
      <c r="B52" s="654"/>
      <c r="C52" s="607"/>
      <c r="D52" s="463" t="s">
        <v>374</v>
      </c>
      <c r="E52" s="119">
        <v>50</v>
      </c>
      <c r="F52" s="464">
        <f>E52/E56</f>
        <v>0.24582104228121926</v>
      </c>
      <c r="G52" s="465">
        <f>(E56*F52)/D56</f>
        <v>3.6873156342182889</v>
      </c>
      <c r="H52" s="460">
        <f>C51*G52</f>
        <v>47.935103244837755</v>
      </c>
      <c r="I52" s="466">
        <f>G52*$D$5</f>
        <v>3.6873156342182889</v>
      </c>
      <c r="J52" s="610"/>
      <c r="K52" s="116">
        <f>$D$5*H52</f>
        <v>47.935103244837755</v>
      </c>
    </row>
    <row r="53" spans="2:11" ht="15" customHeight="1" x14ac:dyDescent="0.35">
      <c r="B53" s="654"/>
      <c r="C53" s="607"/>
      <c r="D53" s="463" t="s">
        <v>56</v>
      </c>
      <c r="E53" s="119">
        <v>0.4</v>
      </c>
      <c r="F53" s="467">
        <f>E53/E56</f>
        <v>1.9665683382497543E-3</v>
      </c>
      <c r="G53" s="468">
        <f>(E56*F53)/D56</f>
        <v>2.9498525073746312E-2</v>
      </c>
      <c r="H53" s="460">
        <f>C51*G53</f>
        <v>0.38348082595870203</v>
      </c>
      <c r="I53" s="469">
        <f>G53*$D$6</f>
        <v>0.97935103244837762</v>
      </c>
      <c r="J53" s="610"/>
      <c r="K53" s="116">
        <f>$D$6*H53</f>
        <v>12.731563421828909</v>
      </c>
    </row>
    <row r="54" spans="2:11" ht="15" customHeight="1" x14ac:dyDescent="0.35">
      <c r="B54" s="654"/>
      <c r="C54" s="607"/>
      <c r="D54" s="463" t="s">
        <v>44</v>
      </c>
      <c r="E54" s="119">
        <v>3</v>
      </c>
      <c r="F54" s="467">
        <f>E54/E56</f>
        <v>1.4749262536873156E-2</v>
      </c>
      <c r="G54" s="119">
        <f>(E56*F54)/D56</f>
        <v>0.22123893805309733</v>
      </c>
      <c r="H54" s="480">
        <f>C51*G54</f>
        <v>2.8761061946902653</v>
      </c>
      <c r="I54" s="469">
        <f>G54*$D$7</f>
        <v>2.6548672566371678</v>
      </c>
      <c r="J54" s="610"/>
      <c r="K54" s="116">
        <f>$D$7*H54</f>
        <v>34.513274336283182</v>
      </c>
    </row>
    <row r="55" spans="2:11" ht="15.75" customHeight="1" thickBot="1" x14ac:dyDescent="0.4">
      <c r="B55" s="654"/>
      <c r="C55" s="608"/>
      <c r="D55" s="485" t="s">
        <v>386</v>
      </c>
      <c r="E55" s="486"/>
      <c r="F55" s="487">
        <f>E55/E56</f>
        <v>0</v>
      </c>
      <c r="G55" s="488">
        <f>(E56*F55)/D56</f>
        <v>0</v>
      </c>
      <c r="H55" s="489">
        <f>C51*G55</f>
        <v>0</v>
      </c>
      <c r="I55" s="490">
        <f>G55*$D$3</f>
        <v>0</v>
      </c>
      <c r="J55" s="611"/>
      <c r="K55" s="131">
        <f>$D$3*H55</f>
        <v>0</v>
      </c>
    </row>
    <row r="56" spans="2:11" ht="15.75" customHeight="1" thickBot="1" x14ac:dyDescent="0.4">
      <c r="B56" s="655"/>
      <c r="C56" s="115" t="s">
        <v>4</v>
      </c>
      <c r="D56" s="470">
        <f>E56/15</f>
        <v>13.56</v>
      </c>
      <c r="E56" s="473">
        <f>SUM(E51:E55)</f>
        <v>203.4</v>
      </c>
      <c r="F56" s="491">
        <f>SUM(F51:F55)</f>
        <v>0.99999999999999989</v>
      </c>
      <c r="G56" s="473">
        <f>SUM(G51:G55)</f>
        <v>15</v>
      </c>
      <c r="H56" s="492">
        <f>SUM(H51:H55)</f>
        <v>195.00000000000003</v>
      </c>
      <c r="I56" s="484">
        <f>SUM(I51:I55)</f>
        <v>18.383480825958699</v>
      </c>
      <c r="J56" s="475"/>
      <c r="K56" s="476">
        <f>SUM(K51:K55)</f>
        <v>238.98525073746316</v>
      </c>
    </row>
    <row r="57" spans="2:11" ht="15" thickBot="1" x14ac:dyDescent="0.4">
      <c r="H57" s="107"/>
      <c r="K57" s="106"/>
    </row>
    <row r="58" spans="2:11" ht="15" thickBot="1" x14ac:dyDescent="0.4">
      <c r="B58" s="650" t="s">
        <v>388</v>
      </c>
      <c r="C58" s="615" t="s">
        <v>52</v>
      </c>
      <c r="D58" s="617" t="s">
        <v>51</v>
      </c>
      <c r="E58" s="600" t="s">
        <v>8</v>
      </c>
      <c r="F58" s="601"/>
      <c r="G58" s="601"/>
      <c r="H58" s="602"/>
      <c r="I58" s="619" t="s">
        <v>0</v>
      </c>
      <c r="J58" s="620"/>
    </row>
    <row r="59" spans="2:11" ht="29.5" thickBot="1" x14ac:dyDescent="0.4">
      <c r="B59" s="651"/>
      <c r="C59" s="597"/>
      <c r="D59" s="599"/>
      <c r="E59" s="128" t="s">
        <v>50</v>
      </c>
      <c r="F59" s="456" t="s">
        <v>49</v>
      </c>
      <c r="G59" s="129" t="s">
        <v>48</v>
      </c>
      <c r="H59" s="128" t="s">
        <v>382</v>
      </c>
      <c r="I59" s="129" t="s">
        <v>46</v>
      </c>
      <c r="J59" s="128" t="s">
        <v>45</v>
      </c>
    </row>
    <row r="60" spans="2:11" x14ac:dyDescent="0.35">
      <c r="B60" s="651"/>
      <c r="C60" s="606">
        <v>200</v>
      </c>
      <c r="D60" s="457" t="s">
        <v>372</v>
      </c>
      <c r="E60" s="119">
        <v>150</v>
      </c>
      <c r="F60" s="458">
        <f>E60/E64</f>
        <v>0.74552683896620286</v>
      </c>
      <c r="G60" s="459">
        <f>(E64*F60)/D64</f>
        <v>0.74552683896620286</v>
      </c>
      <c r="H60" s="460">
        <f>C60*G60</f>
        <v>149.10536779324056</v>
      </c>
      <c r="I60" s="466">
        <f>G60*$D$3</f>
        <v>0.74552683896620286</v>
      </c>
      <c r="J60" s="462">
        <f>$D$3*H60</f>
        <v>149.10536779324056</v>
      </c>
    </row>
    <row r="61" spans="2:11" x14ac:dyDescent="0.35">
      <c r="B61" s="651"/>
      <c r="C61" s="607"/>
      <c r="D61" s="463" t="s">
        <v>373</v>
      </c>
      <c r="E61" s="119">
        <v>50</v>
      </c>
      <c r="F61" s="464">
        <f>E61/E64</f>
        <v>0.2485089463220676</v>
      </c>
      <c r="G61" s="465">
        <f>(E64*F61)/D64</f>
        <v>0.2485089463220676</v>
      </c>
      <c r="H61" s="460">
        <f>C60*G61</f>
        <v>49.70178926441352</v>
      </c>
      <c r="I61" s="469">
        <f>G61*$D$4</f>
        <v>0.16153081510934394</v>
      </c>
      <c r="J61" s="116">
        <f>$D$4*H61</f>
        <v>32.306163021868791</v>
      </c>
    </row>
    <row r="62" spans="2:11" x14ac:dyDescent="0.35">
      <c r="B62" s="651"/>
      <c r="C62" s="607"/>
      <c r="D62" s="463" t="s">
        <v>56</v>
      </c>
      <c r="E62" s="493" t="s">
        <v>389</v>
      </c>
      <c r="F62" s="467">
        <f>E62/E64</f>
        <v>4.9701789264413525E-4</v>
      </c>
      <c r="G62" s="494">
        <f>(E64*F62)/D64</f>
        <v>4.9701789264413525E-4</v>
      </c>
      <c r="H62" s="460">
        <f>C60*G62</f>
        <v>9.9403578528827044E-2</v>
      </c>
      <c r="I62" s="469">
        <f>G62*$D$6</f>
        <v>1.6500994035785293E-2</v>
      </c>
      <c r="J62" s="116">
        <f>$D$6*H62</f>
        <v>3.300198807157058</v>
      </c>
    </row>
    <row r="63" spans="2:11" ht="15" thickBot="1" x14ac:dyDescent="0.4">
      <c r="B63" s="651"/>
      <c r="C63" s="607"/>
      <c r="D63" s="463" t="s">
        <v>44</v>
      </c>
      <c r="E63" s="119">
        <v>1.2</v>
      </c>
      <c r="F63" s="464">
        <f>E63/E64</f>
        <v>5.9642147117296221E-3</v>
      </c>
      <c r="G63" s="495">
        <f>(E64*F63)/D64</f>
        <v>5.9642147117296221E-3</v>
      </c>
      <c r="H63" s="480">
        <f>C60*G63</f>
        <v>1.1928429423459244</v>
      </c>
      <c r="I63" s="490">
        <f>G63*$D$7</f>
        <v>7.1570576540755465E-2</v>
      </c>
      <c r="J63" s="116">
        <f>$D$7*H63</f>
        <v>14.314115308151091</v>
      </c>
    </row>
    <row r="64" spans="2:11" ht="15" thickBot="1" x14ac:dyDescent="0.4">
      <c r="B64" s="652"/>
      <c r="C64" s="115" t="s">
        <v>4</v>
      </c>
      <c r="D64" s="470">
        <f>E64/1</f>
        <v>201.2</v>
      </c>
      <c r="E64" s="471">
        <f t="shared" ref="E64:J64" si="1">SUM(E60:E63)</f>
        <v>201.2</v>
      </c>
      <c r="F64" s="472">
        <f t="shared" si="1"/>
        <v>1.0004970178926442</v>
      </c>
      <c r="G64" s="473">
        <f t="shared" si="1"/>
        <v>1.0004970178926442</v>
      </c>
      <c r="H64" s="474">
        <f t="shared" si="1"/>
        <v>200.09940357852884</v>
      </c>
      <c r="I64" s="496">
        <f t="shared" si="1"/>
        <v>0.99512922465208764</v>
      </c>
      <c r="J64" s="476">
        <f t="shared" si="1"/>
        <v>199.02584493041749</v>
      </c>
    </row>
    <row r="65" spans="2:11" ht="15" thickBot="1" x14ac:dyDescent="0.4">
      <c r="H65" s="107"/>
      <c r="K65" s="106"/>
    </row>
    <row r="66" spans="2:11" ht="15" thickBot="1" x14ac:dyDescent="0.4">
      <c r="B66" s="612" t="s">
        <v>390</v>
      </c>
      <c r="C66" s="615" t="s">
        <v>52</v>
      </c>
      <c r="D66" s="617" t="s">
        <v>51</v>
      </c>
      <c r="E66" s="600" t="s">
        <v>8</v>
      </c>
      <c r="F66" s="601"/>
      <c r="G66" s="601"/>
      <c r="H66" s="602"/>
      <c r="I66" s="619" t="s">
        <v>0</v>
      </c>
      <c r="J66" s="604"/>
      <c r="K66" s="497"/>
    </row>
    <row r="67" spans="2:11" ht="29.5" thickBot="1" x14ac:dyDescent="0.4">
      <c r="B67" s="613"/>
      <c r="C67" s="616"/>
      <c r="D67" s="599"/>
      <c r="E67" s="128" t="s">
        <v>50</v>
      </c>
      <c r="F67" s="456" t="s">
        <v>49</v>
      </c>
      <c r="G67" s="129" t="s">
        <v>48</v>
      </c>
      <c r="H67" s="128" t="s">
        <v>382</v>
      </c>
      <c r="I67" s="129" t="s">
        <v>46</v>
      </c>
      <c r="J67" s="128" t="s">
        <v>45</v>
      </c>
    </row>
    <row r="68" spans="2:11" x14ac:dyDescent="0.35">
      <c r="B68" s="613"/>
      <c r="C68" s="606">
        <v>200</v>
      </c>
      <c r="D68" s="457" t="s">
        <v>372</v>
      </c>
      <c r="E68" s="119">
        <v>150</v>
      </c>
      <c r="F68" s="458">
        <f>E68/E74</f>
        <v>0.74331020812685833</v>
      </c>
      <c r="G68" s="459">
        <f>(E74*F68)/D74</f>
        <v>0.74331020812685833</v>
      </c>
      <c r="H68" s="460">
        <f>C68*G68</f>
        <v>148.66204162537167</v>
      </c>
      <c r="I68" s="498">
        <f>G68*$D$3</f>
        <v>0.74331020812685833</v>
      </c>
      <c r="J68" s="462">
        <f>$D$3*H68</f>
        <v>148.66204162537167</v>
      </c>
    </row>
    <row r="69" spans="2:11" x14ac:dyDescent="0.35">
      <c r="B69" s="613"/>
      <c r="C69" s="607"/>
      <c r="D69" s="463" t="s">
        <v>373</v>
      </c>
      <c r="E69" s="119">
        <v>15</v>
      </c>
      <c r="F69" s="464">
        <f>E69/E74</f>
        <v>7.4331020812685833E-2</v>
      </c>
      <c r="G69" s="119">
        <f>(E74*F69)/D74</f>
        <v>7.4331020812685833E-2</v>
      </c>
      <c r="H69" s="460">
        <f>C68*G69</f>
        <v>14.866204162537166</v>
      </c>
      <c r="I69" s="499">
        <f>G69*$D$4</f>
        <v>4.8315163528245796E-2</v>
      </c>
      <c r="J69" s="116">
        <f>$D$4*H69</f>
        <v>9.6630327056491581</v>
      </c>
    </row>
    <row r="70" spans="2:11" x14ac:dyDescent="0.35">
      <c r="B70" s="613"/>
      <c r="C70" s="607"/>
      <c r="D70" s="463" t="s">
        <v>374</v>
      </c>
      <c r="E70" s="119">
        <v>35</v>
      </c>
      <c r="F70" s="464">
        <f>E70/E74</f>
        <v>0.1734390485629336</v>
      </c>
      <c r="G70" s="465">
        <f>(E74*F70)/D74</f>
        <v>0.1734390485629336</v>
      </c>
      <c r="H70" s="460">
        <f>C68*G70</f>
        <v>34.68780971258672</v>
      </c>
      <c r="I70" s="499">
        <f>G70*$D$5</f>
        <v>0.1734390485629336</v>
      </c>
      <c r="J70" s="116">
        <f>$D$5*H70</f>
        <v>34.68780971258672</v>
      </c>
    </row>
    <row r="71" spans="2:11" x14ac:dyDescent="0.35">
      <c r="B71" s="613"/>
      <c r="C71" s="607"/>
      <c r="D71" s="463" t="s">
        <v>56</v>
      </c>
      <c r="E71" s="500">
        <v>0.1</v>
      </c>
      <c r="F71" s="467">
        <f>E71/E74</f>
        <v>4.9554013875123895E-4</v>
      </c>
      <c r="G71" s="501">
        <f>(E74*F71)/D74</f>
        <v>4.9554013875123895E-4</v>
      </c>
      <c r="H71" s="460">
        <f>C68*G71</f>
        <v>9.9108027750247796E-2</v>
      </c>
      <c r="I71" s="502">
        <f>G71*$D$6</f>
        <v>1.6451932606541136E-2</v>
      </c>
      <c r="J71" s="116">
        <f>$D$6*H71</f>
        <v>3.2903865213082271</v>
      </c>
    </row>
    <row r="72" spans="2:11" x14ac:dyDescent="0.35">
      <c r="B72" s="613"/>
      <c r="C72" s="607"/>
      <c r="D72" s="463" t="s">
        <v>44</v>
      </c>
      <c r="E72" s="119">
        <v>1.2</v>
      </c>
      <c r="F72" s="467">
        <f>E72/E74</f>
        <v>5.9464816650148661E-3</v>
      </c>
      <c r="G72" s="495">
        <f>(E74*F72)/D74</f>
        <v>5.9464816650148661E-3</v>
      </c>
      <c r="H72" s="480">
        <f>C68*G72</f>
        <v>1.1892963330029733</v>
      </c>
      <c r="I72" s="502">
        <f>G72*$D$7</f>
        <v>7.1357779980178393E-2</v>
      </c>
      <c r="J72" s="116">
        <f>$D$7*H72</f>
        <v>14.27155599603568</v>
      </c>
    </row>
    <row r="73" spans="2:11" ht="15" thickBot="1" x14ac:dyDescent="0.4">
      <c r="B73" s="613"/>
      <c r="C73" s="608"/>
      <c r="D73" s="485" t="s">
        <v>379</v>
      </c>
      <c r="E73" s="503">
        <v>0.5</v>
      </c>
      <c r="F73" s="467">
        <f>E73/E74</f>
        <v>2.4777006937561946E-3</v>
      </c>
      <c r="G73" s="504">
        <f>(E74*F73)/D74</f>
        <v>2.4777006937561946E-3</v>
      </c>
      <c r="H73" s="489">
        <f>C68*G73</f>
        <v>0.49554013875123892</v>
      </c>
      <c r="I73" s="505">
        <f>G73*D10</f>
        <v>2.4777006937561946E-3</v>
      </c>
      <c r="J73" s="131" t="e">
        <f>#REF!*H73</f>
        <v>#REF!</v>
      </c>
    </row>
    <row r="74" spans="2:11" ht="15" thickBot="1" x14ac:dyDescent="0.4">
      <c r="B74" s="614"/>
      <c r="C74" s="115" t="s">
        <v>4</v>
      </c>
      <c r="D74" s="470">
        <f>E74/1</f>
        <v>201.79999999999998</v>
      </c>
      <c r="E74" s="473">
        <f t="shared" ref="E74:J74" si="2">SUM(E68:E73)</f>
        <v>201.79999999999998</v>
      </c>
      <c r="F74" s="481">
        <f t="shared" si="2"/>
        <v>1</v>
      </c>
      <c r="G74" s="482">
        <f t="shared" si="2"/>
        <v>1</v>
      </c>
      <c r="H74" s="483">
        <f t="shared" si="2"/>
        <v>200.00000000000003</v>
      </c>
      <c r="I74" s="484">
        <f t="shared" si="2"/>
        <v>1.0553518334985135</v>
      </c>
      <c r="J74" s="476" t="e">
        <f t="shared" si="2"/>
        <v>#REF!</v>
      </c>
    </row>
    <row r="75" spans="2:11" ht="15" thickBot="1" x14ac:dyDescent="0.4">
      <c r="H75" s="107"/>
      <c r="K75" s="106"/>
    </row>
    <row r="76" spans="2:11" ht="15" thickBot="1" x14ac:dyDescent="0.4">
      <c r="B76" s="647" t="s">
        <v>391</v>
      </c>
      <c r="C76" s="615" t="s">
        <v>52</v>
      </c>
      <c r="D76" s="617" t="s">
        <v>51</v>
      </c>
      <c r="E76" s="600" t="s">
        <v>8</v>
      </c>
      <c r="F76" s="601"/>
      <c r="G76" s="601"/>
      <c r="H76" s="602"/>
      <c r="I76" s="619" t="s">
        <v>0</v>
      </c>
      <c r="J76" s="604"/>
      <c r="K76" s="497"/>
    </row>
    <row r="77" spans="2:11" ht="29.5" thickBot="1" x14ac:dyDescent="0.4">
      <c r="B77" s="648"/>
      <c r="C77" s="616"/>
      <c r="D77" s="599"/>
      <c r="E77" s="128" t="s">
        <v>50</v>
      </c>
      <c r="F77" s="456" t="s">
        <v>49</v>
      </c>
      <c r="G77" s="129" t="s">
        <v>48</v>
      </c>
      <c r="H77" s="128" t="s">
        <v>382</v>
      </c>
      <c r="I77" s="129" t="s">
        <v>46</v>
      </c>
      <c r="J77" s="128" t="s">
        <v>45</v>
      </c>
    </row>
    <row r="78" spans="2:11" x14ac:dyDescent="0.35">
      <c r="B78" s="648"/>
      <c r="C78" s="606">
        <v>200</v>
      </c>
      <c r="D78" s="457" t="s">
        <v>372</v>
      </c>
      <c r="E78" s="119">
        <v>150</v>
      </c>
      <c r="F78" s="458">
        <f>E78/E83</f>
        <v>0.72011521843494963</v>
      </c>
      <c r="G78" s="506">
        <f>(E83*F78)/D83</f>
        <v>0.72011521843494963</v>
      </c>
      <c r="H78" s="460">
        <f>G78*C78</f>
        <v>144.02304368698992</v>
      </c>
      <c r="I78" s="466">
        <f>G78*$D$3</f>
        <v>0.72011521843494963</v>
      </c>
      <c r="J78" s="462">
        <f>$D$3*H78</f>
        <v>144.02304368698992</v>
      </c>
    </row>
    <row r="79" spans="2:11" x14ac:dyDescent="0.35">
      <c r="B79" s="648"/>
      <c r="C79" s="607"/>
      <c r="D79" s="463" t="s">
        <v>373</v>
      </c>
      <c r="E79" s="119">
        <v>50</v>
      </c>
      <c r="F79" s="464">
        <f>E79/E83</f>
        <v>0.24003840614498323</v>
      </c>
      <c r="G79" s="507">
        <f>(E83*F79)/D83</f>
        <v>0.24003840614498323</v>
      </c>
      <c r="H79" s="460">
        <f>C78*G79</f>
        <v>48.007681228996645</v>
      </c>
      <c r="I79" s="469">
        <f>G79*$D$4</f>
        <v>0.1560249639942391</v>
      </c>
      <c r="J79" s="116">
        <f>$D$4*H79</f>
        <v>31.204992798847819</v>
      </c>
    </row>
    <row r="80" spans="2:11" x14ac:dyDescent="0.35">
      <c r="B80" s="648"/>
      <c r="C80" s="607"/>
      <c r="D80" s="463" t="s">
        <v>56</v>
      </c>
      <c r="E80" s="508">
        <v>0.1</v>
      </c>
      <c r="F80" s="467">
        <f>E80/E83</f>
        <v>4.8007681228996648E-4</v>
      </c>
      <c r="G80" s="494">
        <f>(E83*F80)/D83</f>
        <v>4.8007681228996648E-4</v>
      </c>
      <c r="H80" s="460">
        <f>C78*G80</f>
        <v>9.6015362457993303E-2</v>
      </c>
      <c r="I80" s="469">
        <f>G80*$D$6</f>
        <v>1.5938550168026887E-2</v>
      </c>
      <c r="J80" s="116">
        <f>$D$6*H80</f>
        <v>3.1877100336053781</v>
      </c>
    </row>
    <row r="81" spans="2:11" x14ac:dyDescent="0.35">
      <c r="B81" s="648"/>
      <c r="C81" s="607"/>
      <c r="D81" s="463" t="s">
        <v>44</v>
      </c>
      <c r="E81" s="119">
        <v>1.2</v>
      </c>
      <c r="F81" s="467">
        <f>E81/E83</f>
        <v>5.7609217474795969E-3</v>
      </c>
      <c r="G81" s="495">
        <f>(E83*F81)/D83</f>
        <v>5.7609217474795969E-3</v>
      </c>
      <c r="H81" s="480">
        <f>C78*G81</f>
        <v>1.1521843494959194</v>
      </c>
      <c r="I81" s="469">
        <f>G81*$D$7</f>
        <v>6.9131060969755159E-2</v>
      </c>
      <c r="J81" s="116">
        <f>$D$7*H81</f>
        <v>13.826212193951033</v>
      </c>
    </row>
    <row r="82" spans="2:11" ht="15" thickBot="1" x14ac:dyDescent="0.4">
      <c r="B82" s="648"/>
      <c r="C82" s="608"/>
      <c r="D82" s="485" t="s">
        <v>375</v>
      </c>
      <c r="E82" s="486">
        <v>7</v>
      </c>
      <c r="F82" s="487">
        <f>E82/E83</f>
        <v>3.3605376860297652E-2</v>
      </c>
      <c r="G82" s="504">
        <f>(E83*F82)/D83</f>
        <v>3.3605376860297652E-2</v>
      </c>
      <c r="H82" s="489">
        <f>C78*G82</f>
        <v>6.7210753720595307</v>
      </c>
      <c r="I82" s="490">
        <f>G82*$D$8</f>
        <v>3.3605376860297652E-2</v>
      </c>
      <c r="J82" s="131">
        <f>$D$8*H82</f>
        <v>6.7210753720595307</v>
      </c>
    </row>
    <row r="83" spans="2:11" ht="15" thickBot="1" x14ac:dyDescent="0.4">
      <c r="B83" s="649"/>
      <c r="C83" s="115" t="s">
        <v>4</v>
      </c>
      <c r="D83" s="470">
        <f>E83/1</f>
        <v>208.29999999999998</v>
      </c>
      <c r="E83" s="473">
        <f t="shared" ref="E83:J83" si="3">SUM(E78:E82)</f>
        <v>208.29999999999998</v>
      </c>
      <c r="F83" s="491">
        <f t="shared" si="3"/>
        <v>1.0000000000000002</v>
      </c>
      <c r="G83" s="473">
        <f t="shared" si="3"/>
        <v>1.0000000000000002</v>
      </c>
      <c r="H83" s="492">
        <f t="shared" si="3"/>
        <v>200</v>
      </c>
      <c r="I83" s="484">
        <f t="shared" si="3"/>
        <v>0.99481517042726852</v>
      </c>
      <c r="J83" s="476">
        <f t="shared" si="3"/>
        <v>198.96303408545367</v>
      </c>
    </row>
    <row r="84" spans="2:11" ht="15" thickBot="1" x14ac:dyDescent="0.4">
      <c r="H84" s="107"/>
      <c r="K84" s="106"/>
    </row>
    <row r="85" spans="2:11" ht="15" thickBot="1" x14ac:dyDescent="0.4">
      <c r="B85" s="644" t="s">
        <v>392</v>
      </c>
      <c r="C85" s="615" t="s">
        <v>52</v>
      </c>
      <c r="D85" s="617" t="s">
        <v>51</v>
      </c>
      <c r="E85" s="600" t="s">
        <v>8</v>
      </c>
      <c r="F85" s="601"/>
      <c r="G85" s="601"/>
      <c r="H85" s="602"/>
      <c r="I85" s="619" t="s">
        <v>0</v>
      </c>
      <c r="J85" s="620"/>
    </row>
    <row r="86" spans="2:11" ht="29.5" thickBot="1" x14ac:dyDescent="0.4">
      <c r="B86" s="645"/>
      <c r="C86" s="616"/>
      <c r="D86" s="599"/>
      <c r="E86" s="128" t="s">
        <v>50</v>
      </c>
      <c r="F86" s="456" t="s">
        <v>49</v>
      </c>
      <c r="G86" s="129" t="s">
        <v>48</v>
      </c>
      <c r="H86" s="128" t="s">
        <v>382</v>
      </c>
      <c r="I86" s="129" t="s">
        <v>46</v>
      </c>
      <c r="J86" s="128" t="s">
        <v>45</v>
      </c>
    </row>
    <row r="87" spans="2:11" x14ac:dyDescent="0.35">
      <c r="B87" s="645"/>
      <c r="C87" s="606">
        <v>200</v>
      </c>
      <c r="D87" s="457" t="s">
        <v>372</v>
      </c>
      <c r="E87" s="119">
        <v>150</v>
      </c>
      <c r="F87" s="458">
        <f>E87/E91</f>
        <v>0.7451564828614009</v>
      </c>
      <c r="G87" s="506">
        <f>(E91*F87)/D91</f>
        <v>0.7451564828614009</v>
      </c>
      <c r="H87" s="460">
        <f>C87*G87</f>
        <v>149.03129657228018</v>
      </c>
      <c r="I87" s="466">
        <f>G87*$D$3</f>
        <v>0.7451564828614009</v>
      </c>
      <c r="J87" s="462">
        <f>$D$3*H87</f>
        <v>149.03129657228018</v>
      </c>
    </row>
    <row r="88" spans="2:11" x14ac:dyDescent="0.35">
      <c r="B88" s="645"/>
      <c r="C88" s="607"/>
      <c r="D88" s="463" t="s">
        <v>374</v>
      </c>
      <c r="E88" s="119">
        <v>50</v>
      </c>
      <c r="F88" s="464">
        <f>E88/E91</f>
        <v>0.24838549428713366</v>
      </c>
      <c r="G88" s="507">
        <f>(E91*F88)/D91</f>
        <v>0.24838549428713366</v>
      </c>
      <c r="H88" s="460">
        <f>C87*G88</f>
        <v>49.677098857426735</v>
      </c>
      <c r="I88" s="469">
        <f>G88*$D$5</f>
        <v>0.24838549428713366</v>
      </c>
      <c r="J88" s="116">
        <f>$D$5*H88</f>
        <v>49.677098857426735</v>
      </c>
    </row>
    <row r="89" spans="2:11" x14ac:dyDescent="0.35">
      <c r="B89" s="645"/>
      <c r="C89" s="607"/>
      <c r="D89" s="463" t="s">
        <v>56</v>
      </c>
      <c r="E89" s="508">
        <v>0.1</v>
      </c>
      <c r="F89" s="467">
        <f>E89/E91</f>
        <v>4.9677098857426737E-4</v>
      </c>
      <c r="G89" s="494">
        <f>(E91*F89)/D91</f>
        <v>4.9677098857426737E-4</v>
      </c>
      <c r="H89" s="460">
        <f>C87*G89</f>
        <v>9.9354197714853473E-2</v>
      </c>
      <c r="I89" s="469">
        <f>G89*$D$6</f>
        <v>1.6492796820665678E-2</v>
      </c>
      <c r="J89" s="116">
        <f>$D$6*H89</f>
        <v>3.2985593641331357</v>
      </c>
    </row>
    <row r="90" spans="2:11" ht="15" thickBot="1" x14ac:dyDescent="0.4">
      <c r="B90" s="645"/>
      <c r="C90" s="607"/>
      <c r="D90" s="463" t="s">
        <v>44</v>
      </c>
      <c r="E90" s="119">
        <v>1.2</v>
      </c>
      <c r="F90" s="467">
        <f>E90/E91</f>
        <v>5.9612518628912071E-3</v>
      </c>
      <c r="G90" s="509">
        <f>(E91*F90)/D91</f>
        <v>5.9612518628912071E-3</v>
      </c>
      <c r="H90" s="480">
        <f>C87*G90</f>
        <v>1.1922503725782414</v>
      </c>
      <c r="I90" s="490">
        <f>G90*$D$7</f>
        <v>7.1535022354694486E-2</v>
      </c>
      <c r="J90" s="116">
        <f>$D$7*H90</f>
        <v>14.307004470938896</v>
      </c>
    </row>
    <row r="91" spans="2:11" ht="15" thickBot="1" x14ac:dyDescent="0.4">
      <c r="B91" s="646"/>
      <c r="C91" s="115" t="s">
        <v>4</v>
      </c>
      <c r="D91" s="470">
        <f>E91/1</f>
        <v>201.29999999999998</v>
      </c>
      <c r="E91" s="473">
        <f t="shared" ref="E91:J91" si="4">SUM(E87:E90)</f>
        <v>201.29999999999998</v>
      </c>
      <c r="F91" s="491">
        <f t="shared" si="4"/>
        <v>1</v>
      </c>
      <c r="G91" s="473">
        <f t="shared" si="4"/>
        <v>1</v>
      </c>
      <c r="H91" s="492">
        <f t="shared" si="4"/>
        <v>200</v>
      </c>
      <c r="I91" s="484">
        <f t="shared" si="4"/>
        <v>1.0815697963238946</v>
      </c>
      <c r="J91" s="476">
        <f t="shared" si="4"/>
        <v>216.31395926477893</v>
      </c>
    </row>
    <row r="92" spans="2:11" ht="15" thickBot="1" x14ac:dyDescent="0.4">
      <c r="H92" s="107"/>
      <c r="K92" s="106"/>
    </row>
    <row r="93" spans="2:11" ht="15" thickBot="1" x14ac:dyDescent="0.4">
      <c r="B93" s="637" t="s">
        <v>393</v>
      </c>
      <c r="C93" s="640" t="s">
        <v>52</v>
      </c>
      <c r="D93" s="642" t="s">
        <v>51</v>
      </c>
      <c r="E93" s="619" t="s">
        <v>8</v>
      </c>
      <c r="F93" s="604"/>
      <c r="G93" s="604"/>
      <c r="H93" s="620"/>
      <c r="I93" s="619" t="s">
        <v>0</v>
      </c>
      <c r="J93" s="620"/>
    </row>
    <row r="94" spans="2:11" ht="29.5" thickBot="1" x14ac:dyDescent="0.4">
      <c r="B94" s="638"/>
      <c r="C94" s="641"/>
      <c r="D94" s="643"/>
      <c r="E94" s="128" t="s">
        <v>50</v>
      </c>
      <c r="F94" s="456" t="s">
        <v>49</v>
      </c>
      <c r="G94" s="129" t="s">
        <v>48</v>
      </c>
      <c r="H94" s="128" t="s">
        <v>382</v>
      </c>
      <c r="I94" s="129" t="s">
        <v>46</v>
      </c>
      <c r="J94" s="128" t="s">
        <v>45</v>
      </c>
    </row>
    <row r="95" spans="2:11" ht="15" customHeight="1" x14ac:dyDescent="0.35">
      <c r="B95" s="638"/>
      <c r="C95" s="606">
        <v>200</v>
      </c>
      <c r="D95" s="457" t="s">
        <v>372</v>
      </c>
      <c r="E95" s="119">
        <v>150</v>
      </c>
      <c r="F95" s="458">
        <f>E95/E100</f>
        <v>0.74441687344913166</v>
      </c>
      <c r="G95" s="506">
        <f>(E100*F95)/D100</f>
        <v>0.74441687344913166</v>
      </c>
      <c r="H95" s="460">
        <f>C95*G95</f>
        <v>148.88337468982633</v>
      </c>
      <c r="I95" s="466">
        <f>G95*$D$3</f>
        <v>0.74441687344913166</v>
      </c>
      <c r="J95" s="462">
        <f>$D$3*H95</f>
        <v>148.88337468982633</v>
      </c>
    </row>
    <row r="96" spans="2:11" ht="15" customHeight="1" x14ac:dyDescent="0.35">
      <c r="B96" s="638"/>
      <c r="C96" s="607"/>
      <c r="D96" s="463" t="s">
        <v>374</v>
      </c>
      <c r="E96" s="119">
        <v>50</v>
      </c>
      <c r="F96" s="464">
        <f>E96/E100</f>
        <v>0.24813895781637721</v>
      </c>
      <c r="G96" s="507">
        <f>(E100*F96)/D100</f>
        <v>0.24813895781637721</v>
      </c>
      <c r="H96" s="460">
        <f>C95*G96</f>
        <v>49.627791563275444</v>
      </c>
      <c r="I96" s="469">
        <f>G96*$D$5</f>
        <v>0.24813895781637721</v>
      </c>
      <c r="J96" s="116">
        <f>$D$5*H96</f>
        <v>49.627791563275444</v>
      </c>
    </row>
    <row r="97" spans="2:10" ht="15" customHeight="1" x14ac:dyDescent="0.35">
      <c r="B97" s="638"/>
      <c r="C97" s="607"/>
      <c r="D97" s="463" t="s">
        <v>56</v>
      </c>
      <c r="E97" s="508">
        <v>0.1</v>
      </c>
      <c r="F97" s="467">
        <f>E97/E100</f>
        <v>4.9627791563275445E-4</v>
      </c>
      <c r="G97" s="494">
        <f>(E100*F97)/D100</f>
        <v>4.9627791563275445E-4</v>
      </c>
      <c r="H97" s="460">
        <f>C95*G97</f>
        <v>9.9255583126550889E-2</v>
      </c>
      <c r="I97" s="469">
        <f>G97*$D$6</f>
        <v>1.6476426799007449E-2</v>
      </c>
      <c r="J97" s="469">
        <f>$D$6*H97</f>
        <v>3.2952853598014897</v>
      </c>
    </row>
    <row r="98" spans="2:10" ht="15.75" customHeight="1" x14ac:dyDescent="0.35">
      <c r="B98" s="638"/>
      <c r="C98" s="607"/>
      <c r="D98" s="463" t="s">
        <v>44</v>
      </c>
      <c r="E98" s="119">
        <v>1.2</v>
      </c>
      <c r="F98" s="467">
        <f>E98/E100</f>
        <v>5.955334987593053E-3</v>
      </c>
      <c r="G98" s="509">
        <f>(E100*F98)/D100</f>
        <v>5.955334987593053E-3</v>
      </c>
      <c r="H98" s="480">
        <f>C95*G98</f>
        <v>1.1910669975186106</v>
      </c>
      <c r="I98" s="469">
        <f>G98*$D$7</f>
        <v>7.1464019851116639E-2</v>
      </c>
      <c r="J98" s="469">
        <f>$D$7*H98</f>
        <v>14.292803970223327</v>
      </c>
    </row>
    <row r="99" spans="2:10" ht="15" thickBot="1" x14ac:dyDescent="0.4">
      <c r="B99" s="638"/>
      <c r="C99" s="608"/>
      <c r="D99" s="485" t="s">
        <v>377</v>
      </c>
      <c r="E99" s="486">
        <v>0.2</v>
      </c>
      <c r="F99" s="487">
        <f>E99/E100</f>
        <v>9.925558312655089E-4</v>
      </c>
      <c r="G99" s="504">
        <f>(E100*F99)/D100</f>
        <v>9.925558312655089E-4</v>
      </c>
      <c r="H99" s="489">
        <f>C95*G99</f>
        <v>0.19851116625310178</v>
      </c>
      <c r="I99" s="469">
        <f>G99*$D$9</f>
        <v>9.925558312655089E-4</v>
      </c>
      <c r="J99" s="469">
        <f>$D$9*H99</f>
        <v>0.19851116625310178</v>
      </c>
    </row>
    <row r="100" spans="2:10" ht="15" thickBot="1" x14ac:dyDescent="0.4">
      <c r="B100" s="639"/>
      <c r="C100" s="115" t="s">
        <v>4</v>
      </c>
      <c r="D100" s="470">
        <f>E100/1</f>
        <v>201.49999999999997</v>
      </c>
      <c r="E100" s="473">
        <f t="shared" ref="E100:J100" si="5">SUM(E95:E99)</f>
        <v>201.49999999999997</v>
      </c>
      <c r="F100" s="491">
        <f t="shared" si="5"/>
        <v>1.0000000000000002</v>
      </c>
      <c r="G100" s="473">
        <f t="shared" si="5"/>
        <v>1.0000000000000002</v>
      </c>
      <c r="H100" s="492">
        <f t="shared" si="5"/>
        <v>200.00000000000006</v>
      </c>
      <c r="I100" s="484">
        <f t="shared" si="5"/>
        <v>1.0814888337468986</v>
      </c>
      <c r="J100" s="476">
        <f t="shared" si="5"/>
        <v>216.29776674937969</v>
      </c>
    </row>
    <row r="101" spans="2:10" ht="15" thickBot="1" x14ac:dyDescent="0.4"/>
    <row r="102" spans="2:10" ht="15" thickBot="1" x14ac:dyDescent="0.4">
      <c r="B102" s="631" t="s">
        <v>394</v>
      </c>
      <c r="C102" s="615" t="s">
        <v>52</v>
      </c>
      <c r="D102" s="617" t="s">
        <v>51</v>
      </c>
      <c r="E102" s="600" t="s">
        <v>8</v>
      </c>
      <c r="F102" s="601"/>
      <c r="G102" s="601"/>
      <c r="H102" s="602"/>
      <c r="I102" s="619" t="s">
        <v>0</v>
      </c>
      <c r="J102" s="620"/>
    </row>
    <row r="103" spans="2:10" ht="29.5" thickBot="1" x14ac:dyDescent="0.4">
      <c r="B103" s="632"/>
      <c r="C103" s="616"/>
      <c r="D103" s="599"/>
      <c r="E103" s="510" t="s">
        <v>50</v>
      </c>
      <c r="F103" s="511" t="s">
        <v>49</v>
      </c>
      <c r="G103" s="142" t="s">
        <v>48</v>
      </c>
      <c r="H103" s="510" t="s">
        <v>382</v>
      </c>
      <c r="I103" s="142" t="s">
        <v>46</v>
      </c>
      <c r="J103" s="510" t="s">
        <v>45</v>
      </c>
    </row>
    <row r="104" spans="2:10" ht="15" customHeight="1" x14ac:dyDescent="0.35">
      <c r="B104" s="632"/>
      <c r="C104" s="606">
        <v>200</v>
      </c>
      <c r="D104" s="512" t="s">
        <v>372</v>
      </c>
      <c r="E104" s="127">
        <v>150</v>
      </c>
      <c r="F104" s="513">
        <f>E104/E111</f>
        <v>0.73909830007390986</v>
      </c>
      <c r="G104" s="514">
        <f>(E111*F104)/D111</f>
        <v>0.73909830007390986</v>
      </c>
      <c r="H104" s="124">
        <f>C104*G104</f>
        <v>147.81966001478196</v>
      </c>
      <c r="I104" s="123">
        <f>G104*$D$3</f>
        <v>0.73909830007390986</v>
      </c>
      <c r="J104" s="122">
        <f>$D$3*H104</f>
        <v>147.81966001478196</v>
      </c>
    </row>
    <row r="105" spans="2:10" ht="15" customHeight="1" x14ac:dyDescent="0.35">
      <c r="B105" s="632"/>
      <c r="C105" s="607"/>
      <c r="D105" s="515" t="s">
        <v>373</v>
      </c>
      <c r="E105" s="516">
        <v>25</v>
      </c>
      <c r="F105" s="464">
        <f>E105/E111</f>
        <v>0.12318305001231832</v>
      </c>
      <c r="G105" s="508">
        <f>(E111*F105)/D111</f>
        <v>0.12318305001231832</v>
      </c>
      <c r="H105" s="118">
        <f>C104*G105</f>
        <v>24.636610002463662</v>
      </c>
      <c r="I105" s="117">
        <f>G105*$D$4</f>
        <v>8.0068982508006911E-2</v>
      </c>
      <c r="J105" s="116">
        <f>$D$4*H105</f>
        <v>16.01379650160138</v>
      </c>
    </row>
    <row r="106" spans="2:10" ht="15" customHeight="1" x14ac:dyDescent="0.35">
      <c r="B106" s="632"/>
      <c r="C106" s="607"/>
      <c r="D106" s="515" t="s">
        <v>374</v>
      </c>
      <c r="E106" s="516">
        <v>25</v>
      </c>
      <c r="F106" s="464">
        <f>E106/E111</f>
        <v>0.12318305001231832</v>
      </c>
      <c r="G106" s="508">
        <f>(E111*F106)/D111</f>
        <v>0.12318305001231832</v>
      </c>
      <c r="H106" s="118">
        <f>C104*G106</f>
        <v>24.636610002463662</v>
      </c>
      <c r="I106" s="117">
        <f>G106*$D$5</f>
        <v>0.12318305001231832</v>
      </c>
      <c r="J106" s="116">
        <f>$D$5*H106</f>
        <v>24.636610002463662</v>
      </c>
    </row>
    <row r="107" spans="2:10" ht="15" customHeight="1" x14ac:dyDescent="0.35">
      <c r="B107" s="632"/>
      <c r="C107" s="607"/>
      <c r="D107" s="515" t="s">
        <v>56</v>
      </c>
      <c r="E107" s="517">
        <v>0.1</v>
      </c>
      <c r="F107" s="467">
        <f>E107/E111</f>
        <v>4.9273220004927333E-4</v>
      </c>
      <c r="G107" s="518">
        <f>(E111*F107)/D111</f>
        <v>4.9273220004927333E-4</v>
      </c>
      <c r="H107" s="118">
        <f>C104*G107</f>
        <v>9.8546440009854672E-2</v>
      </c>
      <c r="I107" s="117">
        <f>G107*$D$6</f>
        <v>1.6358709041635874E-2</v>
      </c>
      <c r="J107" s="116">
        <f>$D$6*H107</f>
        <v>3.2717418083271754</v>
      </c>
    </row>
    <row r="108" spans="2:10" ht="15.75" customHeight="1" x14ac:dyDescent="0.35">
      <c r="B108" s="632"/>
      <c r="C108" s="607"/>
      <c r="D108" s="515" t="s">
        <v>44</v>
      </c>
      <c r="E108" s="516">
        <v>1.2</v>
      </c>
      <c r="F108" s="467">
        <f>E108/E111</f>
        <v>5.9127864005912786E-3</v>
      </c>
      <c r="G108" s="509">
        <f>(E111*F108)/D111</f>
        <v>5.9127864005912786E-3</v>
      </c>
      <c r="H108" s="508">
        <f>C104*G108</f>
        <v>1.1825572801182558</v>
      </c>
      <c r="I108" s="117">
        <f>G108*$D$7</f>
        <v>7.0953436807095344E-2</v>
      </c>
      <c r="J108" s="116">
        <f>$D$7*H108</f>
        <v>14.190687361419069</v>
      </c>
    </row>
    <row r="109" spans="2:10" ht="19.5" customHeight="1" x14ac:dyDescent="0.35">
      <c r="B109" s="632"/>
      <c r="C109" s="607"/>
      <c r="D109" s="515" t="s">
        <v>377</v>
      </c>
      <c r="E109" s="517">
        <v>1.5</v>
      </c>
      <c r="F109" s="467">
        <f>E109/E111</f>
        <v>7.3909830007390983E-3</v>
      </c>
      <c r="G109" s="518">
        <f>(E111*F109)/D111</f>
        <v>7.3909830007390983E-3</v>
      </c>
      <c r="H109" s="118">
        <f>C104*G109</f>
        <v>1.4781966001478197</v>
      </c>
      <c r="I109" s="117">
        <f>G109*$D$9</f>
        <v>7.3909830007390983E-3</v>
      </c>
      <c r="J109" s="116">
        <f>$D$9*H109</f>
        <v>1.4781966001478197</v>
      </c>
    </row>
    <row r="110" spans="2:10" ht="19.5" customHeight="1" thickBot="1" x14ac:dyDescent="0.4">
      <c r="B110" s="632"/>
      <c r="C110" s="608"/>
      <c r="D110" s="519" t="s">
        <v>380</v>
      </c>
      <c r="E110" s="517">
        <v>0.15</v>
      </c>
      <c r="F110" s="467">
        <f>E110/E111</f>
        <v>7.3909830007390983E-4</v>
      </c>
      <c r="G110" s="495">
        <f>(E111*F110)/D111</f>
        <v>7.3909830007390983E-4</v>
      </c>
      <c r="H110" s="508">
        <f>C104*G110</f>
        <v>0.14781966001478197</v>
      </c>
      <c r="I110" s="117">
        <f>G110*D11</f>
        <v>7.3909830007390983E-4</v>
      </c>
      <c r="J110" s="520">
        <f>$D$9*H110</f>
        <v>0.14781966001478197</v>
      </c>
    </row>
    <row r="111" spans="2:10" ht="15" thickBot="1" x14ac:dyDescent="0.4">
      <c r="B111" s="633"/>
      <c r="C111" s="115" t="s">
        <v>4</v>
      </c>
      <c r="D111" s="521">
        <f>E111/1</f>
        <v>202.95</v>
      </c>
      <c r="E111" s="522">
        <f t="shared" ref="E111:J111" si="6">SUM(E104:E110)</f>
        <v>202.95</v>
      </c>
      <c r="F111" s="523">
        <f t="shared" si="6"/>
        <v>1.0000000000000002</v>
      </c>
      <c r="G111" s="524">
        <f t="shared" si="6"/>
        <v>1.0000000000000002</v>
      </c>
      <c r="H111" s="525">
        <f t="shared" si="6"/>
        <v>200</v>
      </c>
      <c r="I111" s="526">
        <f t="shared" si="6"/>
        <v>1.0377925597437792</v>
      </c>
      <c r="J111" s="527">
        <f t="shared" si="6"/>
        <v>207.55851194875584</v>
      </c>
    </row>
    <row r="112" spans="2:10" ht="15" thickBot="1" x14ac:dyDescent="0.4"/>
    <row r="113" spans="2:11" ht="15" thickBot="1" x14ac:dyDescent="0.4">
      <c r="B113" s="634" t="s">
        <v>395</v>
      </c>
      <c r="C113" s="615" t="s">
        <v>52</v>
      </c>
      <c r="D113" s="617" t="s">
        <v>51</v>
      </c>
      <c r="E113" s="600" t="s">
        <v>8</v>
      </c>
      <c r="F113" s="601"/>
      <c r="G113" s="601"/>
      <c r="H113" s="602"/>
      <c r="I113" s="619" t="s">
        <v>0</v>
      </c>
      <c r="J113" s="604"/>
      <c r="K113" s="497"/>
    </row>
    <row r="114" spans="2:11" ht="29.5" thickBot="1" x14ac:dyDescent="0.4">
      <c r="B114" s="635"/>
      <c r="C114" s="616"/>
      <c r="D114" s="599"/>
      <c r="E114" s="128" t="s">
        <v>50</v>
      </c>
      <c r="F114" s="456" t="s">
        <v>49</v>
      </c>
      <c r="G114" s="129" t="s">
        <v>48</v>
      </c>
      <c r="H114" s="128" t="s">
        <v>382</v>
      </c>
      <c r="I114" s="129" t="s">
        <v>46</v>
      </c>
      <c r="J114" s="128" t="s">
        <v>45</v>
      </c>
    </row>
    <row r="115" spans="2:11" x14ac:dyDescent="0.35">
      <c r="B115" s="635"/>
      <c r="C115" s="606">
        <v>200</v>
      </c>
      <c r="D115" s="457" t="s">
        <v>372</v>
      </c>
      <c r="E115" s="119">
        <v>150</v>
      </c>
      <c r="F115" s="458">
        <f>E115/E120</f>
        <v>0.73782587309394987</v>
      </c>
      <c r="G115" s="506">
        <f>(E120*F115)/D120</f>
        <v>0.73782587309394987</v>
      </c>
      <c r="H115" s="460">
        <f>C115*G115</f>
        <v>147.56517461878997</v>
      </c>
      <c r="I115" s="466">
        <f>G115*$D$3</f>
        <v>0.73782587309394987</v>
      </c>
      <c r="J115" s="462">
        <f>$D$3*H115</f>
        <v>147.56517461878997</v>
      </c>
    </row>
    <row r="116" spans="2:11" x14ac:dyDescent="0.35">
      <c r="B116" s="635"/>
      <c r="C116" s="607"/>
      <c r="D116" s="463" t="s">
        <v>373</v>
      </c>
      <c r="E116" s="119">
        <v>50</v>
      </c>
      <c r="F116" s="464">
        <f>E116/E120</f>
        <v>0.2459419576979833</v>
      </c>
      <c r="G116" s="507">
        <f>(E120*F116)/D120</f>
        <v>0.2459419576979833</v>
      </c>
      <c r="H116" s="460">
        <f>C115*G116</f>
        <v>49.188391539596658</v>
      </c>
      <c r="I116" s="469">
        <f>G116*$D$4</f>
        <v>0.15986227250368915</v>
      </c>
      <c r="J116" s="116">
        <f>$D$4*H116</f>
        <v>31.972454500737829</v>
      </c>
    </row>
    <row r="117" spans="2:11" x14ac:dyDescent="0.35">
      <c r="B117" s="635"/>
      <c r="C117" s="607"/>
      <c r="D117" s="463" t="s">
        <v>56</v>
      </c>
      <c r="E117" s="508">
        <v>0.1</v>
      </c>
      <c r="F117" s="467">
        <f>E117/E120</f>
        <v>4.9188391539596664E-4</v>
      </c>
      <c r="G117" s="494">
        <f>(E120*F117)/D120</f>
        <v>4.9188391539596664E-4</v>
      </c>
      <c r="H117" s="460">
        <f>C115*G117</f>
        <v>9.8376783079193328E-2</v>
      </c>
      <c r="I117" s="469">
        <f>G117*$D$6</f>
        <v>1.6330545991146094E-2</v>
      </c>
      <c r="J117" s="116">
        <f>$D$6*H117</f>
        <v>3.266109198229219</v>
      </c>
    </row>
    <row r="118" spans="2:11" x14ac:dyDescent="0.35">
      <c r="B118" s="635"/>
      <c r="C118" s="607"/>
      <c r="D118" s="463" t="s">
        <v>44</v>
      </c>
      <c r="E118" s="119">
        <v>1.2</v>
      </c>
      <c r="F118" s="467">
        <f>E118/E120</f>
        <v>5.9026069847515992E-3</v>
      </c>
      <c r="G118" s="509">
        <f>(E120*F118)/D120</f>
        <v>5.9026069847515992E-3</v>
      </c>
      <c r="H118" s="480">
        <f>C115*G118</f>
        <v>1.1805213969503199</v>
      </c>
      <c r="I118" s="469">
        <f>G118*$D$7</f>
        <v>7.0831283817019197E-2</v>
      </c>
      <c r="J118" s="116">
        <f>$D$7*H118</f>
        <v>14.166256763403839</v>
      </c>
    </row>
    <row r="119" spans="2:11" ht="15" thickBot="1" x14ac:dyDescent="0.4">
      <c r="B119" s="635"/>
      <c r="C119" s="608"/>
      <c r="D119" s="485" t="s">
        <v>375</v>
      </c>
      <c r="E119" s="486">
        <v>2</v>
      </c>
      <c r="F119" s="487">
        <f>E119/E120</f>
        <v>9.8376783079193314E-3</v>
      </c>
      <c r="G119" s="504">
        <f>(E120*F119)/D120</f>
        <v>9.8376783079193314E-3</v>
      </c>
      <c r="H119" s="489">
        <f>C115*G119</f>
        <v>1.9675356615838662</v>
      </c>
      <c r="I119" s="490">
        <f>G119*$D$8</f>
        <v>9.8376783079193314E-3</v>
      </c>
      <c r="J119" s="131">
        <f>$D$8*H119</f>
        <v>1.9675356615838662</v>
      </c>
    </row>
    <row r="120" spans="2:11" ht="15" thickBot="1" x14ac:dyDescent="0.4">
      <c r="B120" s="636"/>
      <c r="C120" s="115" t="s">
        <v>4</v>
      </c>
      <c r="D120" s="470">
        <f>E120/1</f>
        <v>203.29999999999998</v>
      </c>
      <c r="E120" s="473">
        <f t="shared" ref="E120:J120" si="7">SUM(E115:E119)</f>
        <v>203.29999999999998</v>
      </c>
      <c r="F120" s="491">
        <f t="shared" si="7"/>
        <v>1.0000000000000002</v>
      </c>
      <c r="G120" s="473">
        <f t="shared" si="7"/>
        <v>1.0000000000000002</v>
      </c>
      <c r="H120" s="492">
        <f t="shared" si="7"/>
        <v>200.00000000000003</v>
      </c>
      <c r="I120" s="484">
        <f t="shared" si="7"/>
        <v>0.9946876537137237</v>
      </c>
      <c r="J120" s="476">
        <f t="shared" si="7"/>
        <v>198.93753074274474</v>
      </c>
    </row>
    <row r="121" spans="2:11" ht="15" thickBot="1" x14ac:dyDescent="0.4"/>
    <row r="122" spans="2:11" ht="15" thickBot="1" x14ac:dyDescent="0.4">
      <c r="B122" s="631" t="s">
        <v>396</v>
      </c>
      <c r="C122" s="615" t="s">
        <v>52</v>
      </c>
      <c r="D122" s="617" t="s">
        <v>51</v>
      </c>
      <c r="E122" s="600" t="s">
        <v>8</v>
      </c>
      <c r="F122" s="601"/>
      <c r="G122" s="601"/>
      <c r="H122" s="602"/>
      <c r="I122" s="619" t="s">
        <v>0</v>
      </c>
      <c r="J122" s="620"/>
    </row>
    <row r="123" spans="2:11" ht="29.5" thickBot="1" x14ac:dyDescent="0.4">
      <c r="B123" s="632"/>
      <c r="C123" s="616"/>
      <c r="D123" s="599"/>
      <c r="E123" s="510" t="s">
        <v>50</v>
      </c>
      <c r="F123" s="511" t="s">
        <v>49</v>
      </c>
      <c r="G123" s="142" t="s">
        <v>48</v>
      </c>
      <c r="H123" s="510" t="s">
        <v>382</v>
      </c>
      <c r="I123" s="142" t="s">
        <v>46</v>
      </c>
      <c r="J123" s="510" t="s">
        <v>45</v>
      </c>
    </row>
    <row r="124" spans="2:11" x14ac:dyDescent="0.35">
      <c r="B124" s="632"/>
      <c r="C124" s="606">
        <v>200</v>
      </c>
      <c r="D124" s="512" t="s">
        <v>372</v>
      </c>
      <c r="E124" s="127">
        <v>150</v>
      </c>
      <c r="F124" s="513">
        <f>E124/E131</f>
        <v>0.73367571533382248</v>
      </c>
      <c r="G124" s="514">
        <f>(E131*F124)/D131</f>
        <v>0.73367571533382248</v>
      </c>
      <c r="H124" s="124">
        <f>C124*G124</f>
        <v>146.73514306676449</v>
      </c>
      <c r="I124" s="123">
        <f>G124*$D$3</f>
        <v>0.73367571533382248</v>
      </c>
      <c r="J124" s="122">
        <f>$D$3*H124</f>
        <v>146.73514306676449</v>
      </c>
    </row>
    <row r="125" spans="2:11" x14ac:dyDescent="0.35">
      <c r="B125" s="632"/>
      <c r="C125" s="607"/>
      <c r="D125" s="515" t="s">
        <v>373</v>
      </c>
      <c r="E125" s="516">
        <v>25</v>
      </c>
      <c r="F125" s="464">
        <f>E125/E131</f>
        <v>0.12227928588897041</v>
      </c>
      <c r="G125" s="508">
        <f>(E131*F125)/D131</f>
        <v>0.12227928588897041</v>
      </c>
      <c r="H125" s="118">
        <f>C124*G125</f>
        <v>24.455857177794083</v>
      </c>
      <c r="I125" s="117">
        <f>G125*$D$4</f>
        <v>7.9481535827830768E-2</v>
      </c>
      <c r="J125" s="116">
        <f>$D$4*H125</f>
        <v>15.896307165566155</v>
      </c>
    </row>
    <row r="126" spans="2:11" x14ac:dyDescent="0.35">
      <c r="B126" s="632"/>
      <c r="C126" s="607"/>
      <c r="D126" s="515" t="s">
        <v>374</v>
      </c>
      <c r="E126" s="516">
        <v>25</v>
      </c>
      <c r="F126" s="464">
        <f>E126/E131</f>
        <v>0.12227928588897041</v>
      </c>
      <c r="G126" s="508">
        <f>(E131*F126)/D131</f>
        <v>0.12227928588897041</v>
      </c>
      <c r="H126" s="118">
        <f>C124*G126</f>
        <v>24.455857177794083</v>
      </c>
      <c r="I126" s="117">
        <f>G126*$D$5</f>
        <v>0.12227928588897041</v>
      </c>
      <c r="J126" s="116">
        <f>$D$5*H126</f>
        <v>24.455857177794083</v>
      </c>
    </row>
    <row r="127" spans="2:11" x14ac:dyDescent="0.35">
      <c r="B127" s="632"/>
      <c r="C127" s="607"/>
      <c r="D127" s="515" t="s">
        <v>56</v>
      </c>
      <c r="E127" s="517">
        <v>0.1</v>
      </c>
      <c r="F127" s="467">
        <f>E127/E131</f>
        <v>4.8911714355588166E-4</v>
      </c>
      <c r="G127" s="518">
        <f>(E131*F127)/D131</f>
        <v>4.8911714355588166E-4</v>
      </c>
      <c r="H127" s="508">
        <f>C124*G127</f>
        <v>9.782342871117633E-2</v>
      </c>
      <c r="I127" s="117">
        <f>G127*$D$6</f>
        <v>1.6238689166055271E-2</v>
      </c>
      <c r="J127" s="116">
        <f>$D$6*H127</f>
        <v>3.2477378332110542</v>
      </c>
    </row>
    <row r="128" spans="2:11" x14ac:dyDescent="0.35">
      <c r="B128" s="632"/>
      <c r="C128" s="607"/>
      <c r="D128" s="515" t="s">
        <v>44</v>
      </c>
      <c r="E128" s="516">
        <v>1.2</v>
      </c>
      <c r="F128" s="467">
        <f>E128/E131</f>
        <v>5.8694057226705799E-3</v>
      </c>
      <c r="G128" s="509">
        <f>(E131*F128)/D131</f>
        <v>5.8694057226705799E-3</v>
      </c>
      <c r="H128" s="508">
        <f>C124*G128</f>
        <v>1.173881144534116</v>
      </c>
      <c r="I128" s="117">
        <f>G128*$D$7</f>
        <v>7.0432868672046955E-2</v>
      </c>
      <c r="J128" s="116">
        <f>$D$7*H128</f>
        <v>14.086573734409392</v>
      </c>
    </row>
    <row r="129" spans="2:10" x14ac:dyDescent="0.35">
      <c r="B129" s="632"/>
      <c r="C129" s="607"/>
      <c r="D129" s="515" t="s">
        <v>377</v>
      </c>
      <c r="E129" s="517">
        <v>3</v>
      </c>
      <c r="F129" s="467">
        <f>E129/E131</f>
        <v>1.467351430667645E-2</v>
      </c>
      <c r="G129" s="509">
        <f>(E131*F129)/D131</f>
        <v>1.467351430667645E-2</v>
      </c>
      <c r="H129" s="118">
        <f>C124*G129</f>
        <v>2.9347028613352899</v>
      </c>
      <c r="I129" s="528">
        <f>G129*$D$9</f>
        <v>1.467351430667645E-2</v>
      </c>
      <c r="J129" s="116">
        <f>$D$9*H129</f>
        <v>2.9347028613352899</v>
      </c>
    </row>
    <row r="130" spans="2:10" ht="15" thickBot="1" x14ac:dyDescent="0.4">
      <c r="B130" s="632"/>
      <c r="C130" s="607"/>
      <c r="D130" s="515" t="s">
        <v>380</v>
      </c>
      <c r="E130" s="517">
        <v>0.15</v>
      </c>
      <c r="F130" s="467">
        <f>E130/E131</f>
        <v>7.3367571533382249E-4</v>
      </c>
      <c r="G130" s="518">
        <f>(E131*F130)/D131</f>
        <v>7.3367571533382249E-4</v>
      </c>
      <c r="H130" s="508">
        <f>C124*G130</f>
        <v>0.1467351430667645</v>
      </c>
      <c r="I130" s="117">
        <f>G130*$D$11</f>
        <v>7.3367571533382249E-4</v>
      </c>
      <c r="J130" s="116">
        <f>$D$9*H130</f>
        <v>0.1467351430667645</v>
      </c>
    </row>
    <row r="131" spans="2:10" ht="15" thickBot="1" x14ac:dyDescent="0.4">
      <c r="B131" s="633"/>
      <c r="C131" s="115" t="s">
        <v>4</v>
      </c>
      <c r="D131" s="521">
        <f>E131/1</f>
        <v>204.45</v>
      </c>
      <c r="E131" s="522">
        <f t="shared" ref="E131:J131" si="8">SUM(E124:E130)</f>
        <v>204.45</v>
      </c>
      <c r="F131" s="523">
        <f t="shared" si="8"/>
        <v>1</v>
      </c>
      <c r="G131" s="524">
        <f t="shared" si="8"/>
        <v>1</v>
      </c>
      <c r="H131" s="525">
        <f t="shared" si="8"/>
        <v>200</v>
      </c>
      <c r="I131" s="526">
        <f t="shared" si="8"/>
        <v>1.0375152849107363</v>
      </c>
      <c r="J131" s="527">
        <f t="shared" si="8"/>
        <v>207.50305698214726</v>
      </c>
    </row>
    <row r="132" spans="2:10" ht="15" thickBot="1" x14ac:dyDescent="0.4"/>
    <row r="133" spans="2:10" ht="15" thickBot="1" x14ac:dyDescent="0.4">
      <c r="B133" s="623" t="s">
        <v>397</v>
      </c>
      <c r="C133" s="615" t="s">
        <v>52</v>
      </c>
      <c r="D133" s="617" t="s">
        <v>51</v>
      </c>
      <c r="E133" s="600" t="s">
        <v>8</v>
      </c>
      <c r="F133" s="601"/>
      <c r="G133" s="601"/>
      <c r="H133" s="602"/>
      <c r="I133" s="619" t="s">
        <v>0</v>
      </c>
      <c r="J133" s="620"/>
    </row>
    <row r="134" spans="2:10" ht="29.5" thickBot="1" x14ac:dyDescent="0.4">
      <c r="B134" s="624"/>
      <c r="C134" s="616"/>
      <c r="D134" s="599"/>
      <c r="E134" s="510" t="s">
        <v>50</v>
      </c>
      <c r="F134" s="511" t="s">
        <v>49</v>
      </c>
      <c r="G134" s="142" t="s">
        <v>48</v>
      </c>
      <c r="H134" s="510" t="s">
        <v>382</v>
      </c>
      <c r="I134" s="142" t="s">
        <v>46</v>
      </c>
      <c r="J134" s="510" t="s">
        <v>45</v>
      </c>
    </row>
    <row r="135" spans="2:10" x14ac:dyDescent="0.35">
      <c r="B135" s="624"/>
      <c r="C135" s="606">
        <v>53</v>
      </c>
      <c r="D135" s="512" t="s">
        <v>202</v>
      </c>
      <c r="E135" s="127">
        <v>600</v>
      </c>
      <c r="F135" s="513">
        <f>E135/E140</f>
        <v>0.7492507492507493</v>
      </c>
      <c r="G135" s="514">
        <f>(E140*F135)/D140</f>
        <v>11.23876123876124</v>
      </c>
      <c r="H135" s="124">
        <f>C135*G135</f>
        <v>595.65434565434578</v>
      </c>
      <c r="I135" s="123">
        <f>G135*$D$2</f>
        <v>0.91575091575091594</v>
      </c>
      <c r="J135" s="122">
        <f>$D$3*H135</f>
        <v>595.65434565434578</v>
      </c>
    </row>
    <row r="136" spans="2:10" x14ac:dyDescent="0.35">
      <c r="B136" s="624"/>
      <c r="C136" s="607"/>
      <c r="D136" s="515" t="s">
        <v>373</v>
      </c>
      <c r="E136" s="516">
        <v>100</v>
      </c>
      <c r="F136" s="464">
        <f>E136/E140</f>
        <v>0.12487512487512488</v>
      </c>
      <c r="G136" s="508">
        <f>(E140*F136)/D140</f>
        <v>1.8731268731268733</v>
      </c>
      <c r="H136" s="118">
        <f>C135*G136</f>
        <v>99.275724275724286</v>
      </c>
      <c r="I136" s="117">
        <f>G136*$D$4</f>
        <v>1.2175324675324677</v>
      </c>
      <c r="J136" s="116">
        <f>$D$4*H136</f>
        <v>64.529220779220793</v>
      </c>
    </row>
    <row r="137" spans="2:10" x14ac:dyDescent="0.35">
      <c r="B137" s="624"/>
      <c r="C137" s="607"/>
      <c r="D137" s="515" t="s">
        <v>56</v>
      </c>
      <c r="E137" s="529">
        <v>0.4</v>
      </c>
      <c r="F137" s="467">
        <f>E137/E140</f>
        <v>4.9950049950049961E-4</v>
      </c>
      <c r="G137" s="518">
        <f>(E140*F137)/D140</f>
        <v>7.4925074925074947E-3</v>
      </c>
      <c r="H137" s="509">
        <f>C135*G137</f>
        <v>0.3971028971028972</v>
      </c>
      <c r="I137" s="117">
        <f>G137*$D$6</f>
        <v>0.24875124875124885</v>
      </c>
      <c r="J137" s="116">
        <f>$D$6*H137</f>
        <v>13.183816183816187</v>
      </c>
    </row>
    <row r="138" spans="2:10" x14ac:dyDescent="0.35">
      <c r="B138" s="624"/>
      <c r="C138" s="607"/>
      <c r="D138" s="515" t="s">
        <v>44</v>
      </c>
      <c r="E138" s="529">
        <v>0.4</v>
      </c>
      <c r="F138" s="467">
        <f>E138/E140</f>
        <v>4.9950049950049961E-4</v>
      </c>
      <c r="G138" s="530">
        <f>(E140*F138)/D140</f>
        <v>7.4925074925074947E-3</v>
      </c>
      <c r="H138" s="508">
        <f>C135*G138</f>
        <v>0.3971028971028972</v>
      </c>
      <c r="I138" s="531">
        <f>G138*$D$7</f>
        <v>8.9910089910089933E-2</v>
      </c>
      <c r="J138" s="116">
        <f>$D$7*H138</f>
        <v>4.7652347652347666</v>
      </c>
    </row>
    <row r="139" spans="2:10" ht="15" thickBot="1" x14ac:dyDescent="0.4">
      <c r="B139" s="624"/>
      <c r="C139" s="607"/>
      <c r="D139" s="515" t="s">
        <v>372</v>
      </c>
      <c r="E139" s="516">
        <v>100</v>
      </c>
      <c r="F139" s="467">
        <f>E139/E140</f>
        <v>0.12487512487512488</v>
      </c>
      <c r="G139" s="518">
        <f>(E140*F139)/D140</f>
        <v>1.8731268731268733</v>
      </c>
      <c r="H139" s="118">
        <f>C135*G139</f>
        <v>99.275724275724286</v>
      </c>
      <c r="I139" s="117">
        <f>G139*$D$3</f>
        <v>1.8731268731268733</v>
      </c>
      <c r="J139" s="116">
        <f>$D$9*H139</f>
        <v>99.275724275724286</v>
      </c>
    </row>
    <row r="140" spans="2:10" ht="15" thickBot="1" x14ac:dyDescent="0.4">
      <c r="B140" s="625"/>
      <c r="C140" s="115" t="s">
        <v>4</v>
      </c>
      <c r="D140" s="521">
        <f>E140/15</f>
        <v>53.386666666666663</v>
      </c>
      <c r="E140" s="522">
        <f t="shared" ref="E140:J140" si="9">SUM(E135:E139)</f>
        <v>800.8</v>
      </c>
      <c r="F140" s="523">
        <f t="shared" si="9"/>
        <v>1.0000000000000002</v>
      </c>
      <c r="G140" s="524">
        <f t="shared" si="9"/>
        <v>15.000000000000002</v>
      </c>
      <c r="H140" s="525">
        <f t="shared" si="9"/>
        <v>795.00000000000011</v>
      </c>
      <c r="I140" s="526">
        <f t="shared" si="9"/>
        <v>4.3450715950715955</v>
      </c>
      <c r="J140" s="527">
        <f t="shared" si="9"/>
        <v>777.40834165834178</v>
      </c>
    </row>
    <row r="142" spans="2:10" ht="15" thickBot="1" x14ac:dyDescent="0.4"/>
    <row r="143" spans="2:10" ht="15" thickBot="1" x14ac:dyDescent="0.4">
      <c r="B143" s="631" t="s">
        <v>398</v>
      </c>
      <c r="C143" s="615" t="s">
        <v>52</v>
      </c>
      <c r="D143" s="617" t="s">
        <v>51</v>
      </c>
      <c r="E143" s="600" t="s">
        <v>8</v>
      </c>
      <c r="F143" s="601"/>
      <c r="G143" s="601"/>
      <c r="H143" s="602"/>
      <c r="I143" s="619" t="s">
        <v>0</v>
      </c>
      <c r="J143" s="620"/>
    </row>
    <row r="144" spans="2:10" ht="29.5" thickBot="1" x14ac:dyDescent="0.4">
      <c r="B144" s="632"/>
      <c r="C144" s="616"/>
      <c r="D144" s="599"/>
      <c r="E144" s="510" t="s">
        <v>50</v>
      </c>
      <c r="F144" s="511" t="s">
        <v>49</v>
      </c>
      <c r="G144" s="142" t="s">
        <v>48</v>
      </c>
      <c r="H144" s="510" t="s">
        <v>382</v>
      </c>
      <c r="I144" s="142" t="s">
        <v>46</v>
      </c>
      <c r="J144" s="510" t="s">
        <v>45</v>
      </c>
    </row>
    <row r="145" spans="2:10" x14ac:dyDescent="0.35">
      <c r="B145" s="632"/>
      <c r="C145" s="606">
        <v>200</v>
      </c>
      <c r="D145" s="512" t="s">
        <v>372</v>
      </c>
      <c r="E145" s="127">
        <v>150</v>
      </c>
      <c r="F145" s="513">
        <f>E145/E153</f>
        <v>0.73673870333988212</v>
      </c>
      <c r="G145" s="514">
        <f>(E153*F145)/D153</f>
        <v>0.73673870333988212</v>
      </c>
      <c r="H145" s="124">
        <f>C145*G145</f>
        <v>147.34774066797641</v>
      </c>
      <c r="I145" s="123">
        <f>G145*$D$3</f>
        <v>0.73673870333988212</v>
      </c>
      <c r="J145" s="122">
        <f>$D$3*H145</f>
        <v>147.34774066797641</v>
      </c>
    </row>
    <row r="146" spans="2:10" x14ac:dyDescent="0.35">
      <c r="B146" s="632"/>
      <c r="C146" s="607"/>
      <c r="D146" s="515" t="s">
        <v>373</v>
      </c>
      <c r="E146" s="516">
        <v>0</v>
      </c>
      <c r="F146" s="464">
        <f>E146/E153</f>
        <v>0</v>
      </c>
      <c r="G146" s="508">
        <f>(E153*F146)/D153</f>
        <v>0</v>
      </c>
      <c r="H146" s="118">
        <f>C145*G146</f>
        <v>0</v>
      </c>
      <c r="I146" s="117">
        <f>G146*$D$4</f>
        <v>0</v>
      </c>
      <c r="J146" s="116">
        <f>$D$4*H146</f>
        <v>0</v>
      </c>
    </row>
    <row r="147" spans="2:10" x14ac:dyDescent="0.35">
      <c r="B147" s="632"/>
      <c r="C147" s="607"/>
      <c r="D147" s="515" t="s">
        <v>374</v>
      </c>
      <c r="E147" s="516">
        <v>50</v>
      </c>
      <c r="F147" s="464">
        <f>E147/E153</f>
        <v>0.24557956777996071</v>
      </c>
      <c r="G147" s="508">
        <f>(E153*F147)/D153</f>
        <v>0.24557956777996071</v>
      </c>
      <c r="H147" s="118">
        <f>C145*G147</f>
        <v>49.115913555992144</v>
      </c>
      <c r="I147" s="117">
        <f>G147*$D$5</f>
        <v>0.24557956777996071</v>
      </c>
      <c r="J147" s="116">
        <f>$D$5*H147</f>
        <v>49.115913555992144</v>
      </c>
    </row>
    <row r="148" spans="2:10" x14ac:dyDescent="0.35">
      <c r="B148" s="632"/>
      <c r="C148" s="607"/>
      <c r="D148" s="515" t="s">
        <v>56</v>
      </c>
      <c r="E148" s="517">
        <v>0.1</v>
      </c>
      <c r="F148" s="467">
        <f>E148/E153</f>
        <v>4.9115913555992149E-4</v>
      </c>
      <c r="G148" s="518">
        <f>(E153*F148)/D153</f>
        <v>4.9115913555992149E-4</v>
      </c>
      <c r="H148" s="508">
        <f>C145*G148</f>
        <v>9.8231827111984305E-2</v>
      </c>
      <c r="I148" s="117">
        <f>G148*$D$6</f>
        <v>1.6306483300589394E-2</v>
      </c>
      <c r="J148" s="116">
        <f>$D$6*H148</f>
        <v>3.2612966601178792</v>
      </c>
    </row>
    <row r="149" spans="2:10" x14ac:dyDescent="0.35">
      <c r="B149" s="632"/>
      <c r="C149" s="607"/>
      <c r="D149" s="515" t="s">
        <v>44</v>
      </c>
      <c r="E149" s="516">
        <v>1.2</v>
      </c>
      <c r="F149" s="467">
        <f>E149/E153</f>
        <v>5.893909626719057E-3</v>
      </c>
      <c r="G149" s="509">
        <f>(E153*F149)/D153</f>
        <v>5.893909626719057E-3</v>
      </c>
      <c r="H149" s="508">
        <f>C145*G149</f>
        <v>1.1787819253438114</v>
      </c>
      <c r="I149" s="117">
        <f>G149*$D$7</f>
        <v>7.072691552062868E-2</v>
      </c>
      <c r="J149" s="116">
        <f>$D$7*H149</f>
        <v>14.145383104125738</v>
      </c>
    </row>
    <row r="150" spans="2:10" x14ac:dyDescent="0.35">
      <c r="B150" s="632"/>
      <c r="C150" s="607"/>
      <c r="D150" s="515" t="s">
        <v>379</v>
      </c>
      <c r="E150" s="517">
        <v>0.1</v>
      </c>
      <c r="F150" s="467">
        <f>E150/E153</f>
        <v>4.9115913555992149E-4</v>
      </c>
      <c r="G150" s="518">
        <f>(E153*F150)/D153</f>
        <v>4.9115913555992149E-4</v>
      </c>
      <c r="H150" s="118">
        <f>C145*G150</f>
        <v>9.8231827111984305E-2</v>
      </c>
      <c r="I150" s="528">
        <f>G150*$D$9</f>
        <v>4.9115913555992149E-4</v>
      </c>
      <c r="J150" s="116">
        <f>$D$9*H150</f>
        <v>9.8231827111984305E-2</v>
      </c>
    </row>
    <row r="151" spans="2:10" x14ac:dyDescent="0.35">
      <c r="B151" s="632"/>
      <c r="C151" s="607"/>
      <c r="D151" s="515" t="s">
        <v>399</v>
      </c>
      <c r="E151" s="517">
        <v>0.3</v>
      </c>
      <c r="F151" s="467">
        <f>E151/E153</f>
        <v>1.4734774066797642E-3</v>
      </c>
      <c r="G151" s="518">
        <f>(E153*F151)/D153</f>
        <v>1.4734774066797642E-3</v>
      </c>
      <c r="H151" s="118">
        <f>C146*G151</f>
        <v>0</v>
      </c>
      <c r="I151" s="528">
        <f>G151*$D$9</f>
        <v>1.4734774066797642E-3</v>
      </c>
      <c r="J151" s="116">
        <f>$D$9*H151</f>
        <v>0</v>
      </c>
    </row>
    <row r="152" spans="2:10" ht="15" thickBot="1" x14ac:dyDescent="0.4">
      <c r="B152" s="632"/>
      <c r="C152" s="607"/>
      <c r="D152" s="515" t="s">
        <v>380</v>
      </c>
      <c r="E152" s="529">
        <v>1.9</v>
      </c>
      <c r="F152" s="467">
        <f>E152/E153</f>
        <v>9.3320235756385074E-3</v>
      </c>
      <c r="G152" s="518">
        <f>(E153*F152)/D153</f>
        <v>9.3320235756385074E-3</v>
      </c>
      <c r="H152" s="508">
        <f>C145*G152</f>
        <v>1.8664047151277015</v>
      </c>
      <c r="I152" s="117">
        <f>G152*$D$11</f>
        <v>9.3320235756385074E-3</v>
      </c>
      <c r="J152" s="116">
        <f>$D$9*H152</f>
        <v>1.8664047151277015</v>
      </c>
    </row>
    <row r="153" spans="2:10" ht="15" thickBot="1" x14ac:dyDescent="0.4">
      <c r="B153" s="633"/>
      <c r="C153" s="115" t="s">
        <v>4</v>
      </c>
      <c r="D153" s="521">
        <f>E153/1</f>
        <v>203.6</v>
      </c>
      <c r="E153" s="522">
        <f t="shared" ref="E153:J153" si="10">SUM(E145:E152)</f>
        <v>203.6</v>
      </c>
      <c r="F153" s="523">
        <f t="shared" si="10"/>
        <v>1.0000000000000002</v>
      </c>
      <c r="G153" s="532">
        <f t="shared" si="10"/>
        <v>1.0000000000000002</v>
      </c>
      <c r="H153" s="525">
        <f t="shared" si="10"/>
        <v>199.70530451866404</v>
      </c>
      <c r="I153" s="526">
        <f t="shared" si="10"/>
        <v>1.0806483300589389</v>
      </c>
      <c r="J153" s="527">
        <f t="shared" si="10"/>
        <v>215.83497053045187</v>
      </c>
    </row>
    <row r="154" spans="2:10" ht="15" thickBot="1" x14ac:dyDescent="0.4"/>
    <row r="155" spans="2:10" ht="15" thickBot="1" x14ac:dyDescent="0.4">
      <c r="B155" s="631" t="s">
        <v>400</v>
      </c>
      <c r="C155" s="615" t="s">
        <v>52</v>
      </c>
      <c r="D155" s="617" t="s">
        <v>51</v>
      </c>
      <c r="E155" s="600" t="s">
        <v>8</v>
      </c>
      <c r="F155" s="601"/>
      <c r="G155" s="601"/>
      <c r="H155" s="602"/>
      <c r="I155" s="619" t="s">
        <v>0</v>
      </c>
      <c r="J155" s="620"/>
    </row>
    <row r="156" spans="2:10" ht="29.5" thickBot="1" x14ac:dyDescent="0.4">
      <c r="B156" s="632"/>
      <c r="C156" s="616"/>
      <c r="D156" s="599"/>
      <c r="E156" s="510" t="s">
        <v>50</v>
      </c>
      <c r="F156" s="511" t="s">
        <v>49</v>
      </c>
      <c r="G156" s="142" t="s">
        <v>48</v>
      </c>
      <c r="H156" s="510" t="s">
        <v>382</v>
      </c>
      <c r="I156" s="142" t="s">
        <v>46</v>
      </c>
      <c r="J156" s="510" t="s">
        <v>45</v>
      </c>
    </row>
    <row r="157" spans="2:10" x14ac:dyDescent="0.35">
      <c r="B157" s="632"/>
      <c r="C157" s="606">
        <v>200</v>
      </c>
      <c r="D157" s="512" t="s">
        <v>372</v>
      </c>
      <c r="E157" s="127">
        <v>150</v>
      </c>
      <c r="F157" s="513">
        <f>E157/E165</f>
        <v>0.74294205052005957</v>
      </c>
      <c r="G157" s="514">
        <f>(E165*F157)/D165</f>
        <v>0.74294205052005957</v>
      </c>
      <c r="H157" s="124">
        <f>C157*G157</f>
        <v>148.58841010401193</v>
      </c>
      <c r="I157" s="123">
        <f>G157*$D$3</f>
        <v>0.74294205052005957</v>
      </c>
      <c r="J157" s="122">
        <f>$D$3*H157</f>
        <v>148.58841010401193</v>
      </c>
    </row>
    <row r="158" spans="2:10" x14ac:dyDescent="0.35">
      <c r="B158" s="632"/>
      <c r="C158" s="607"/>
      <c r="D158" s="515" t="s">
        <v>373</v>
      </c>
      <c r="E158" s="516">
        <v>0</v>
      </c>
      <c r="F158" s="464">
        <f>E158/E165</f>
        <v>0</v>
      </c>
      <c r="G158" s="508">
        <f>(E165*F158)/D165</f>
        <v>0</v>
      </c>
      <c r="H158" s="118">
        <f>C157*G158</f>
        <v>0</v>
      </c>
      <c r="I158" s="117">
        <f>G158*$D$4</f>
        <v>0</v>
      </c>
      <c r="J158" s="116">
        <f>$D$4*H158</f>
        <v>0</v>
      </c>
    </row>
    <row r="159" spans="2:10" x14ac:dyDescent="0.35">
      <c r="B159" s="632"/>
      <c r="C159" s="607"/>
      <c r="D159" s="515" t="s">
        <v>374</v>
      </c>
      <c r="E159" s="516">
        <v>50</v>
      </c>
      <c r="F159" s="464">
        <f>E159/E165</f>
        <v>0.24764735017335318</v>
      </c>
      <c r="G159" s="508">
        <f>(E165*F159)/D165</f>
        <v>0.24764735017335318</v>
      </c>
      <c r="H159" s="118">
        <f>C157*G159</f>
        <v>49.529470034670638</v>
      </c>
      <c r="I159" s="117">
        <f>G159*$D$5</f>
        <v>0.24764735017335318</v>
      </c>
      <c r="J159" s="116">
        <f>$D$5*H159</f>
        <v>49.529470034670638</v>
      </c>
    </row>
    <row r="160" spans="2:10" x14ac:dyDescent="0.35">
      <c r="B160" s="632"/>
      <c r="C160" s="607"/>
      <c r="D160" s="515" t="s">
        <v>56</v>
      </c>
      <c r="E160" s="517">
        <v>0.1</v>
      </c>
      <c r="F160" s="467">
        <f>E160/E165</f>
        <v>4.9529470034670637E-4</v>
      </c>
      <c r="G160" s="518">
        <f>(E165*F160)/D165</f>
        <v>4.9529470034670637E-4</v>
      </c>
      <c r="H160" s="508">
        <f>C157*G160</f>
        <v>9.9058940069341281E-2</v>
      </c>
      <c r="I160" s="117">
        <f>G160*$D$6</f>
        <v>1.6443784051510653E-2</v>
      </c>
      <c r="J160" s="116">
        <f>$D$6*H160</f>
        <v>3.288756810302131</v>
      </c>
    </row>
    <row r="161" spans="2:10" x14ac:dyDescent="0.35">
      <c r="B161" s="632"/>
      <c r="C161" s="607"/>
      <c r="D161" s="515" t="s">
        <v>44</v>
      </c>
      <c r="E161" s="516">
        <v>1.2</v>
      </c>
      <c r="F161" s="467">
        <f>E161/E165</f>
        <v>5.9435364041604761E-3</v>
      </c>
      <c r="G161" s="518">
        <f>(E165*F161)/D165</f>
        <v>5.9435364041604761E-3</v>
      </c>
      <c r="H161" s="508">
        <f>C157*G161</f>
        <v>1.1887072808320953</v>
      </c>
      <c r="I161" s="117">
        <f>G161*$D$7</f>
        <v>7.1322436849925716E-2</v>
      </c>
      <c r="J161" s="116">
        <f>$D$7*H161</f>
        <v>14.264487369985144</v>
      </c>
    </row>
    <row r="162" spans="2:10" x14ac:dyDescent="0.35">
      <c r="B162" s="632"/>
      <c r="C162" s="607"/>
      <c r="D162" s="515" t="s">
        <v>377</v>
      </c>
      <c r="E162" s="517">
        <v>0.2</v>
      </c>
      <c r="F162" s="467">
        <f>E162/E165</f>
        <v>9.9058940069341275E-4</v>
      </c>
      <c r="G162" s="518">
        <f>(E165*F162)/D165</f>
        <v>9.9058940069341275E-4</v>
      </c>
      <c r="H162" s="118">
        <f>C157*G162</f>
        <v>0.19811788013868256</v>
      </c>
      <c r="I162" s="528">
        <f>G162*$D$9</f>
        <v>9.9058940069341275E-4</v>
      </c>
      <c r="J162" s="116">
        <f>$D$9*H162</f>
        <v>0.19811788013868256</v>
      </c>
    </row>
    <row r="163" spans="2:10" x14ac:dyDescent="0.35">
      <c r="B163" s="632"/>
      <c r="C163" s="607"/>
      <c r="D163" s="515" t="s">
        <v>399</v>
      </c>
      <c r="E163" s="517">
        <v>0.1</v>
      </c>
      <c r="F163" s="467">
        <f>E163/E165</f>
        <v>4.9529470034670637E-4</v>
      </c>
      <c r="G163" s="518">
        <f>(E165*F163)/D165</f>
        <v>4.9529470034670637E-4</v>
      </c>
      <c r="H163" s="118">
        <f>C158*G163</f>
        <v>0</v>
      </c>
      <c r="I163" s="528">
        <f>G163*$D$9</f>
        <v>4.9529470034670637E-4</v>
      </c>
      <c r="J163" s="116">
        <f>$D$9*H163</f>
        <v>0</v>
      </c>
    </row>
    <row r="164" spans="2:10" ht="15" thickBot="1" x14ac:dyDescent="0.4">
      <c r="B164" s="632"/>
      <c r="C164" s="607"/>
      <c r="D164" s="515" t="s">
        <v>380</v>
      </c>
      <c r="E164" s="529">
        <v>0.3</v>
      </c>
      <c r="F164" s="467">
        <f>E164/E165</f>
        <v>1.485884101040119E-3</v>
      </c>
      <c r="G164" s="518">
        <f>(E165*F164)/D165</f>
        <v>1.485884101040119E-3</v>
      </c>
      <c r="H164" s="508">
        <f>C157*G164</f>
        <v>0.29717682020802383</v>
      </c>
      <c r="I164" s="117">
        <f>G164*$D$11</f>
        <v>1.485884101040119E-3</v>
      </c>
      <c r="J164" s="116">
        <f>$D$9*H164</f>
        <v>0.29717682020802383</v>
      </c>
    </row>
    <row r="165" spans="2:10" ht="15" thickBot="1" x14ac:dyDescent="0.4">
      <c r="B165" s="633"/>
      <c r="C165" s="115" t="s">
        <v>4</v>
      </c>
      <c r="D165" s="521">
        <f>E165/1</f>
        <v>201.89999999999998</v>
      </c>
      <c r="E165" s="522">
        <f t="shared" ref="E165:J165" si="11">SUM(E157:E164)</f>
        <v>201.89999999999998</v>
      </c>
      <c r="F165" s="523">
        <f t="shared" si="11"/>
        <v>1.0000000000000002</v>
      </c>
      <c r="G165" s="524">
        <f t="shared" si="11"/>
        <v>1.0000000000000002</v>
      </c>
      <c r="H165" s="525">
        <f t="shared" si="11"/>
        <v>199.90094105993069</v>
      </c>
      <c r="I165" s="526">
        <f t="shared" si="11"/>
        <v>1.0813273897969293</v>
      </c>
      <c r="J165" s="527">
        <f t="shared" si="11"/>
        <v>216.16641901931652</v>
      </c>
    </row>
    <row r="166" spans="2:10" ht="15" thickBot="1" x14ac:dyDescent="0.4"/>
    <row r="167" spans="2:10" ht="15" thickBot="1" x14ac:dyDescent="0.4">
      <c r="B167" s="631" t="s">
        <v>401</v>
      </c>
      <c r="C167" s="615" t="s">
        <v>52</v>
      </c>
      <c r="D167" s="617" t="s">
        <v>51</v>
      </c>
      <c r="E167" s="600" t="s">
        <v>8</v>
      </c>
      <c r="F167" s="601"/>
      <c r="G167" s="601"/>
      <c r="H167" s="602"/>
      <c r="I167" s="619" t="s">
        <v>0</v>
      </c>
      <c r="J167" s="620"/>
    </row>
    <row r="168" spans="2:10" ht="29.5" thickBot="1" x14ac:dyDescent="0.4">
      <c r="B168" s="632"/>
      <c r="C168" s="616"/>
      <c r="D168" s="599"/>
      <c r="E168" s="510" t="s">
        <v>50</v>
      </c>
      <c r="F168" s="511" t="s">
        <v>49</v>
      </c>
      <c r="G168" s="142" t="s">
        <v>48</v>
      </c>
      <c r="H168" s="510" t="s">
        <v>382</v>
      </c>
      <c r="I168" s="142" t="s">
        <v>46</v>
      </c>
      <c r="J168" s="510" t="s">
        <v>45</v>
      </c>
    </row>
    <row r="169" spans="2:10" x14ac:dyDescent="0.35">
      <c r="B169" s="632"/>
      <c r="C169" s="606">
        <v>200</v>
      </c>
      <c r="D169" s="512" t="s">
        <v>372</v>
      </c>
      <c r="E169" s="127">
        <v>150</v>
      </c>
      <c r="F169" s="513">
        <f>E169/E176</f>
        <v>0.70654733867169106</v>
      </c>
      <c r="G169" s="514">
        <f>(E176*F169)/D176</f>
        <v>0.70654733867169106</v>
      </c>
      <c r="H169" s="124">
        <f>C169*G169</f>
        <v>141.3094677343382</v>
      </c>
      <c r="I169" s="123">
        <f>G169*$D$3</f>
        <v>0.70654733867169106</v>
      </c>
      <c r="J169" s="122">
        <f>$D$3*H169</f>
        <v>141.3094677343382</v>
      </c>
    </row>
    <row r="170" spans="2:10" x14ac:dyDescent="0.35">
      <c r="B170" s="632"/>
      <c r="C170" s="607"/>
      <c r="D170" s="515" t="s">
        <v>373</v>
      </c>
      <c r="E170" s="516">
        <v>50</v>
      </c>
      <c r="F170" s="464">
        <f>E170/E176</f>
        <v>0.23551577955723035</v>
      </c>
      <c r="G170" s="508">
        <f>(E176*F170)/D176</f>
        <v>0.23551577955723035</v>
      </c>
      <c r="H170" s="118">
        <f>C169*G170</f>
        <v>47.103155911446073</v>
      </c>
      <c r="I170" s="117">
        <f>G170*$D$4</f>
        <v>0.15308525671219975</v>
      </c>
      <c r="J170" s="116">
        <f>$D$4*H170</f>
        <v>30.61705134243995</v>
      </c>
    </row>
    <row r="171" spans="2:10" x14ac:dyDescent="0.35">
      <c r="B171" s="632"/>
      <c r="C171" s="607"/>
      <c r="D171" s="515" t="s">
        <v>56</v>
      </c>
      <c r="E171" s="517">
        <v>0.1</v>
      </c>
      <c r="F171" s="467">
        <f>E171/E176</f>
        <v>4.7103155911446074E-4</v>
      </c>
      <c r="G171" s="518">
        <f>(E176*F171)/D176</f>
        <v>4.7103155911446074E-4</v>
      </c>
      <c r="H171" s="508">
        <f>C169*G171</f>
        <v>9.4206311822892144E-2</v>
      </c>
      <c r="I171" s="117">
        <f>G171*$D$6</f>
        <v>1.5638247762600099E-2</v>
      </c>
      <c r="J171" s="116">
        <f>$D$6*H171</f>
        <v>3.1276495525200194</v>
      </c>
    </row>
    <row r="172" spans="2:10" x14ac:dyDescent="0.35">
      <c r="B172" s="632"/>
      <c r="C172" s="607"/>
      <c r="D172" s="515" t="s">
        <v>44</v>
      </c>
      <c r="E172" s="516">
        <v>1.2</v>
      </c>
      <c r="F172" s="467">
        <f>E172/E176</f>
        <v>5.6523787093735282E-3</v>
      </c>
      <c r="G172" s="518">
        <f>(E176*F172)/D176</f>
        <v>5.6523787093735282E-3</v>
      </c>
      <c r="H172" s="508">
        <f>C169*G172</f>
        <v>1.1304757418747056</v>
      </c>
      <c r="I172" s="117">
        <f>G172*$D$7</f>
        <v>6.7828544512482339E-2</v>
      </c>
      <c r="J172" s="116">
        <f>$D$7*H172</f>
        <v>13.565708902496468</v>
      </c>
    </row>
    <row r="173" spans="2:10" x14ac:dyDescent="0.35">
      <c r="B173" s="632"/>
      <c r="C173" s="607"/>
      <c r="D173" s="515" t="s">
        <v>377</v>
      </c>
      <c r="E173" s="517">
        <v>2</v>
      </c>
      <c r="F173" s="467">
        <f>E173/E176</f>
        <v>9.4206311822892137E-3</v>
      </c>
      <c r="G173" s="518">
        <f>(E176*F173)/D176</f>
        <v>9.4206311822892137E-3</v>
      </c>
      <c r="H173" s="118">
        <f>C169*G173</f>
        <v>1.8841262364578428</v>
      </c>
      <c r="I173" s="528">
        <f>G173*$D$9</f>
        <v>9.4206311822892137E-3</v>
      </c>
      <c r="J173" s="116">
        <f>$D$9*H173</f>
        <v>1.8841262364578428</v>
      </c>
    </row>
    <row r="174" spans="2:10" x14ac:dyDescent="0.35">
      <c r="B174" s="632"/>
      <c r="C174" s="607"/>
      <c r="D174" s="515" t="s">
        <v>399</v>
      </c>
      <c r="E174" s="517">
        <v>4</v>
      </c>
      <c r="F174" s="467">
        <f>E174/E176</f>
        <v>1.8841262364578427E-2</v>
      </c>
      <c r="G174" s="518">
        <f>(E176*F174)/D176</f>
        <v>1.8841262364578427E-2</v>
      </c>
      <c r="H174" s="118">
        <f>C170*G174</f>
        <v>0</v>
      </c>
      <c r="I174" s="528">
        <f>G174*$D$9</f>
        <v>1.8841262364578427E-2</v>
      </c>
      <c r="J174" s="116">
        <f>$D$9*H174</f>
        <v>0</v>
      </c>
    </row>
    <row r="175" spans="2:10" ht="15" thickBot="1" x14ac:dyDescent="0.4">
      <c r="B175" s="632"/>
      <c r="C175" s="607"/>
      <c r="D175" s="515" t="s">
        <v>380</v>
      </c>
      <c r="E175" s="517">
        <v>5</v>
      </c>
      <c r="F175" s="467">
        <f>E175/E176</f>
        <v>2.3551577955723036E-2</v>
      </c>
      <c r="G175" s="518">
        <f>(E176*F175)/D176</f>
        <v>2.3551577955723036E-2</v>
      </c>
      <c r="H175" s="508">
        <f>C169*G175</f>
        <v>4.7103155911446075</v>
      </c>
      <c r="I175" s="117">
        <f>G175*$D$11</f>
        <v>2.3551577955723036E-2</v>
      </c>
      <c r="J175" s="116">
        <f>$D$9*H175</f>
        <v>4.7103155911446075</v>
      </c>
    </row>
    <row r="176" spans="2:10" ht="15" thickBot="1" x14ac:dyDescent="0.4">
      <c r="B176" s="633"/>
      <c r="C176" s="115" t="s">
        <v>4</v>
      </c>
      <c r="D176" s="521">
        <f>E176/1</f>
        <v>212.29999999999998</v>
      </c>
      <c r="E176" s="522">
        <f t="shared" ref="E176:J176" si="12">SUM(E169:E175)</f>
        <v>212.29999999999998</v>
      </c>
      <c r="F176" s="523">
        <f t="shared" si="12"/>
        <v>1</v>
      </c>
      <c r="G176" s="524">
        <f t="shared" si="12"/>
        <v>1</v>
      </c>
      <c r="H176" s="525">
        <f t="shared" si="12"/>
        <v>196.23174752708431</v>
      </c>
      <c r="I176" s="526">
        <f t="shared" si="12"/>
        <v>0.99491285916156391</v>
      </c>
      <c r="J176" s="527">
        <f t="shared" si="12"/>
        <v>195.21431935939711</v>
      </c>
    </row>
    <row r="177" spans="2:10" ht="15" thickBot="1" x14ac:dyDescent="0.4"/>
    <row r="178" spans="2:10" ht="15" thickBot="1" x14ac:dyDescent="0.4">
      <c r="B178" s="631" t="s">
        <v>402</v>
      </c>
      <c r="C178" s="615" t="s">
        <v>52</v>
      </c>
      <c r="D178" s="617" t="s">
        <v>51</v>
      </c>
      <c r="E178" s="600" t="s">
        <v>8</v>
      </c>
      <c r="F178" s="601"/>
      <c r="G178" s="601"/>
      <c r="H178" s="602"/>
      <c r="I178" s="619" t="s">
        <v>0</v>
      </c>
      <c r="J178" s="620"/>
    </row>
    <row r="179" spans="2:10" ht="29.5" thickBot="1" x14ac:dyDescent="0.4">
      <c r="B179" s="632"/>
      <c r="C179" s="616"/>
      <c r="D179" s="599"/>
      <c r="E179" s="510" t="s">
        <v>50</v>
      </c>
      <c r="F179" s="511" t="s">
        <v>49</v>
      </c>
      <c r="G179" s="142" t="s">
        <v>48</v>
      </c>
      <c r="H179" s="510" t="s">
        <v>382</v>
      </c>
      <c r="I179" s="142" t="s">
        <v>46</v>
      </c>
      <c r="J179" s="510" t="s">
        <v>45</v>
      </c>
    </row>
    <row r="180" spans="2:10" x14ac:dyDescent="0.35">
      <c r="B180" s="632"/>
      <c r="C180" s="606">
        <v>200</v>
      </c>
      <c r="D180" s="512" t="s">
        <v>372</v>
      </c>
      <c r="E180" s="127">
        <v>150</v>
      </c>
      <c r="F180" s="513">
        <f>E180/E187</f>
        <v>0.74441687344913154</v>
      </c>
      <c r="G180" s="514">
        <f>(E187*F180)/D187</f>
        <v>0.74441687344913154</v>
      </c>
      <c r="H180" s="124">
        <f>C180*G180</f>
        <v>148.8833746898263</v>
      </c>
      <c r="I180" s="123">
        <f>G180*$D$3</f>
        <v>0.74441687344913154</v>
      </c>
      <c r="J180" s="122">
        <f>$D$3*H180</f>
        <v>148.8833746898263</v>
      </c>
    </row>
    <row r="181" spans="2:10" x14ac:dyDescent="0.35">
      <c r="B181" s="632"/>
      <c r="C181" s="607"/>
      <c r="D181" s="515" t="s">
        <v>374</v>
      </c>
      <c r="E181" s="516">
        <v>50</v>
      </c>
      <c r="F181" s="464">
        <f>E181/E187</f>
        <v>0.24813895781637718</v>
      </c>
      <c r="G181" s="508">
        <f>(E187*F181)/D187</f>
        <v>0.24813895781637718</v>
      </c>
      <c r="H181" s="118">
        <f>C180*G181</f>
        <v>49.627791563275437</v>
      </c>
      <c r="I181" s="117">
        <f>G181*$D$5</f>
        <v>0.24813895781637718</v>
      </c>
      <c r="J181" s="116">
        <f>$D$5*H181</f>
        <v>49.627791563275437</v>
      </c>
    </row>
    <row r="182" spans="2:10" x14ac:dyDescent="0.35">
      <c r="B182" s="632"/>
      <c r="C182" s="607"/>
      <c r="D182" s="515" t="s">
        <v>56</v>
      </c>
      <c r="E182" s="517">
        <v>0.1</v>
      </c>
      <c r="F182" s="467">
        <f>E182/E187</f>
        <v>4.9627791563275434E-4</v>
      </c>
      <c r="G182" s="518">
        <f>(E187*F182)/D187</f>
        <v>4.9627791563275434E-4</v>
      </c>
      <c r="H182" s="508">
        <f>C180*G182</f>
        <v>9.9255583126550861E-2</v>
      </c>
      <c r="I182" s="117">
        <f>G182*$D$6</f>
        <v>1.6476426799007446E-2</v>
      </c>
      <c r="J182" s="116">
        <f>$D$6*H182</f>
        <v>3.2952853598014888</v>
      </c>
    </row>
    <row r="183" spans="2:10" x14ac:dyDescent="0.35">
      <c r="B183" s="632"/>
      <c r="C183" s="607"/>
      <c r="D183" s="515" t="s">
        <v>44</v>
      </c>
      <c r="E183" s="516">
        <v>1.2</v>
      </c>
      <c r="F183" s="467">
        <f>E183/E187</f>
        <v>5.9553349875930521E-3</v>
      </c>
      <c r="G183" s="518">
        <f>(E187*F183)/D187</f>
        <v>5.9553349875930521E-3</v>
      </c>
      <c r="H183" s="508">
        <f>C180*G183</f>
        <v>1.1910669975186103</v>
      </c>
      <c r="I183" s="117">
        <f>G183*$D$7</f>
        <v>7.1464019851116625E-2</v>
      </c>
      <c r="J183" s="116">
        <f>$D$7*H183</f>
        <v>14.292803970223325</v>
      </c>
    </row>
    <row r="184" spans="2:10" x14ac:dyDescent="0.35">
      <c r="B184" s="632"/>
      <c r="C184" s="607"/>
      <c r="D184" s="515" t="s">
        <v>377</v>
      </c>
      <c r="E184" s="517">
        <v>0.15</v>
      </c>
      <c r="F184" s="467">
        <f>E184/E187</f>
        <v>7.4441687344913151E-4</v>
      </c>
      <c r="G184" s="518">
        <f>(E187*F184)/D187</f>
        <v>7.4441687344913151E-4</v>
      </c>
      <c r="H184" s="118">
        <f>C180*G184</f>
        <v>0.14888337468982629</v>
      </c>
      <c r="I184" s="528">
        <f>G184*$D$9</f>
        <v>7.4441687344913151E-4</v>
      </c>
      <c r="J184" s="116">
        <f>$D$9*H184</f>
        <v>0.14888337468982629</v>
      </c>
    </row>
    <row r="185" spans="2:10" x14ac:dyDescent="0.35">
      <c r="B185" s="632"/>
      <c r="C185" s="607"/>
      <c r="D185" s="515" t="s">
        <v>403</v>
      </c>
      <c r="E185" s="517">
        <v>0.05</v>
      </c>
      <c r="F185" s="467">
        <f>E185/E187</f>
        <v>2.4813895781637717E-4</v>
      </c>
      <c r="G185" s="518">
        <f>(E187*F185)/D187</f>
        <v>2.4813895781637717E-4</v>
      </c>
      <c r="H185" s="118" t="e">
        <f>#REF!*G185</f>
        <v>#REF!</v>
      </c>
      <c r="I185" s="528">
        <f>G185*$D$9</f>
        <v>2.4813895781637717E-4</v>
      </c>
      <c r="J185" s="116" t="e">
        <f>$D$9*H185</f>
        <v>#REF!</v>
      </c>
    </row>
    <row r="186" spans="2:10" ht="15" thickBot="1" x14ac:dyDescent="0.4">
      <c r="B186" s="632"/>
      <c r="C186" s="607"/>
      <c r="D186" s="515" t="s">
        <v>380</v>
      </c>
      <c r="E186" s="529">
        <v>0</v>
      </c>
      <c r="F186" s="467">
        <f>E186/E187</f>
        <v>0</v>
      </c>
      <c r="G186" s="518">
        <f>(E187*F186)/D187</f>
        <v>0</v>
      </c>
      <c r="H186" s="508">
        <f>C180*G186</f>
        <v>0</v>
      </c>
      <c r="I186" s="117">
        <f>G186*$D$11</f>
        <v>0</v>
      </c>
      <c r="J186" s="116">
        <f>$D$9*H186</f>
        <v>0</v>
      </c>
    </row>
    <row r="187" spans="2:10" ht="15" thickBot="1" x14ac:dyDescent="0.4">
      <c r="B187" s="633"/>
      <c r="C187" s="115" t="s">
        <v>4</v>
      </c>
      <c r="D187" s="521">
        <f>E187/1</f>
        <v>201.5</v>
      </c>
      <c r="E187" s="522">
        <f t="shared" ref="E187:J187" si="13">SUM(E180:E186)</f>
        <v>201.5</v>
      </c>
      <c r="F187" s="523">
        <f t="shared" si="13"/>
        <v>1</v>
      </c>
      <c r="G187" s="524">
        <f t="shared" si="13"/>
        <v>1</v>
      </c>
      <c r="H187" s="525" t="e">
        <f t="shared" si="13"/>
        <v>#REF!</v>
      </c>
      <c r="I187" s="526">
        <f t="shared" si="13"/>
        <v>1.0814888337468984</v>
      </c>
      <c r="J187" s="527" t="e">
        <f t="shared" si="13"/>
        <v>#REF!</v>
      </c>
    </row>
    <row r="188" spans="2:10" ht="15" thickBot="1" x14ac:dyDescent="0.4"/>
    <row r="189" spans="2:10" ht="15" thickBot="1" x14ac:dyDescent="0.4">
      <c r="B189" s="631" t="s">
        <v>404</v>
      </c>
      <c r="C189" s="615" t="s">
        <v>52</v>
      </c>
      <c r="D189" s="617" t="s">
        <v>51</v>
      </c>
      <c r="E189" s="600" t="s">
        <v>8</v>
      </c>
      <c r="F189" s="601"/>
      <c r="G189" s="601"/>
      <c r="H189" s="602"/>
      <c r="I189" s="619" t="s">
        <v>0</v>
      </c>
      <c r="J189" s="620"/>
    </row>
    <row r="190" spans="2:10" ht="29.5" thickBot="1" x14ac:dyDescent="0.4">
      <c r="B190" s="632"/>
      <c r="C190" s="616"/>
      <c r="D190" s="599"/>
      <c r="E190" s="510" t="s">
        <v>50</v>
      </c>
      <c r="F190" s="511" t="s">
        <v>49</v>
      </c>
      <c r="G190" s="142" t="s">
        <v>48</v>
      </c>
      <c r="H190" s="510" t="s">
        <v>382</v>
      </c>
      <c r="I190" s="142" t="s">
        <v>46</v>
      </c>
      <c r="J190" s="510" t="s">
        <v>45</v>
      </c>
    </row>
    <row r="191" spans="2:10" x14ac:dyDescent="0.35">
      <c r="B191" s="632"/>
      <c r="C191" s="606">
        <v>200</v>
      </c>
      <c r="D191" s="512" t="s">
        <v>372</v>
      </c>
      <c r="E191" s="127">
        <v>150</v>
      </c>
      <c r="F191" s="513">
        <f>E191/E199</f>
        <v>0.73367571533382248</v>
      </c>
      <c r="G191" s="514">
        <f>(E199*F191)/D199</f>
        <v>0.73367571533382248</v>
      </c>
      <c r="H191" s="124">
        <f>C191*G191</f>
        <v>146.73514306676449</v>
      </c>
      <c r="I191" s="123">
        <f>G191*$D$3</f>
        <v>0.73367571533382248</v>
      </c>
      <c r="J191" s="122">
        <f>$D$3*H191</f>
        <v>146.73514306676449</v>
      </c>
    </row>
    <row r="192" spans="2:10" x14ac:dyDescent="0.35">
      <c r="B192" s="632"/>
      <c r="C192" s="607"/>
      <c r="D192" s="515" t="s">
        <v>373</v>
      </c>
      <c r="E192" s="516">
        <v>25</v>
      </c>
      <c r="F192" s="464">
        <f>E192/E199</f>
        <v>0.12227928588897041</v>
      </c>
      <c r="G192" s="508">
        <f>(E199*F192)/D199</f>
        <v>0.12227928588897041</v>
      </c>
      <c r="H192" s="118">
        <f>C191*G192</f>
        <v>24.455857177794083</v>
      </c>
      <c r="I192" s="117">
        <f>G192*$D$4</f>
        <v>7.9481535827830768E-2</v>
      </c>
      <c r="J192" s="116">
        <f>$D$4*H192</f>
        <v>15.896307165566155</v>
      </c>
    </row>
    <row r="193" spans="2:10" x14ac:dyDescent="0.35">
      <c r="B193" s="632"/>
      <c r="C193" s="607"/>
      <c r="D193" s="515" t="s">
        <v>374</v>
      </c>
      <c r="E193" s="516">
        <v>25</v>
      </c>
      <c r="F193" s="464">
        <f>E193/E199</f>
        <v>0.12227928588897041</v>
      </c>
      <c r="G193" s="508">
        <f>(E199*F193)/D199</f>
        <v>0.12227928588897041</v>
      </c>
      <c r="H193" s="118">
        <f>C191*G193</f>
        <v>24.455857177794083</v>
      </c>
      <c r="I193" s="117">
        <f>G193*$D$5</f>
        <v>0.12227928588897041</v>
      </c>
      <c r="J193" s="116">
        <f>$D$5*H193</f>
        <v>24.455857177794083</v>
      </c>
    </row>
    <row r="194" spans="2:10" x14ac:dyDescent="0.35">
      <c r="B194" s="632"/>
      <c r="C194" s="607"/>
      <c r="D194" s="515" t="s">
        <v>56</v>
      </c>
      <c r="E194" s="517">
        <v>0.1</v>
      </c>
      <c r="F194" s="467">
        <f>E194/E199</f>
        <v>4.8911714355588166E-4</v>
      </c>
      <c r="G194" s="518">
        <f>(E199*F194)/D199</f>
        <v>4.8911714355588166E-4</v>
      </c>
      <c r="H194" s="508">
        <f>C191*G194</f>
        <v>9.782342871117633E-2</v>
      </c>
      <c r="I194" s="117">
        <f>G194*$D$6</f>
        <v>1.6238689166055271E-2</v>
      </c>
      <c r="J194" s="116">
        <f>$D$6*H194</f>
        <v>3.2477378332110542</v>
      </c>
    </row>
    <row r="195" spans="2:10" x14ac:dyDescent="0.35">
      <c r="B195" s="632"/>
      <c r="C195" s="607"/>
      <c r="D195" s="515" t="s">
        <v>44</v>
      </c>
      <c r="E195" s="516">
        <v>1.2</v>
      </c>
      <c r="F195" s="467">
        <f>E195/E199</f>
        <v>5.8694057226705799E-3</v>
      </c>
      <c r="G195" s="518">
        <f>(E199*F195)/D199</f>
        <v>5.8694057226705799E-3</v>
      </c>
      <c r="H195" s="508">
        <f>C191*G195</f>
        <v>1.173881144534116</v>
      </c>
      <c r="I195" s="117">
        <f>G195*$D$7</f>
        <v>7.0432868672046955E-2</v>
      </c>
      <c r="J195" s="116">
        <f>$D$7*H195</f>
        <v>14.086573734409392</v>
      </c>
    </row>
    <row r="196" spans="2:10" x14ac:dyDescent="0.35">
      <c r="B196" s="632"/>
      <c r="C196" s="607"/>
      <c r="D196" s="515" t="s">
        <v>377</v>
      </c>
      <c r="E196" s="517">
        <v>3</v>
      </c>
      <c r="F196" s="467">
        <f>E196/E199</f>
        <v>1.467351430667645E-2</v>
      </c>
      <c r="G196" s="518">
        <f>(E199*F196)/D199</f>
        <v>1.467351430667645E-2</v>
      </c>
      <c r="H196" s="118">
        <f>C191*G196</f>
        <v>2.9347028613352899</v>
      </c>
      <c r="I196" s="528">
        <f>G196*$D$9</f>
        <v>1.467351430667645E-2</v>
      </c>
      <c r="J196" s="116">
        <f>$D$9*H196</f>
        <v>2.9347028613352899</v>
      </c>
    </row>
    <row r="197" spans="2:10" x14ac:dyDescent="0.35">
      <c r="B197" s="632"/>
      <c r="C197" s="607"/>
      <c r="D197" s="515" t="s">
        <v>399</v>
      </c>
      <c r="E197" s="517">
        <v>0</v>
      </c>
      <c r="F197" s="467">
        <f>E197/E199</f>
        <v>0</v>
      </c>
      <c r="G197" s="509">
        <f>(E199*F197)/D199</f>
        <v>0</v>
      </c>
      <c r="H197" s="118">
        <f>C192*G197</f>
        <v>0</v>
      </c>
      <c r="I197" s="528">
        <f>G197*$D$9</f>
        <v>0</v>
      </c>
      <c r="J197" s="116">
        <f>$D$9*H197</f>
        <v>0</v>
      </c>
    </row>
    <row r="198" spans="2:10" ht="15" thickBot="1" x14ac:dyDescent="0.4">
      <c r="B198" s="632"/>
      <c r="C198" s="607"/>
      <c r="D198" s="515" t="s">
        <v>380</v>
      </c>
      <c r="E198" s="529">
        <v>0.15</v>
      </c>
      <c r="F198" s="467">
        <f>E198/E199</f>
        <v>7.3367571533382249E-4</v>
      </c>
      <c r="G198" s="518">
        <f>(E199*F198)/D199</f>
        <v>7.3367571533382249E-4</v>
      </c>
      <c r="H198" s="508">
        <f>C191*G198</f>
        <v>0.1467351430667645</v>
      </c>
      <c r="I198" s="117">
        <f>G198*$D$11</f>
        <v>7.3367571533382249E-4</v>
      </c>
      <c r="J198" s="116">
        <f>$D$9*H198</f>
        <v>0.1467351430667645</v>
      </c>
    </row>
    <row r="199" spans="2:10" ht="15" thickBot="1" x14ac:dyDescent="0.4">
      <c r="B199" s="633"/>
      <c r="C199" s="115" t="s">
        <v>4</v>
      </c>
      <c r="D199" s="521">
        <f>E199/1</f>
        <v>204.45</v>
      </c>
      <c r="E199" s="522">
        <f t="shared" ref="E199:J199" si="14">SUM(E191:E198)</f>
        <v>204.45</v>
      </c>
      <c r="F199" s="523">
        <f t="shared" si="14"/>
        <v>1</v>
      </c>
      <c r="G199" s="524">
        <f t="shared" si="14"/>
        <v>1</v>
      </c>
      <c r="H199" s="525">
        <f t="shared" si="14"/>
        <v>200</v>
      </c>
      <c r="I199" s="526">
        <f t="shared" si="14"/>
        <v>1.0375152849107363</v>
      </c>
      <c r="J199" s="527">
        <f t="shared" si="14"/>
        <v>207.50305698214726</v>
      </c>
    </row>
    <row r="200" spans="2:10" ht="15" thickBot="1" x14ac:dyDescent="0.4"/>
    <row r="201" spans="2:10" ht="15" thickBot="1" x14ac:dyDescent="0.4">
      <c r="B201" s="631" t="s">
        <v>405</v>
      </c>
      <c r="C201" s="615" t="s">
        <v>52</v>
      </c>
      <c r="D201" s="617" t="s">
        <v>51</v>
      </c>
      <c r="E201" s="600" t="s">
        <v>8</v>
      </c>
      <c r="F201" s="601"/>
      <c r="G201" s="601"/>
      <c r="H201" s="602"/>
      <c r="I201" s="619" t="s">
        <v>0</v>
      </c>
      <c r="J201" s="620"/>
    </row>
    <row r="202" spans="2:10" ht="29.5" thickBot="1" x14ac:dyDescent="0.4">
      <c r="B202" s="632"/>
      <c r="C202" s="616"/>
      <c r="D202" s="599"/>
      <c r="E202" s="510" t="s">
        <v>50</v>
      </c>
      <c r="F202" s="511" t="s">
        <v>49</v>
      </c>
      <c r="G202" s="142" t="s">
        <v>48</v>
      </c>
      <c r="H202" s="510" t="s">
        <v>382</v>
      </c>
      <c r="I202" s="142" t="s">
        <v>46</v>
      </c>
      <c r="J202" s="510" t="s">
        <v>45</v>
      </c>
    </row>
    <row r="203" spans="2:10" x14ac:dyDescent="0.35">
      <c r="B203" s="632"/>
      <c r="C203" s="606">
        <v>216</v>
      </c>
      <c r="D203" s="512" t="s">
        <v>372</v>
      </c>
      <c r="E203" s="127">
        <v>150</v>
      </c>
      <c r="F203" s="513">
        <f>E203/E211</f>
        <v>0.69348127600554788</v>
      </c>
      <c r="G203" s="514">
        <f>(E211*F203)/D211</f>
        <v>0.69348127600554788</v>
      </c>
      <c r="H203" s="124">
        <f>C203*G203</f>
        <v>149.79195561719834</v>
      </c>
      <c r="I203" s="123">
        <f>G203*$D$3</f>
        <v>0.69348127600554788</v>
      </c>
      <c r="J203" s="122">
        <f>$D$3*H203</f>
        <v>149.79195561719834</v>
      </c>
    </row>
    <row r="204" spans="2:10" x14ac:dyDescent="0.35">
      <c r="B204" s="632"/>
      <c r="C204" s="607"/>
      <c r="D204" s="515" t="s">
        <v>373</v>
      </c>
      <c r="E204" s="516">
        <v>0</v>
      </c>
      <c r="F204" s="464">
        <f>E204/E211</f>
        <v>0</v>
      </c>
      <c r="G204" s="508">
        <f>(E211*F204)/D211</f>
        <v>0</v>
      </c>
      <c r="H204" s="118">
        <f>C203*G204</f>
        <v>0</v>
      </c>
      <c r="I204" s="117">
        <f>G204*$D$4</f>
        <v>0</v>
      </c>
      <c r="J204" s="116">
        <f>$D$4*H204</f>
        <v>0</v>
      </c>
    </row>
    <row r="205" spans="2:10" x14ac:dyDescent="0.35">
      <c r="B205" s="632"/>
      <c r="C205" s="607"/>
      <c r="D205" s="515" t="s">
        <v>374</v>
      </c>
      <c r="E205" s="516">
        <v>50</v>
      </c>
      <c r="F205" s="464">
        <f>E205/E211</f>
        <v>0.23116042533518263</v>
      </c>
      <c r="G205" s="508">
        <f>(E211*F205)/D211</f>
        <v>0.23116042533518263</v>
      </c>
      <c r="H205" s="118">
        <f>C203*G205</f>
        <v>49.930651872399451</v>
      </c>
      <c r="I205" s="117">
        <f>G205*$D$5</f>
        <v>0.23116042533518263</v>
      </c>
      <c r="J205" s="116">
        <f>$D$5*H205</f>
        <v>49.930651872399451</v>
      </c>
    </row>
    <row r="206" spans="2:10" x14ac:dyDescent="0.35">
      <c r="B206" s="632"/>
      <c r="C206" s="607"/>
      <c r="D206" s="515" t="s">
        <v>56</v>
      </c>
      <c r="E206" s="517">
        <v>0.1</v>
      </c>
      <c r="F206" s="467">
        <f>E206/E211</f>
        <v>4.6232085067036532E-4</v>
      </c>
      <c r="G206" s="518">
        <f>(E211*F206)/D211</f>
        <v>4.6232085067036532E-4</v>
      </c>
      <c r="H206" s="508">
        <f>C203*G206</f>
        <v>9.9861303744798902E-2</v>
      </c>
      <c r="I206" s="117">
        <f>G206*$D$6</f>
        <v>1.534905224225613E-2</v>
      </c>
      <c r="J206" s="116">
        <f>$D$6*H206</f>
        <v>3.315395284327324</v>
      </c>
    </row>
    <row r="207" spans="2:10" x14ac:dyDescent="0.35">
      <c r="B207" s="632"/>
      <c r="C207" s="607"/>
      <c r="D207" s="515" t="s">
        <v>44</v>
      </c>
      <c r="E207" s="516">
        <v>1.2</v>
      </c>
      <c r="F207" s="467">
        <f>E207/E211</f>
        <v>5.5478502080443829E-3</v>
      </c>
      <c r="G207" s="518">
        <f>(E211*F207)/D211</f>
        <v>5.5478502080443829E-3</v>
      </c>
      <c r="H207" s="508">
        <f>C203*G207</f>
        <v>1.1983356449375868</v>
      </c>
      <c r="I207" s="117">
        <f>G207*$D$7</f>
        <v>6.6574202496532592E-2</v>
      </c>
      <c r="J207" s="116">
        <f>$D$7*H207</f>
        <v>14.380027739251041</v>
      </c>
    </row>
    <row r="208" spans="2:10" x14ac:dyDescent="0.35">
      <c r="B208" s="632"/>
      <c r="C208" s="607"/>
      <c r="D208" s="515" t="s">
        <v>379</v>
      </c>
      <c r="E208" s="517">
        <v>15</v>
      </c>
      <c r="F208" s="467">
        <f>E208/E211</f>
        <v>6.9348127600554796E-2</v>
      </c>
      <c r="G208" s="518">
        <f>(E211*F208)/D211</f>
        <v>6.9348127600554796E-2</v>
      </c>
      <c r="H208" s="118">
        <f>C203*G208</f>
        <v>14.979195561719836</v>
      </c>
      <c r="I208" s="528">
        <f>G208*$D$9</f>
        <v>6.9348127600554796E-2</v>
      </c>
      <c r="J208" s="116">
        <f>$D$9*H208</f>
        <v>14.979195561719836</v>
      </c>
    </row>
    <row r="209" spans="2:12" x14ac:dyDescent="0.35">
      <c r="B209" s="632"/>
      <c r="C209" s="607"/>
      <c r="D209" s="515" t="s">
        <v>399</v>
      </c>
      <c r="E209" s="517">
        <v>0</v>
      </c>
      <c r="F209" s="467">
        <f>E209/E211</f>
        <v>0</v>
      </c>
      <c r="G209" s="509">
        <f>(E211*F209)/D211</f>
        <v>0</v>
      </c>
      <c r="H209" s="118">
        <f>C204*G209</f>
        <v>0</v>
      </c>
      <c r="I209" s="528">
        <f>G209*$D$9</f>
        <v>0</v>
      </c>
      <c r="J209" s="116">
        <f>$D$9*H209</f>
        <v>0</v>
      </c>
    </row>
    <row r="210" spans="2:12" ht="15" thickBot="1" x14ac:dyDescent="0.4">
      <c r="B210" s="632"/>
      <c r="C210" s="607"/>
      <c r="D210" s="515" t="s">
        <v>380</v>
      </c>
      <c r="E210" s="529">
        <v>0</v>
      </c>
      <c r="F210" s="467">
        <f>E210/E211</f>
        <v>0</v>
      </c>
      <c r="G210" s="518">
        <f>(E211*F210)/D211</f>
        <v>0</v>
      </c>
      <c r="H210" s="508">
        <f>C203*G210</f>
        <v>0</v>
      </c>
      <c r="I210" s="117">
        <f>G210*$D$11</f>
        <v>0</v>
      </c>
      <c r="J210" s="116">
        <f>$D$9*H210</f>
        <v>0</v>
      </c>
    </row>
    <row r="211" spans="2:12" ht="15" thickBot="1" x14ac:dyDescent="0.4">
      <c r="B211" s="633"/>
      <c r="C211" s="115" t="s">
        <v>4</v>
      </c>
      <c r="D211" s="521">
        <f>E211/1</f>
        <v>216.29999999999998</v>
      </c>
      <c r="E211" s="522">
        <f t="shared" ref="E211:J211" si="15">SUM(E203:E210)</f>
        <v>216.29999999999998</v>
      </c>
      <c r="F211" s="523">
        <f t="shared" si="15"/>
        <v>1</v>
      </c>
      <c r="G211" s="524">
        <f t="shared" si="15"/>
        <v>1</v>
      </c>
      <c r="H211" s="525">
        <f t="shared" si="15"/>
        <v>216.00000000000006</v>
      </c>
      <c r="I211" s="526">
        <f t="shared" si="15"/>
        <v>1.0759130836800741</v>
      </c>
      <c r="J211" s="527">
        <f t="shared" si="15"/>
        <v>232.39722607489603</v>
      </c>
    </row>
    <row r="213" spans="2:12" ht="15" thickBot="1" x14ac:dyDescent="0.4"/>
    <row r="214" spans="2:12" ht="15" thickBot="1" x14ac:dyDescent="0.4">
      <c r="B214" s="623" t="s">
        <v>406</v>
      </c>
      <c r="C214" s="615" t="s">
        <v>52</v>
      </c>
      <c r="D214" s="617" t="s">
        <v>51</v>
      </c>
      <c r="E214" s="600" t="s">
        <v>8</v>
      </c>
      <c r="F214" s="601"/>
      <c r="G214" s="601"/>
      <c r="H214" s="602"/>
      <c r="I214" s="619" t="s">
        <v>0</v>
      </c>
      <c r="J214" s="620"/>
      <c r="L214" s="105">
        <f>5.83+0.34+4</f>
        <v>10.17</v>
      </c>
    </row>
    <row r="215" spans="2:12" ht="29.5" thickBot="1" x14ac:dyDescent="0.4">
      <c r="B215" s="629"/>
      <c r="C215" s="616"/>
      <c r="D215" s="599"/>
      <c r="E215" s="510" t="s">
        <v>50</v>
      </c>
      <c r="F215" s="511" t="s">
        <v>49</v>
      </c>
      <c r="G215" s="142" t="s">
        <v>48</v>
      </c>
      <c r="H215" s="510" t="s">
        <v>382</v>
      </c>
      <c r="I215" s="142" t="s">
        <v>46</v>
      </c>
      <c r="J215" s="510" t="s">
        <v>45</v>
      </c>
    </row>
    <row r="216" spans="2:12" x14ac:dyDescent="0.35">
      <c r="B216" s="629"/>
      <c r="C216" s="606">
        <v>13</v>
      </c>
      <c r="D216" s="512" t="s">
        <v>407</v>
      </c>
      <c r="E216" s="127">
        <v>34</v>
      </c>
      <c r="F216" s="513">
        <f>E216/E221</f>
        <v>0.16617790811339198</v>
      </c>
      <c r="G216" s="514">
        <f>(E221*F216)/D221</f>
        <v>2.4926686217008798</v>
      </c>
      <c r="H216" s="124">
        <f>C216*G216</f>
        <v>32.404692082111438</v>
      </c>
      <c r="I216" s="123">
        <f>G216*(35/1000)</f>
        <v>8.7243401759530798E-2</v>
      </c>
      <c r="J216" s="122">
        <f>$D$3*H216</f>
        <v>32.404692082111438</v>
      </c>
    </row>
    <row r="217" spans="2:12" x14ac:dyDescent="0.35">
      <c r="B217" s="629"/>
      <c r="C217" s="607"/>
      <c r="D217" s="515" t="s">
        <v>408</v>
      </c>
      <c r="E217" s="516">
        <v>86</v>
      </c>
      <c r="F217" s="464">
        <f>E217/E221</f>
        <v>0.4203323558162268</v>
      </c>
      <c r="G217" s="508">
        <f>(E221*F217)/D221</f>
        <v>6.3049853372434024</v>
      </c>
      <c r="H217" s="118">
        <f>C216*G217</f>
        <v>81.964809384164226</v>
      </c>
      <c r="I217" s="117">
        <f>G217*(32/1000)</f>
        <v>0.20175953079178888</v>
      </c>
      <c r="J217" s="116">
        <f>$D$4*H217</f>
        <v>53.277126099706749</v>
      </c>
    </row>
    <row r="218" spans="2:12" x14ac:dyDescent="0.35">
      <c r="B218" s="629"/>
      <c r="C218" s="607"/>
      <c r="D218" s="515" t="s">
        <v>200</v>
      </c>
      <c r="E218" s="516">
        <v>80</v>
      </c>
      <c r="F218" s="467">
        <f>E218/E221</f>
        <v>0.39100684261974583</v>
      </c>
      <c r="G218" s="508">
        <f>(E221*F218)/D221</f>
        <v>5.8651026392961878</v>
      </c>
      <c r="H218" s="118">
        <f>C216*G218</f>
        <v>76.246334310850443</v>
      </c>
      <c r="I218" s="117">
        <f>G218*$D$4</f>
        <v>3.8123167155425222</v>
      </c>
      <c r="J218" s="116">
        <f>$D$6*H218</f>
        <v>2531.3782991202347</v>
      </c>
    </row>
    <row r="219" spans="2:12" x14ac:dyDescent="0.35">
      <c r="B219" s="629"/>
      <c r="C219" s="607"/>
      <c r="D219" s="515" t="s">
        <v>409</v>
      </c>
      <c r="E219" s="517">
        <v>0.6</v>
      </c>
      <c r="F219" s="467">
        <f>E219/E221</f>
        <v>2.9325513196480938E-3</v>
      </c>
      <c r="G219" s="530">
        <f>(E221*F219)/D221</f>
        <v>4.398826979472141E-2</v>
      </c>
      <c r="H219" s="508">
        <f>C216*G219</f>
        <v>0.57184750733137835</v>
      </c>
      <c r="I219" s="531">
        <f>G219*27</f>
        <v>1.1876832844574781</v>
      </c>
      <c r="J219" s="116">
        <f>$D$7*H219</f>
        <v>6.8621700879765406</v>
      </c>
    </row>
    <row r="220" spans="2:12" ht="15" thickBot="1" x14ac:dyDescent="0.4">
      <c r="B220" s="629"/>
      <c r="C220" s="607"/>
      <c r="D220" s="515" t="s">
        <v>410</v>
      </c>
      <c r="E220" s="516">
        <v>4</v>
      </c>
      <c r="F220" s="467">
        <f>E220/E221</f>
        <v>1.9550342130987292E-2</v>
      </c>
      <c r="G220" s="530">
        <f>(E221*F220)/D221</f>
        <v>0.2932551319648094</v>
      </c>
      <c r="H220" s="118">
        <f>C216*G220</f>
        <v>3.8123167155425222</v>
      </c>
      <c r="I220" s="117">
        <f>G220*7.85</f>
        <v>2.3020527859237538</v>
      </c>
      <c r="J220" s="116">
        <f>$D$9*H220</f>
        <v>3.8123167155425222</v>
      </c>
    </row>
    <row r="221" spans="2:12" ht="15" thickBot="1" x14ac:dyDescent="0.4">
      <c r="B221" s="630"/>
      <c r="C221" s="115" t="s">
        <v>4</v>
      </c>
      <c r="D221" s="521">
        <f>E221/15</f>
        <v>13.639999999999999</v>
      </c>
      <c r="E221" s="522">
        <f t="shared" ref="E221:J221" si="16">SUM(E216:E220)</f>
        <v>204.6</v>
      </c>
      <c r="F221" s="523">
        <f t="shared" si="16"/>
        <v>1</v>
      </c>
      <c r="G221" s="524">
        <f t="shared" si="16"/>
        <v>15.000000000000002</v>
      </c>
      <c r="H221" s="525">
        <f t="shared" si="16"/>
        <v>195</v>
      </c>
      <c r="I221" s="526">
        <f t="shared" si="16"/>
        <v>7.591055718475074</v>
      </c>
      <c r="J221" s="527">
        <f t="shared" si="16"/>
        <v>2627.7346041055721</v>
      </c>
    </row>
    <row r="223" spans="2:12" ht="15" thickBot="1" x14ac:dyDescent="0.4"/>
    <row r="224" spans="2:12" ht="15" thickBot="1" x14ac:dyDescent="0.4">
      <c r="B224" s="623" t="s">
        <v>411</v>
      </c>
      <c r="C224" s="615" t="s">
        <v>52</v>
      </c>
      <c r="D224" s="617" t="s">
        <v>51</v>
      </c>
      <c r="E224" s="600" t="s">
        <v>8</v>
      </c>
      <c r="F224" s="601"/>
      <c r="G224" s="601"/>
      <c r="H224" s="602"/>
      <c r="I224" s="619" t="s">
        <v>0</v>
      </c>
      <c r="J224" s="620"/>
    </row>
    <row r="225" spans="2:10" ht="29.5" thickBot="1" x14ac:dyDescent="0.4">
      <c r="B225" s="624"/>
      <c r="C225" s="616"/>
      <c r="D225" s="618"/>
      <c r="E225" s="510" t="s">
        <v>50</v>
      </c>
      <c r="F225" s="533" t="s">
        <v>49</v>
      </c>
      <c r="G225" s="142" t="s">
        <v>48</v>
      </c>
      <c r="H225" s="510" t="s">
        <v>382</v>
      </c>
      <c r="I225" s="142" t="s">
        <v>46</v>
      </c>
      <c r="J225" s="510" t="s">
        <v>45</v>
      </c>
    </row>
    <row r="226" spans="2:10" ht="15" customHeight="1" x14ac:dyDescent="0.35">
      <c r="B226" s="624"/>
      <c r="C226" s="626">
        <v>13</v>
      </c>
      <c r="D226" s="534" t="s">
        <v>44</v>
      </c>
      <c r="E226" s="509">
        <v>0.01</v>
      </c>
      <c r="F226" s="535">
        <v>4.9995000499950008E-5</v>
      </c>
      <c r="G226" s="495">
        <v>7.4992500749925016E-4</v>
      </c>
      <c r="H226" s="118">
        <v>9.7490250974902517E-3</v>
      </c>
      <c r="I226" s="117"/>
      <c r="J226" s="116"/>
    </row>
    <row r="227" spans="2:10" ht="15" customHeight="1" x14ac:dyDescent="0.35">
      <c r="B227" s="624"/>
      <c r="C227" s="627"/>
      <c r="D227" s="536" t="s">
        <v>408</v>
      </c>
      <c r="E227" s="118">
        <v>150</v>
      </c>
      <c r="F227" s="537">
        <v>0.74992500749925017</v>
      </c>
      <c r="G227" s="508">
        <v>11.248875112488752</v>
      </c>
      <c r="H227" s="118">
        <v>146.23537646235377</v>
      </c>
      <c r="I227" s="117"/>
      <c r="J227" s="116"/>
    </row>
    <row r="228" spans="2:10" ht="15" customHeight="1" x14ac:dyDescent="0.35">
      <c r="B228" s="624"/>
      <c r="C228" s="627"/>
      <c r="D228" s="536" t="s">
        <v>200</v>
      </c>
      <c r="E228" s="118">
        <v>30</v>
      </c>
      <c r="F228" s="538">
        <v>0.14998500149985003</v>
      </c>
      <c r="G228" s="508">
        <v>2.2497750224977504</v>
      </c>
      <c r="H228" s="118">
        <v>29.247075292470754</v>
      </c>
      <c r="I228" s="117"/>
      <c r="J228" s="116"/>
    </row>
    <row r="229" spans="2:10" ht="15" customHeight="1" x14ac:dyDescent="0.35">
      <c r="B229" s="624"/>
      <c r="C229" s="627"/>
      <c r="D229" s="534" t="s">
        <v>372</v>
      </c>
      <c r="E229" s="118">
        <v>20</v>
      </c>
      <c r="F229" s="538">
        <v>9.9990000999900019E-2</v>
      </c>
      <c r="G229" s="530">
        <v>1.4998500149985003</v>
      </c>
      <c r="H229" s="118">
        <v>19.498050194980504</v>
      </c>
      <c r="I229" s="531"/>
      <c r="J229" s="116"/>
    </row>
    <row r="230" spans="2:10" ht="15.75" customHeight="1" thickBot="1" x14ac:dyDescent="0.4">
      <c r="B230" s="624"/>
      <c r="C230" s="628"/>
      <c r="D230" s="534" t="s">
        <v>56</v>
      </c>
      <c r="E230" s="509">
        <v>0.01</v>
      </c>
      <c r="F230" s="535">
        <v>4.9995000499950008E-5</v>
      </c>
      <c r="G230" s="530">
        <v>7.4992500749925016E-4</v>
      </c>
      <c r="H230" s="118">
        <v>9.7490250974902517E-3</v>
      </c>
      <c r="I230" s="117"/>
      <c r="J230" s="116"/>
    </row>
    <row r="231" spans="2:10" ht="15" thickBot="1" x14ac:dyDescent="0.4">
      <c r="B231" s="625"/>
      <c r="C231" s="115"/>
      <c r="D231" s="539">
        <f>E231/15</f>
        <v>13.334666666666665</v>
      </c>
      <c r="E231" s="540">
        <f>SUM(E226:E230)</f>
        <v>200.01999999999998</v>
      </c>
      <c r="F231" s="541">
        <v>1</v>
      </c>
      <c r="G231" s="542">
        <f>SUM(G226:G230)</f>
        <v>15.000000000000002</v>
      </c>
      <c r="H231" s="543">
        <f>SUM(H226:H230)</f>
        <v>194.99999999999997</v>
      </c>
      <c r="I231" s="544"/>
      <c r="J231" s="545"/>
    </row>
    <row r="233" spans="2:10" ht="15" thickBot="1" x14ac:dyDescent="0.4"/>
    <row r="234" spans="2:10" ht="15" thickBot="1" x14ac:dyDescent="0.4">
      <c r="B234" s="612" t="s">
        <v>412</v>
      </c>
      <c r="C234" s="615" t="s">
        <v>52</v>
      </c>
      <c r="D234" s="617" t="s">
        <v>51</v>
      </c>
      <c r="E234" s="600" t="s">
        <v>8</v>
      </c>
      <c r="F234" s="601"/>
      <c r="G234" s="601"/>
      <c r="H234" s="602"/>
      <c r="I234" s="619" t="s">
        <v>0</v>
      </c>
      <c r="J234" s="620"/>
    </row>
    <row r="235" spans="2:10" ht="29.5" thickBot="1" x14ac:dyDescent="0.4">
      <c r="B235" s="613"/>
      <c r="C235" s="616"/>
      <c r="D235" s="618"/>
      <c r="E235" s="510" t="s">
        <v>50</v>
      </c>
      <c r="F235" s="533" t="s">
        <v>49</v>
      </c>
      <c r="G235" s="142" t="s">
        <v>48</v>
      </c>
      <c r="H235" s="510" t="s">
        <v>382</v>
      </c>
      <c r="I235" s="142" t="s">
        <v>46</v>
      </c>
      <c r="J235" s="510" t="s">
        <v>45</v>
      </c>
    </row>
    <row r="236" spans="2:10" x14ac:dyDescent="0.35">
      <c r="B236" s="613"/>
      <c r="C236" s="621"/>
      <c r="D236" s="534" t="s">
        <v>44</v>
      </c>
      <c r="E236" s="509"/>
      <c r="F236" s="535" t="e">
        <f>E236/$D$18</f>
        <v>#VALUE!</v>
      </c>
      <c r="G236" s="495" t="e">
        <f>(E241*F236)/D241</f>
        <v>#VALUE!</v>
      </c>
      <c r="H236" s="118" t="e">
        <f>C236*G236</f>
        <v>#VALUE!</v>
      </c>
      <c r="I236" s="117"/>
      <c r="J236" s="116"/>
    </row>
    <row r="237" spans="2:10" x14ac:dyDescent="0.35">
      <c r="B237" s="613"/>
      <c r="C237" s="622"/>
      <c r="D237" s="536" t="s">
        <v>408</v>
      </c>
      <c r="E237" s="118"/>
      <c r="F237" s="537" t="e">
        <f>E237/$D$18</f>
        <v>#VALUE!</v>
      </c>
      <c r="G237" s="508" t="e">
        <f>(E241*F237)/D241</f>
        <v>#VALUE!</v>
      </c>
      <c r="H237" s="118" t="e">
        <f>C236*G237</f>
        <v>#VALUE!</v>
      </c>
      <c r="I237" s="117"/>
      <c r="J237" s="116"/>
    </row>
    <row r="238" spans="2:10" x14ac:dyDescent="0.35">
      <c r="B238" s="613"/>
      <c r="C238" s="622"/>
      <c r="D238" s="536" t="s">
        <v>200</v>
      </c>
      <c r="E238" s="118"/>
      <c r="F238" s="538" t="e">
        <f>E238/$D$18</f>
        <v>#VALUE!</v>
      </c>
      <c r="G238" s="508" t="e">
        <f>(E241*F238)/D241</f>
        <v>#VALUE!</v>
      </c>
      <c r="H238" s="118" t="e">
        <f>C236*G238</f>
        <v>#VALUE!</v>
      </c>
      <c r="I238" s="117"/>
      <c r="J238" s="116"/>
    </row>
    <row r="239" spans="2:10" x14ac:dyDescent="0.35">
      <c r="B239" s="613"/>
      <c r="C239" s="622"/>
      <c r="D239" s="534" t="s">
        <v>372</v>
      </c>
      <c r="E239" s="118"/>
      <c r="F239" s="538" t="e">
        <f>E239/$D$18</f>
        <v>#VALUE!</v>
      </c>
      <c r="G239" s="530" t="e">
        <f>(E241*F239)/D241</f>
        <v>#VALUE!</v>
      </c>
      <c r="H239" s="118" t="e">
        <f>C236*G239</f>
        <v>#VALUE!</v>
      </c>
      <c r="I239" s="531"/>
      <c r="J239" s="116"/>
    </row>
    <row r="240" spans="2:10" ht="15" thickBot="1" x14ac:dyDescent="0.4">
      <c r="B240" s="613"/>
      <c r="C240" s="622"/>
      <c r="D240" s="534" t="s">
        <v>56</v>
      </c>
      <c r="E240" s="509"/>
      <c r="F240" s="535" t="e">
        <f>E240/$D$18</f>
        <v>#VALUE!</v>
      </c>
      <c r="G240" s="530" t="e">
        <f>(E241*F240)/D241</f>
        <v>#VALUE!</v>
      </c>
      <c r="H240" s="118" t="e">
        <f>C236*G240</f>
        <v>#VALUE!</v>
      </c>
      <c r="I240" s="117"/>
      <c r="J240" s="116"/>
    </row>
    <row r="241" spans="2:10" ht="15" thickBot="1" x14ac:dyDescent="0.4">
      <c r="B241" s="614"/>
      <c r="C241" s="115"/>
      <c r="D241" s="539">
        <f>E241/15</f>
        <v>0</v>
      </c>
      <c r="E241" s="540">
        <f>SUM(E236:E240)</f>
        <v>0</v>
      </c>
      <c r="F241" s="541">
        <v>1</v>
      </c>
      <c r="G241" s="542" t="e">
        <f>SUM(G236:G240)</f>
        <v>#VALUE!</v>
      </c>
      <c r="H241" s="543" t="e">
        <f>SUM(H236:H240)</f>
        <v>#VALUE!</v>
      </c>
      <c r="I241" s="544"/>
      <c r="J241" s="545"/>
    </row>
    <row r="242" spans="2:10" x14ac:dyDescent="0.35">
      <c r="B242" s="546"/>
      <c r="C242" s="546"/>
      <c r="D242" s="546"/>
      <c r="E242" s="546"/>
      <c r="F242" s="546"/>
      <c r="G242" s="546"/>
      <c r="H242" s="546"/>
      <c r="I242" s="546"/>
      <c r="J242" s="546"/>
    </row>
    <row r="243" spans="2:10" ht="15" thickBot="1" x14ac:dyDescent="0.4">
      <c r="B243" s="546"/>
      <c r="C243" s="546"/>
      <c r="D243" s="546"/>
      <c r="E243" s="546"/>
      <c r="F243" s="546"/>
      <c r="G243" s="546"/>
      <c r="H243" s="546"/>
      <c r="I243" s="546"/>
      <c r="J243" s="546"/>
    </row>
    <row r="244" spans="2:10" ht="15" thickBot="1" x14ac:dyDescent="0.4">
      <c r="B244" s="612" t="s">
        <v>413</v>
      </c>
      <c r="C244" s="615" t="s">
        <v>52</v>
      </c>
      <c r="D244" s="617" t="s">
        <v>51</v>
      </c>
      <c r="E244" s="600" t="s">
        <v>8</v>
      </c>
      <c r="F244" s="601"/>
      <c r="G244" s="601"/>
      <c r="H244" s="602"/>
      <c r="I244" s="619" t="s">
        <v>0</v>
      </c>
      <c r="J244" s="620"/>
    </row>
    <row r="245" spans="2:10" ht="29.5" thickBot="1" x14ac:dyDescent="0.4">
      <c r="B245" s="613"/>
      <c r="C245" s="616"/>
      <c r="D245" s="618"/>
      <c r="E245" s="510" t="s">
        <v>50</v>
      </c>
      <c r="F245" s="533" t="s">
        <v>49</v>
      </c>
      <c r="G245" s="142" t="s">
        <v>48</v>
      </c>
      <c r="H245" s="510" t="s">
        <v>382</v>
      </c>
      <c r="I245" s="142" t="s">
        <v>46</v>
      </c>
      <c r="J245" s="510" t="s">
        <v>45</v>
      </c>
    </row>
    <row r="246" spans="2:10" x14ac:dyDescent="0.35">
      <c r="B246" s="613"/>
      <c r="C246" s="621"/>
      <c r="D246" s="534" t="s">
        <v>44</v>
      </c>
      <c r="E246" s="509"/>
      <c r="F246" s="535" t="e">
        <f>E246/$D$18</f>
        <v>#VALUE!</v>
      </c>
      <c r="G246" s="495" t="e">
        <f>(E251*F246)/D251</f>
        <v>#VALUE!</v>
      </c>
      <c r="H246" s="118" t="e">
        <f>C246*G246</f>
        <v>#VALUE!</v>
      </c>
      <c r="I246" s="117"/>
      <c r="J246" s="116"/>
    </row>
    <row r="247" spans="2:10" x14ac:dyDescent="0.35">
      <c r="B247" s="613"/>
      <c r="C247" s="622"/>
      <c r="D247" s="536" t="s">
        <v>408</v>
      </c>
      <c r="E247" s="118"/>
      <c r="F247" s="537" t="e">
        <f>E247/$D$18</f>
        <v>#VALUE!</v>
      </c>
      <c r="G247" s="508" t="e">
        <f>(E251*F247)/D251</f>
        <v>#VALUE!</v>
      </c>
      <c r="H247" s="118" t="e">
        <f>C246*G247</f>
        <v>#VALUE!</v>
      </c>
      <c r="I247" s="117"/>
      <c r="J247" s="116"/>
    </row>
    <row r="248" spans="2:10" x14ac:dyDescent="0.35">
      <c r="B248" s="613"/>
      <c r="C248" s="622"/>
      <c r="D248" s="536" t="s">
        <v>200</v>
      </c>
      <c r="E248" s="118"/>
      <c r="F248" s="538" t="e">
        <f>E248/$D$18</f>
        <v>#VALUE!</v>
      </c>
      <c r="G248" s="508" t="e">
        <f>(E251*F248)/D251</f>
        <v>#VALUE!</v>
      </c>
      <c r="H248" s="118" t="e">
        <f>C246*G248</f>
        <v>#VALUE!</v>
      </c>
      <c r="I248" s="117"/>
      <c r="J248" s="116"/>
    </row>
    <row r="249" spans="2:10" x14ac:dyDescent="0.35">
      <c r="B249" s="613"/>
      <c r="C249" s="622"/>
      <c r="D249" s="534" t="s">
        <v>372</v>
      </c>
      <c r="E249" s="118"/>
      <c r="F249" s="538" t="e">
        <f>E249/$D$18</f>
        <v>#VALUE!</v>
      </c>
      <c r="G249" s="530" t="e">
        <f>(E251*F249)/D251</f>
        <v>#VALUE!</v>
      </c>
      <c r="H249" s="118" t="e">
        <f>C246*G249</f>
        <v>#VALUE!</v>
      </c>
      <c r="I249" s="531"/>
      <c r="J249" s="116"/>
    </row>
    <row r="250" spans="2:10" ht="15" thickBot="1" x14ac:dyDescent="0.4">
      <c r="B250" s="613"/>
      <c r="C250" s="622"/>
      <c r="D250" s="534" t="s">
        <v>56</v>
      </c>
      <c r="E250" s="509"/>
      <c r="F250" s="535" t="e">
        <f>E250/$D$18</f>
        <v>#VALUE!</v>
      </c>
      <c r="G250" s="530" t="e">
        <f>(E251*F250)/D251</f>
        <v>#VALUE!</v>
      </c>
      <c r="H250" s="118" t="e">
        <f>C246*G250</f>
        <v>#VALUE!</v>
      </c>
      <c r="I250" s="117"/>
      <c r="J250" s="116"/>
    </row>
    <row r="251" spans="2:10" ht="15" thickBot="1" x14ac:dyDescent="0.4">
      <c r="B251" s="614"/>
      <c r="C251" s="115"/>
      <c r="D251" s="539">
        <f>E251/15</f>
        <v>0</v>
      </c>
      <c r="E251" s="540">
        <f>SUM(E246:E250)</f>
        <v>0</v>
      </c>
      <c r="F251" s="541">
        <v>1</v>
      </c>
      <c r="G251" s="542" t="e">
        <f>SUM(G246:G250)</f>
        <v>#VALUE!</v>
      </c>
      <c r="H251" s="543" t="e">
        <f>SUM(H246:H250)</f>
        <v>#VALUE!</v>
      </c>
      <c r="I251" s="544"/>
      <c r="J251" s="545"/>
    </row>
  </sheetData>
  <mergeCells count="162">
    <mergeCell ref="B7:C7"/>
    <mergeCell ref="B8:C8"/>
    <mergeCell ref="B9:C9"/>
    <mergeCell ref="B10:C10"/>
    <mergeCell ref="B11:C11"/>
    <mergeCell ref="B14:K14"/>
    <mergeCell ref="B1:C1"/>
    <mergeCell ref="B2:C2"/>
    <mergeCell ref="B3:C3"/>
    <mergeCell ref="B4:C4"/>
    <mergeCell ref="B5:C5"/>
    <mergeCell ref="B6:C6"/>
    <mergeCell ref="B22:K22"/>
    <mergeCell ref="B23:B29"/>
    <mergeCell ref="C23:C24"/>
    <mergeCell ref="D23:D24"/>
    <mergeCell ref="E23:H23"/>
    <mergeCell ref="I23:K23"/>
    <mergeCell ref="C25:C28"/>
    <mergeCell ref="J25:J28"/>
    <mergeCell ref="B15:B20"/>
    <mergeCell ref="C15:C16"/>
    <mergeCell ref="D15:D16"/>
    <mergeCell ref="E15:H15"/>
    <mergeCell ref="I15:K15"/>
    <mergeCell ref="C17:C19"/>
    <mergeCell ref="J17:J19"/>
    <mergeCell ref="B39:B46"/>
    <mergeCell ref="C39:C40"/>
    <mergeCell ref="D39:D40"/>
    <mergeCell ref="E39:H39"/>
    <mergeCell ref="I39:K39"/>
    <mergeCell ref="C41:C45"/>
    <mergeCell ref="J41:J45"/>
    <mergeCell ref="B31:B37"/>
    <mergeCell ref="C31:C32"/>
    <mergeCell ref="D31:D32"/>
    <mergeCell ref="E31:H31"/>
    <mergeCell ref="I31:K31"/>
    <mergeCell ref="C33:C36"/>
    <mergeCell ref="J33:J36"/>
    <mergeCell ref="B58:B64"/>
    <mergeCell ref="C58:C59"/>
    <mergeCell ref="D58:D59"/>
    <mergeCell ref="E58:H58"/>
    <mergeCell ref="I58:J58"/>
    <mergeCell ref="C60:C63"/>
    <mergeCell ref="B49:B56"/>
    <mergeCell ref="C49:C50"/>
    <mergeCell ref="D49:D50"/>
    <mergeCell ref="E49:H49"/>
    <mergeCell ref="I49:K49"/>
    <mergeCell ref="C51:C55"/>
    <mergeCell ref="J51:J55"/>
    <mergeCell ref="B76:B83"/>
    <mergeCell ref="C76:C77"/>
    <mergeCell ref="D76:D77"/>
    <mergeCell ref="E76:H76"/>
    <mergeCell ref="I76:J76"/>
    <mergeCell ref="C78:C82"/>
    <mergeCell ref="B66:B74"/>
    <mergeCell ref="C66:C67"/>
    <mergeCell ref="D66:D67"/>
    <mergeCell ref="E66:H66"/>
    <mergeCell ref="I66:J66"/>
    <mergeCell ref="C68:C73"/>
    <mergeCell ref="B93:B100"/>
    <mergeCell ref="C93:C94"/>
    <mergeCell ref="D93:D94"/>
    <mergeCell ref="E93:H93"/>
    <mergeCell ref="I93:J93"/>
    <mergeCell ref="C95:C99"/>
    <mergeCell ref="B85:B91"/>
    <mergeCell ref="C85:C86"/>
    <mergeCell ref="D85:D86"/>
    <mergeCell ref="E85:H85"/>
    <mergeCell ref="I85:J85"/>
    <mergeCell ref="C87:C90"/>
    <mergeCell ref="B113:B120"/>
    <mergeCell ref="C113:C114"/>
    <mergeCell ref="D113:D114"/>
    <mergeCell ref="E113:H113"/>
    <mergeCell ref="I113:J113"/>
    <mergeCell ref="C115:C119"/>
    <mergeCell ref="B102:B111"/>
    <mergeCell ref="C102:C103"/>
    <mergeCell ref="D102:D103"/>
    <mergeCell ref="E102:H102"/>
    <mergeCell ref="I102:J102"/>
    <mergeCell ref="C104:C110"/>
    <mergeCell ref="B133:B140"/>
    <mergeCell ref="C133:C134"/>
    <mergeCell ref="D133:D134"/>
    <mergeCell ref="E133:H133"/>
    <mergeCell ref="I133:J133"/>
    <mergeCell ref="C135:C139"/>
    <mergeCell ref="B122:B131"/>
    <mergeCell ref="C122:C123"/>
    <mergeCell ref="D122:D123"/>
    <mergeCell ref="E122:H122"/>
    <mergeCell ref="I122:J122"/>
    <mergeCell ref="C124:C130"/>
    <mergeCell ref="B155:B165"/>
    <mergeCell ref="C155:C156"/>
    <mergeCell ref="D155:D156"/>
    <mergeCell ref="E155:H155"/>
    <mergeCell ref="I155:J155"/>
    <mergeCell ref="C157:C164"/>
    <mergeCell ref="B143:B153"/>
    <mergeCell ref="C143:C144"/>
    <mergeCell ref="D143:D144"/>
    <mergeCell ref="E143:H143"/>
    <mergeCell ref="I143:J143"/>
    <mergeCell ref="C145:C152"/>
    <mergeCell ref="B178:B187"/>
    <mergeCell ref="C178:C179"/>
    <mergeCell ref="D178:D179"/>
    <mergeCell ref="E178:H178"/>
    <mergeCell ref="I178:J178"/>
    <mergeCell ref="C180:C186"/>
    <mergeCell ref="B167:B176"/>
    <mergeCell ref="C167:C168"/>
    <mergeCell ref="D167:D168"/>
    <mergeCell ref="E167:H167"/>
    <mergeCell ref="I167:J167"/>
    <mergeCell ref="C169:C175"/>
    <mergeCell ref="B201:B211"/>
    <mergeCell ref="C201:C202"/>
    <mergeCell ref="D201:D202"/>
    <mergeCell ref="E201:H201"/>
    <mergeCell ref="I201:J201"/>
    <mergeCell ref="C203:C210"/>
    <mergeCell ref="B189:B199"/>
    <mergeCell ref="C189:C190"/>
    <mergeCell ref="D189:D190"/>
    <mergeCell ref="E189:H189"/>
    <mergeCell ref="I189:J189"/>
    <mergeCell ref="C191:C198"/>
    <mergeCell ref="B224:B231"/>
    <mergeCell ref="C224:C225"/>
    <mergeCell ref="D224:D225"/>
    <mergeCell ref="E224:H224"/>
    <mergeCell ref="I224:J224"/>
    <mergeCell ref="C226:C230"/>
    <mergeCell ref="B214:B221"/>
    <mergeCell ref="C214:C215"/>
    <mergeCell ref="D214:D215"/>
    <mergeCell ref="E214:H214"/>
    <mergeCell ref="I214:J214"/>
    <mergeCell ref="C216:C220"/>
    <mergeCell ref="B244:B251"/>
    <mergeCell ref="C244:C245"/>
    <mergeCell ref="D244:D245"/>
    <mergeCell ref="E244:H244"/>
    <mergeCell ref="I244:J244"/>
    <mergeCell ref="C246:C250"/>
    <mergeCell ref="B234:B241"/>
    <mergeCell ref="C234:C235"/>
    <mergeCell ref="D234:D235"/>
    <mergeCell ref="E234:H234"/>
    <mergeCell ref="I234:J234"/>
    <mergeCell ref="C236:C240"/>
  </mergeCells>
  <pageMargins left="0.511811024" right="0.511811024" top="0.78740157499999996" bottom="0.78740157499999996" header="0.31496062000000002" footer="0.31496062000000002"/>
  <pageSetup paperSize="9" scale="75" orientation="landscape" verticalDpi="300" r:id="rId1"/>
  <rowBreaks count="3" manualBreakCount="3">
    <brk id="46" max="10" man="1"/>
    <brk id="74" max="10" man="1"/>
    <brk id="111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93"/>
  <sheetViews>
    <sheetView topLeftCell="O14" zoomScaleNormal="100" workbookViewId="0">
      <selection activeCell="L13" sqref="L13:L16"/>
    </sheetView>
  </sheetViews>
  <sheetFormatPr defaultColWidth="9.1796875" defaultRowHeight="14.5" x14ac:dyDescent="0.35"/>
  <cols>
    <col min="1" max="1" width="9" style="105" customWidth="1"/>
    <col min="2" max="2" width="17.26953125" style="105" bestFit="1" customWidth="1"/>
    <col min="3" max="3" width="14.54296875" style="105" bestFit="1" customWidth="1"/>
    <col min="4" max="4" width="17.54296875" style="105" customWidth="1"/>
    <col min="5" max="5" width="14.1796875" style="105" bestFit="1" customWidth="1"/>
    <col min="6" max="6" width="12.7265625" style="105" bestFit="1" customWidth="1"/>
    <col min="7" max="7" width="12" style="105" bestFit="1" customWidth="1"/>
    <col min="8" max="8" width="12" style="105" customWidth="1"/>
    <col min="9" max="9" width="13.54296875" style="105" customWidth="1"/>
    <col min="10" max="10" width="13.7265625" style="105" bestFit="1" customWidth="1"/>
    <col min="11" max="11" width="14" style="105" bestFit="1" customWidth="1"/>
    <col min="12" max="12" width="19.7265625" style="105" bestFit="1" customWidth="1"/>
    <col min="13" max="13" width="12.1796875" style="105" bestFit="1" customWidth="1"/>
    <col min="14" max="14" width="18.81640625" style="105" bestFit="1" customWidth="1"/>
    <col min="15" max="17" width="9.1796875" style="105"/>
    <col min="18" max="18" width="10.54296875" style="105" bestFit="1" customWidth="1"/>
    <col min="19" max="19" width="12.7265625" style="105" bestFit="1" customWidth="1"/>
    <col min="20" max="22" width="9.1796875" style="105"/>
    <col min="23" max="23" width="10.1796875" style="105" bestFit="1" customWidth="1"/>
    <col min="24" max="25" width="12.7265625" style="105" bestFit="1" customWidth="1"/>
    <col min="26" max="26" width="11.7265625" style="105" bestFit="1" customWidth="1"/>
    <col min="27" max="27" width="10.7265625" style="319" bestFit="1" customWidth="1"/>
    <col min="28" max="28" width="12.7265625" style="105" bestFit="1" customWidth="1"/>
    <col min="29" max="29" width="9.1796875" style="105"/>
    <col min="30" max="30" width="10.1796875" style="105" bestFit="1" customWidth="1"/>
    <col min="31" max="31" width="10.1796875" style="105" customWidth="1"/>
    <col min="32" max="32" width="12.7265625" style="105" bestFit="1" customWidth="1"/>
    <col min="33" max="33" width="9.1796875" style="105"/>
    <col min="34" max="34" width="11.7265625" style="105" bestFit="1" customWidth="1"/>
    <col min="35" max="35" width="10.1796875" style="105" customWidth="1"/>
    <col min="36" max="36" width="12.7265625" style="105" bestFit="1" customWidth="1"/>
    <col min="37" max="37" width="9.1796875" style="105"/>
    <col min="38" max="38" width="10.1796875" style="105" bestFit="1" customWidth="1"/>
    <col min="39" max="39" width="12.7265625" style="105" bestFit="1" customWidth="1"/>
    <col min="40" max="40" width="9.1796875" style="105"/>
    <col min="41" max="41" width="12.1796875" style="105" bestFit="1" customWidth="1"/>
    <col min="42" max="42" width="10.1796875" style="105" bestFit="1" customWidth="1"/>
    <col min="43" max="16384" width="9.1796875" style="105"/>
  </cols>
  <sheetData>
    <row r="1" spans="2:42" ht="15" thickBot="1" x14ac:dyDescent="0.4">
      <c r="B1" s="589" t="s">
        <v>59</v>
      </c>
      <c r="C1" s="589"/>
      <c r="D1" s="140" t="s">
        <v>58</v>
      </c>
      <c r="E1" s="140" t="s">
        <v>57</v>
      </c>
      <c r="G1" s="105">
        <v>727</v>
      </c>
      <c r="J1" s="233" t="s">
        <v>148</v>
      </c>
      <c r="K1" s="233" t="s">
        <v>335</v>
      </c>
      <c r="L1" s="233" t="s">
        <v>149</v>
      </c>
      <c r="M1" s="233" t="s">
        <v>150</v>
      </c>
      <c r="V1" s="332"/>
      <c r="W1" s="684" t="s">
        <v>168</v>
      </c>
      <c r="X1" s="685"/>
      <c r="Y1" s="685"/>
      <c r="Z1" s="686"/>
      <c r="AA1" s="684" t="s">
        <v>169</v>
      </c>
      <c r="AB1" s="685"/>
      <c r="AC1" s="685"/>
      <c r="AD1" s="686"/>
      <c r="AE1" s="684" t="s">
        <v>170</v>
      </c>
      <c r="AF1" s="685"/>
      <c r="AG1" s="685"/>
      <c r="AH1" s="686"/>
      <c r="AI1" s="684" t="s">
        <v>171</v>
      </c>
      <c r="AJ1" s="685"/>
      <c r="AK1" s="685"/>
      <c r="AL1" s="686"/>
      <c r="AM1" s="682" t="s">
        <v>172</v>
      </c>
      <c r="AN1" s="687" t="s">
        <v>133</v>
      </c>
      <c r="AO1" s="233" t="s">
        <v>270</v>
      </c>
      <c r="AP1" s="233" t="s">
        <v>271</v>
      </c>
    </row>
    <row r="2" spans="2:42" s="132" customFormat="1" ht="15" thickBot="1" x14ac:dyDescent="0.4">
      <c r="B2" s="588" t="s">
        <v>24</v>
      </c>
      <c r="C2" s="588"/>
      <c r="D2" s="137">
        <f>G2+H2</f>
        <v>693</v>
      </c>
      <c r="E2" s="452">
        <f>D2/25</f>
        <v>27.72</v>
      </c>
      <c r="G2" s="204">
        <v>658</v>
      </c>
      <c r="H2" s="204">
        <v>35</v>
      </c>
      <c r="J2" s="292">
        <v>6.21</v>
      </c>
      <c r="K2" s="400">
        <f>J2*1.0325</f>
        <v>6.4118249999999994</v>
      </c>
      <c r="L2" s="293">
        <f>K2*5.06</f>
        <v>32.443834499999994</v>
      </c>
      <c r="M2" s="293">
        <f>L2*25</f>
        <v>811.09586249999984</v>
      </c>
      <c r="Q2" s="233" t="s">
        <v>117</v>
      </c>
      <c r="R2" s="234">
        <f>500-J20</f>
        <v>4.5199999999999818</v>
      </c>
      <c r="S2" s="204">
        <f>R2*80</f>
        <v>361.59999999999854</v>
      </c>
      <c r="V2" s="333"/>
      <c r="W2" s="334" t="s">
        <v>254</v>
      </c>
      <c r="X2" s="335" t="s">
        <v>167</v>
      </c>
      <c r="Y2" s="335" t="s">
        <v>166</v>
      </c>
      <c r="Z2" s="336" t="s">
        <v>72</v>
      </c>
      <c r="AA2" s="337" t="s">
        <v>254</v>
      </c>
      <c r="AB2" s="335" t="s">
        <v>167</v>
      </c>
      <c r="AC2" s="335" t="s">
        <v>166</v>
      </c>
      <c r="AD2" s="336" t="s">
        <v>72</v>
      </c>
      <c r="AE2" s="337" t="s">
        <v>254</v>
      </c>
      <c r="AF2" s="335" t="s">
        <v>167</v>
      </c>
      <c r="AG2" s="335" t="s">
        <v>166</v>
      </c>
      <c r="AH2" s="336" t="s">
        <v>72</v>
      </c>
      <c r="AI2" s="337" t="s">
        <v>254</v>
      </c>
      <c r="AJ2" s="335" t="s">
        <v>167</v>
      </c>
      <c r="AK2" s="335" t="s">
        <v>166</v>
      </c>
      <c r="AL2" s="336" t="s">
        <v>72</v>
      </c>
      <c r="AM2" s="683"/>
      <c r="AN2" s="688"/>
      <c r="AO2" s="367">
        <v>900</v>
      </c>
      <c r="AP2" s="367">
        <v>870</v>
      </c>
    </row>
    <row r="3" spans="2:42" s="132" customFormat="1" ht="15" thickBot="1" x14ac:dyDescent="0.4">
      <c r="B3" s="588" t="s">
        <v>23</v>
      </c>
      <c r="C3" s="588"/>
      <c r="D3" s="137">
        <f>G3+H3</f>
        <v>214.1</v>
      </c>
      <c r="E3" s="452">
        <f>D3/25</f>
        <v>8.5640000000000001</v>
      </c>
      <c r="F3" s="132">
        <v>7.3</v>
      </c>
      <c r="G3" s="204">
        <f>F3*25</f>
        <v>182.5</v>
      </c>
      <c r="H3" s="204">
        <v>31.6</v>
      </c>
      <c r="I3" s="132">
        <v>609.5</v>
      </c>
      <c r="S3" s="204"/>
      <c r="T3" s="233" t="s">
        <v>120</v>
      </c>
      <c r="V3" s="338">
        <v>44896</v>
      </c>
      <c r="W3" s="339">
        <v>44909</v>
      </c>
      <c r="X3" s="340">
        <v>26478.5</v>
      </c>
      <c r="Y3" s="331">
        <v>30</v>
      </c>
      <c r="Z3" s="341">
        <f t="shared" ref="Z3:Z16" si="0">X3/Y3</f>
        <v>882.61666666666667</v>
      </c>
      <c r="AA3" s="339">
        <v>44923</v>
      </c>
      <c r="AB3" s="340">
        <v>35346.65</v>
      </c>
      <c r="AC3" s="331">
        <v>40</v>
      </c>
      <c r="AD3" s="341">
        <f t="shared" ref="AD3" si="1">AB3/AC3</f>
        <v>883.66624999999999</v>
      </c>
      <c r="AE3" s="339"/>
      <c r="AF3" s="340"/>
      <c r="AG3" s="331"/>
      <c r="AH3" s="341" t="e">
        <f t="shared" ref="AH3" si="2">AF3/AG3</f>
        <v>#DIV/0!</v>
      </c>
      <c r="AI3" s="339"/>
      <c r="AJ3" s="340"/>
      <c r="AK3" s="331"/>
      <c r="AL3" s="341" t="e">
        <f t="shared" ref="AL3" si="3">AJ3/AK3</f>
        <v>#DIV/0!</v>
      </c>
      <c r="AM3" s="342">
        <f t="shared" ref="AM3" si="4">(X3+AB3+AF3+AJ3)/(Y3+AC3+AG3+AK3)</f>
        <v>883.21642857142854</v>
      </c>
      <c r="AN3" s="338">
        <v>44531</v>
      </c>
      <c r="AO3" s="366">
        <f>1- ($AO$2/AM3)</f>
        <v>-1.9002784465545153E-2</v>
      </c>
      <c r="AP3" s="204">
        <f>$AP$2+($AP$2*AO3)</f>
        <v>853.46757751497569</v>
      </c>
    </row>
    <row r="4" spans="2:42" s="132" customFormat="1" ht="15" thickBot="1" x14ac:dyDescent="0.4">
      <c r="B4" s="588" t="s">
        <v>22</v>
      </c>
      <c r="C4" s="588"/>
      <c r="D4" s="137">
        <f>G4+H4</f>
        <v>300.60000000000002</v>
      </c>
      <c r="E4" s="452">
        <f>D4/20</f>
        <v>15.030000000000001</v>
      </c>
      <c r="F4" s="132">
        <v>13.45</v>
      </c>
      <c r="G4" s="204">
        <f>F4*20</f>
        <v>269</v>
      </c>
      <c r="H4" s="204">
        <v>31.6</v>
      </c>
      <c r="I4" s="139"/>
      <c r="J4" s="132">
        <v>526</v>
      </c>
      <c r="R4" s="138"/>
      <c r="S4" s="204"/>
      <c r="T4" s="233"/>
      <c r="V4" s="338">
        <v>44927</v>
      </c>
      <c r="W4" s="339">
        <v>44942</v>
      </c>
      <c r="X4" s="340">
        <v>35166.800000000003</v>
      </c>
      <c r="Y4" s="331">
        <v>40</v>
      </c>
      <c r="Z4" s="341">
        <f t="shared" si="0"/>
        <v>879.17000000000007</v>
      </c>
      <c r="AA4" s="339">
        <v>44960</v>
      </c>
      <c r="AB4" s="340">
        <v>25980.400000000001</v>
      </c>
      <c r="AC4" s="331">
        <v>30</v>
      </c>
      <c r="AD4" s="341">
        <f t="shared" ref="AD4:AD16" si="5">AB4/AC4</f>
        <v>866.01333333333343</v>
      </c>
      <c r="AE4" s="339"/>
      <c r="AF4" s="340"/>
      <c r="AG4" s="331"/>
      <c r="AH4" s="341" t="e">
        <f t="shared" ref="AH4:AH16" si="6">AF4/AG4</f>
        <v>#DIV/0!</v>
      </c>
      <c r="AI4" s="339"/>
      <c r="AJ4" s="340"/>
      <c r="AK4" s="331"/>
      <c r="AL4" s="341" t="e">
        <f t="shared" ref="AL4:AL16" si="7">AJ4/AK4</f>
        <v>#DIV/0!</v>
      </c>
      <c r="AM4" s="342">
        <f t="shared" ref="AM4:AM13" si="8">(X4+AB4+AF4+AJ4)/(Y4+AC4+AG4+AK4)</f>
        <v>873.53142857142859</v>
      </c>
      <c r="AN4" s="338">
        <v>44927</v>
      </c>
      <c r="AO4" s="366">
        <f>1- ($AO$2/AM4)</f>
        <v>-3.0300651542507273E-2</v>
      </c>
      <c r="AP4" s="204">
        <f t="shared" ref="AP4:AP16" si="9">$AP$2+($AP$2*AO4)</f>
        <v>843.63843315801864</v>
      </c>
    </row>
    <row r="5" spans="2:42" s="132" customFormat="1" ht="15" customHeight="1" thickBot="1" x14ac:dyDescent="0.4">
      <c r="B5" s="588" t="s">
        <v>21</v>
      </c>
      <c r="C5" s="588"/>
      <c r="D5" s="137">
        <f>G5+H5</f>
        <v>0</v>
      </c>
      <c r="E5" s="452">
        <f>D5/25</f>
        <v>0</v>
      </c>
      <c r="G5" s="204"/>
      <c r="H5" s="204"/>
      <c r="I5" s="133"/>
      <c r="S5" s="204"/>
      <c r="T5" s="233"/>
      <c r="V5" s="338">
        <v>44958</v>
      </c>
      <c r="W5" s="339">
        <v>44977</v>
      </c>
      <c r="X5" s="340">
        <v>33332.5</v>
      </c>
      <c r="Y5" s="331">
        <v>40</v>
      </c>
      <c r="Z5" s="341">
        <f t="shared" si="0"/>
        <v>833.3125</v>
      </c>
      <c r="AA5" s="339">
        <v>44993</v>
      </c>
      <c r="AB5" s="340">
        <v>24859.4</v>
      </c>
      <c r="AC5" s="331">
        <v>30</v>
      </c>
      <c r="AD5" s="341">
        <f t="shared" si="5"/>
        <v>828.64666666666676</v>
      </c>
      <c r="AE5" s="339"/>
      <c r="AF5" s="340"/>
      <c r="AG5" s="331"/>
      <c r="AH5" s="341" t="e">
        <f t="shared" si="6"/>
        <v>#DIV/0!</v>
      </c>
      <c r="AI5" s="339"/>
      <c r="AJ5" s="340"/>
      <c r="AK5" s="331"/>
      <c r="AL5" s="341" t="e">
        <f t="shared" si="7"/>
        <v>#DIV/0!</v>
      </c>
      <c r="AM5" s="342">
        <f t="shared" si="8"/>
        <v>831.31285714285718</v>
      </c>
      <c r="AN5" s="338">
        <v>44958</v>
      </c>
      <c r="AO5" s="366">
        <f t="shared" ref="AO5:AO16" si="10">1- ($AO$2/AM5)</f>
        <v>-8.262490140380363E-2</v>
      </c>
      <c r="AP5" s="204">
        <f t="shared" si="9"/>
        <v>798.11633577869088</v>
      </c>
    </row>
    <row r="6" spans="2:42" s="132" customFormat="1" ht="15" thickBot="1" x14ac:dyDescent="0.4">
      <c r="B6" s="588" t="s">
        <v>18</v>
      </c>
      <c r="C6" s="588"/>
      <c r="D6" s="137">
        <f>G6+H6</f>
        <v>8.1</v>
      </c>
      <c r="E6" s="452">
        <f>D6</f>
        <v>8.1</v>
      </c>
      <c r="G6" s="204">
        <v>7.1</v>
      </c>
      <c r="H6" s="204">
        <v>1</v>
      </c>
      <c r="S6" s="204"/>
      <c r="T6" s="233"/>
      <c r="V6" s="338">
        <v>44986</v>
      </c>
      <c r="W6" s="339">
        <v>45009</v>
      </c>
      <c r="X6" s="340">
        <v>32911.9</v>
      </c>
      <c r="Y6" s="331">
        <v>40</v>
      </c>
      <c r="Z6" s="341">
        <f t="shared" si="0"/>
        <v>822.79750000000001</v>
      </c>
      <c r="AA6" s="339">
        <v>45022</v>
      </c>
      <c r="AB6" s="340">
        <v>32948.449999999997</v>
      </c>
      <c r="AC6" s="331">
        <v>40</v>
      </c>
      <c r="AD6" s="341">
        <f t="shared" si="5"/>
        <v>823.71124999999995</v>
      </c>
      <c r="AE6" s="339"/>
      <c r="AF6" s="340"/>
      <c r="AG6" s="331"/>
      <c r="AH6" s="341" t="e">
        <f t="shared" si="6"/>
        <v>#DIV/0!</v>
      </c>
      <c r="AI6" s="339"/>
      <c r="AJ6" s="340"/>
      <c r="AK6" s="331"/>
      <c r="AL6" s="341" t="e">
        <f t="shared" si="7"/>
        <v>#DIV/0!</v>
      </c>
      <c r="AM6" s="342">
        <f t="shared" si="8"/>
        <v>823.2543750000001</v>
      </c>
      <c r="AN6" s="338">
        <v>44986</v>
      </c>
      <c r="AO6" s="366">
        <f t="shared" si="10"/>
        <v>-9.3222249805839041E-2</v>
      </c>
      <c r="AP6" s="204">
        <f t="shared" si="9"/>
        <v>788.89664266892009</v>
      </c>
    </row>
    <row r="7" spans="2:42" s="132" customFormat="1" ht="15" customHeight="1" thickBot="1" x14ac:dyDescent="0.4">
      <c r="B7" s="588" t="s">
        <v>110</v>
      </c>
      <c r="C7" s="588"/>
      <c r="D7" s="137">
        <f>G7</f>
        <v>1.5</v>
      </c>
      <c r="E7" s="452">
        <f>D7</f>
        <v>1.5</v>
      </c>
      <c r="G7" s="204">
        <v>1.5</v>
      </c>
      <c r="H7" s="204"/>
      <c r="I7" s="232"/>
      <c r="S7" s="204"/>
      <c r="T7" s="233"/>
      <c r="V7" s="338">
        <v>45017</v>
      </c>
      <c r="W7" s="339"/>
      <c r="X7" s="340">
        <v>33626.15</v>
      </c>
      <c r="Y7" s="331">
        <v>40</v>
      </c>
      <c r="Z7" s="341">
        <f t="shared" si="0"/>
        <v>840.65375000000006</v>
      </c>
      <c r="AA7" s="339"/>
      <c r="AB7" s="359"/>
      <c r="AC7" s="360"/>
      <c r="AD7" s="341" t="e">
        <f t="shared" si="5"/>
        <v>#DIV/0!</v>
      </c>
      <c r="AE7" s="339"/>
      <c r="AF7" s="340"/>
      <c r="AG7" s="331"/>
      <c r="AH7" s="341" t="e">
        <f t="shared" si="6"/>
        <v>#DIV/0!</v>
      </c>
      <c r="AI7" s="339"/>
      <c r="AJ7" s="340"/>
      <c r="AK7" s="331"/>
      <c r="AL7" s="341" t="e">
        <f t="shared" si="7"/>
        <v>#DIV/0!</v>
      </c>
      <c r="AM7" s="342">
        <f t="shared" si="8"/>
        <v>840.65375000000006</v>
      </c>
      <c r="AN7" s="338">
        <v>45017</v>
      </c>
      <c r="AO7" s="366">
        <f t="shared" si="10"/>
        <v>-7.0595355103096669E-2</v>
      </c>
      <c r="AP7" s="204">
        <f t="shared" si="9"/>
        <v>808.58204106030587</v>
      </c>
    </row>
    <row r="8" spans="2:42" s="132" customFormat="1" ht="15" customHeight="1" thickBot="1" x14ac:dyDescent="0.4">
      <c r="B8" s="588" t="s">
        <v>434</v>
      </c>
      <c r="C8" s="588"/>
      <c r="D8" s="137"/>
      <c r="E8" s="452">
        <f>D8</f>
        <v>0</v>
      </c>
      <c r="G8" s="204"/>
      <c r="H8" s="204"/>
      <c r="I8" s="232"/>
      <c r="S8" s="204"/>
      <c r="T8" s="233"/>
      <c r="V8" s="338">
        <v>45047</v>
      </c>
      <c r="W8" s="339">
        <v>45062</v>
      </c>
      <c r="X8" s="340">
        <v>24051.75</v>
      </c>
      <c r="Y8" s="331">
        <v>30</v>
      </c>
      <c r="Z8" s="341">
        <f t="shared" si="0"/>
        <v>801.72500000000002</v>
      </c>
      <c r="AA8" s="339">
        <v>45079</v>
      </c>
      <c r="AB8" s="340">
        <v>30809.03</v>
      </c>
      <c r="AC8" s="331">
        <v>40</v>
      </c>
      <c r="AD8" s="341">
        <f t="shared" si="5"/>
        <v>770.22574999999995</v>
      </c>
      <c r="AE8" s="339">
        <v>45092</v>
      </c>
      <c r="AF8" s="340">
        <v>30438.55</v>
      </c>
      <c r="AG8" s="331">
        <v>40</v>
      </c>
      <c r="AH8" s="341">
        <f t="shared" si="6"/>
        <v>760.96375</v>
      </c>
      <c r="AI8" s="339"/>
      <c r="AJ8" s="340"/>
      <c r="AK8" s="331"/>
      <c r="AL8" s="341" t="e">
        <f t="shared" si="7"/>
        <v>#DIV/0!</v>
      </c>
      <c r="AM8" s="342">
        <f t="shared" si="8"/>
        <v>775.44845454545452</v>
      </c>
      <c r="AN8" s="338">
        <v>45047</v>
      </c>
      <c r="AO8" s="366">
        <f t="shared" si="10"/>
        <v>-0.16061872936164923</v>
      </c>
      <c r="AP8" s="204">
        <f t="shared" si="9"/>
        <v>730.26170545536513</v>
      </c>
    </row>
    <row r="9" spans="2:42" s="132" customFormat="1" ht="15" customHeight="1" thickBot="1" x14ac:dyDescent="0.4">
      <c r="B9" s="136"/>
      <c r="C9" s="136"/>
      <c r="D9" s="135"/>
      <c r="E9" s="134"/>
      <c r="I9" s="133"/>
      <c r="S9" s="204">
        <f>SUM(S3:S7)</f>
        <v>0</v>
      </c>
      <c r="T9" s="233" t="s">
        <v>4</v>
      </c>
      <c r="V9" s="338">
        <v>45078</v>
      </c>
      <c r="W9" s="339">
        <v>45110</v>
      </c>
      <c r="X9" s="340">
        <v>38483.65</v>
      </c>
      <c r="Y9" s="331">
        <v>50</v>
      </c>
      <c r="Z9" s="341">
        <f t="shared" si="0"/>
        <v>769.673</v>
      </c>
      <c r="AA9" s="339">
        <v>45121</v>
      </c>
      <c r="AB9" s="408">
        <v>30175.64</v>
      </c>
      <c r="AC9" s="331">
        <v>40</v>
      </c>
      <c r="AD9" s="341">
        <f t="shared" si="5"/>
        <v>754.39099999999996</v>
      </c>
      <c r="AE9" s="339"/>
      <c r="AF9" s="340"/>
      <c r="AG9" s="331"/>
      <c r="AH9" s="341" t="e">
        <f t="shared" si="6"/>
        <v>#DIV/0!</v>
      </c>
      <c r="AI9" s="339"/>
      <c r="AJ9" s="340"/>
      <c r="AK9" s="331"/>
      <c r="AL9" s="341" t="e">
        <f t="shared" si="7"/>
        <v>#DIV/0!</v>
      </c>
      <c r="AM9" s="342">
        <f t="shared" si="8"/>
        <v>762.88100000000009</v>
      </c>
      <c r="AN9" s="338">
        <v>45078</v>
      </c>
      <c r="AO9" s="366">
        <f t="shared" si="10"/>
        <v>-0.17973838645870055</v>
      </c>
      <c r="AP9" s="204">
        <f t="shared" si="9"/>
        <v>713.62760378093049</v>
      </c>
    </row>
    <row r="10" spans="2:42" ht="15" thickBot="1" x14ac:dyDescent="0.4">
      <c r="I10" s="107"/>
      <c r="R10" s="106"/>
      <c r="S10" s="235">
        <f>S2-S9</f>
        <v>361.59999999999854</v>
      </c>
      <c r="T10" s="233"/>
      <c r="V10" s="338">
        <v>45108</v>
      </c>
      <c r="W10" s="339">
        <v>45133</v>
      </c>
      <c r="X10" s="549">
        <v>29445.200000000001</v>
      </c>
      <c r="Y10" s="331">
        <v>40</v>
      </c>
      <c r="Z10" s="341">
        <f t="shared" si="0"/>
        <v>736.13</v>
      </c>
      <c r="AA10" s="339">
        <v>45135</v>
      </c>
      <c r="AB10" s="549">
        <v>7333.65</v>
      </c>
      <c r="AC10" s="331">
        <v>10</v>
      </c>
      <c r="AD10" s="341">
        <f t="shared" si="5"/>
        <v>733.36500000000001</v>
      </c>
      <c r="AE10" s="339">
        <v>45146</v>
      </c>
      <c r="AF10" s="340">
        <v>36765.050000000003</v>
      </c>
      <c r="AG10" s="331">
        <v>50</v>
      </c>
      <c r="AH10" s="341">
        <f t="shared" si="6"/>
        <v>735.30100000000004</v>
      </c>
      <c r="AI10" s="339"/>
      <c r="AJ10" s="340"/>
      <c r="AK10" s="331"/>
      <c r="AL10" s="341" t="e">
        <f t="shared" si="7"/>
        <v>#DIV/0!</v>
      </c>
      <c r="AM10" s="342">
        <f t="shared" si="8"/>
        <v>735.43899999999996</v>
      </c>
      <c r="AN10" s="338">
        <v>45108</v>
      </c>
      <c r="AO10" s="366">
        <f t="shared" si="10"/>
        <v>-0.22375887055214649</v>
      </c>
      <c r="AP10" s="204">
        <f t="shared" si="9"/>
        <v>675.32978261963251</v>
      </c>
    </row>
    <row r="11" spans="2:42" ht="15" thickBot="1" x14ac:dyDescent="0.4">
      <c r="B11" s="590" t="s">
        <v>53</v>
      </c>
      <c r="C11" s="591"/>
      <c r="D11" s="591"/>
      <c r="E11" s="591"/>
      <c r="F11" s="591"/>
      <c r="G11" s="591"/>
      <c r="H11" s="591"/>
      <c r="I11" s="591"/>
      <c r="J11" s="591"/>
      <c r="K11" s="591"/>
      <c r="L11" s="592"/>
      <c r="M11" s="235"/>
      <c r="V11" s="338">
        <v>45139</v>
      </c>
      <c r="W11" s="339">
        <v>45163</v>
      </c>
      <c r="X11" s="340">
        <v>36774.25</v>
      </c>
      <c r="Y11" s="331">
        <v>50</v>
      </c>
      <c r="Z11" s="341">
        <f t="shared" si="0"/>
        <v>735.48500000000001</v>
      </c>
      <c r="AA11" s="339">
        <v>45174</v>
      </c>
      <c r="AB11" s="340">
        <v>41710.5</v>
      </c>
      <c r="AC11" s="331">
        <v>60</v>
      </c>
      <c r="AD11" s="341">
        <f t="shared" si="5"/>
        <v>695.17499999999995</v>
      </c>
      <c r="AE11" s="339"/>
      <c r="AF11" s="340"/>
      <c r="AG11" s="331"/>
      <c r="AH11" s="341" t="e">
        <f t="shared" si="6"/>
        <v>#DIV/0!</v>
      </c>
      <c r="AI11" s="339"/>
      <c r="AJ11" s="340"/>
      <c r="AK11" s="331"/>
      <c r="AL11" s="341" t="e">
        <f t="shared" si="7"/>
        <v>#DIV/0!</v>
      </c>
      <c r="AM11" s="342">
        <f t="shared" si="8"/>
        <v>713.49772727272727</v>
      </c>
      <c r="AN11" s="338">
        <v>45139</v>
      </c>
      <c r="AO11" s="366">
        <f t="shared" si="10"/>
        <v>-0.26139154421718858</v>
      </c>
      <c r="AP11" s="204">
        <f t="shared" si="9"/>
        <v>642.58935653104595</v>
      </c>
    </row>
    <row r="12" spans="2:42" ht="15.75" customHeight="1" thickBot="1" x14ac:dyDescent="0.4">
      <c r="B12" s="593" t="s">
        <v>56</v>
      </c>
      <c r="C12" s="596" t="s">
        <v>52</v>
      </c>
      <c r="D12" s="598" t="s">
        <v>51</v>
      </c>
      <c r="E12" s="600" t="s">
        <v>8</v>
      </c>
      <c r="F12" s="601"/>
      <c r="G12" s="601"/>
      <c r="H12" s="601"/>
      <c r="I12" s="602"/>
      <c r="J12" s="603" t="s">
        <v>0</v>
      </c>
      <c r="K12" s="604"/>
      <c r="L12" s="605"/>
      <c r="M12" s="235"/>
      <c r="V12" s="338">
        <v>45170</v>
      </c>
      <c r="W12" s="339">
        <v>45187</v>
      </c>
      <c r="X12" s="340">
        <v>43032.7</v>
      </c>
      <c r="Y12" s="331">
        <v>60</v>
      </c>
      <c r="Z12" s="341">
        <f t="shared" si="0"/>
        <v>717.21166666666659</v>
      </c>
      <c r="AA12" s="339">
        <v>45202</v>
      </c>
      <c r="AB12" s="340">
        <v>43050.27</v>
      </c>
      <c r="AC12" s="331">
        <v>60</v>
      </c>
      <c r="AD12" s="341">
        <f t="shared" si="5"/>
        <v>717.50449999999989</v>
      </c>
      <c r="AE12" s="339"/>
      <c r="AF12" s="340"/>
      <c r="AG12" s="331"/>
      <c r="AH12" s="341" t="e">
        <f t="shared" si="6"/>
        <v>#DIV/0!</v>
      </c>
      <c r="AI12" s="339"/>
      <c r="AJ12" s="340"/>
      <c r="AK12" s="331"/>
      <c r="AL12" s="341" t="e">
        <f t="shared" si="7"/>
        <v>#DIV/0!</v>
      </c>
      <c r="AM12" s="342">
        <f t="shared" si="8"/>
        <v>717.3580833333333</v>
      </c>
      <c r="AN12" s="338">
        <v>45170</v>
      </c>
      <c r="AO12" s="366">
        <f t="shared" si="10"/>
        <v>-0.25460355282816116</v>
      </c>
      <c r="AP12" s="204">
        <f t="shared" si="9"/>
        <v>648.49490903949982</v>
      </c>
    </row>
    <row r="13" spans="2:42" ht="29.5" thickBot="1" x14ac:dyDescent="0.4">
      <c r="B13" s="594"/>
      <c r="C13" s="597"/>
      <c r="D13" s="599"/>
      <c r="E13" s="128" t="s">
        <v>50</v>
      </c>
      <c r="F13" s="130" t="s">
        <v>49</v>
      </c>
      <c r="G13" s="129" t="s">
        <v>48</v>
      </c>
      <c r="H13" s="142" t="s">
        <v>60</v>
      </c>
      <c r="I13" s="128" t="s">
        <v>61</v>
      </c>
      <c r="J13" s="129" t="s">
        <v>126</v>
      </c>
      <c r="K13" s="129" t="s">
        <v>46</v>
      </c>
      <c r="L13" s="128" t="s">
        <v>45</v>
      </c>
      <c r="V13" s="338">
        <v>45200</v>
      </c>
      <c r="W13" s="339">
        <v>45222</v>
      </c>
      <c r="X13" s="340">
        <v>40644.400000000001</v>
      </c>
      <c r="Y13" s="331">
        <v>60</v>
      </c>
      <c r="Z13" s="341">
        <f t="shared" si="0"/>
        <v>677.40666666666664</v>
      </c>
      <c r="AA13" s="339"/>
      <c r="AB13" s="340"/>
      <c r="AC13" s="331"/>
      <c r="AD13" s="341" t="e">
        <f t="shared" si="5"/>
        <v>#DIV/0!</v>
      </c>
      <c r="AE13" s="339"/>
      <c r="AF13" s="340"/>
      <c r="AG13" s="331"/>
      <c r="AH13" s="341" t="e">
        <f t="shared" si="6"/>
        <v>#DIV/0!</v>
      </c>
      <c r="AI13" s="339"/>
      <c r="AJ13" s="340"/>
      <c r="AK13" s="331"/>
      <c r="AL13" s="341" t="e">
        <f t="shared" si="7"/>
        <v>#DIV/0!</v>
      </c>
      <c r="AM13" s="342">
        <f t="shared" si="8"/>
        <v>677.40666666666664</v>
      </c>
      <c r="AN13" s="338">
        <v>45200</v>
      </c>
      <c r="AO13" s="366">
        <f t="shared" si="10"/>
        <v>-0.32859631339126683</v>
      </c>
      <c r="AP13" s="204">
        <f t="shared" si="9"/>
        <v>584.12120734959785</v>
      </c>
    </row>
    <row r="14" spans="2:42" ht="15" customHeight="1" thickBot="1" x14ac:dyDescent="0.4">
      <c r="B14" s="594"/>
      <c r="C14" s="606">
        <v>90</v>
      </c>
      <c r="D14" s="127" t="s">
        <v>56</v>
      </c>
      <c r="E14" s="125">
        <v>50</v>
      </c>
      <c r="F14" s="126">
        <f>E14/E20</f>
        <v>0.5</v>
      </c>
      <c r="G14" s="125">
        <f>(E20*F14)/D20</f>
        <v>12.5</v>
      </c>
      <c r="H14" s="143">
        <f>I14/25</f>
        <v>45</v>
      </c>
      <c r="I14" s="124">
        <f>C14*G14</f>
        <v>1125</v>
      </c>
      <c r="J14" s="556">
        <f>G14*$E$2</f>
        <v>346.5</v>
      </c>
      <c r="K14" s="609">
        <f>(J14+J15+J16+J17+J19)/25</f>
        <v>19.7592</v>
      </c>
      <c r="L14" s="122">
        <f>$E$2*I14</f>
        <v>31185</v>
      </c>
      <c r="V14" s="338">
        <v>45231</v>
      </c>
      <c r="W14" s="339">
        <v>45244</v>
      </c>
      <c r="X14" s="340">
        <v>43129.54</v>
      </c>
      <c r="Y14" s="331">
        <v>60</v>
      </c>
      <c r="Z14" s="341">
        <f t="shared" si="0"/>
        <v>718.82566666666673</v>
      </c>
      <c r="AA14" s="339">
        <v>45272</v>
      </c>
      <c r="AB14" s="340">
        <v>40828.9</v>
      </c>
      <c r="AC14" s="331">
        <v>60</v>
      </c>
      <c r="AD14" s="341">
        <f t="shared" si="5"/>
        <v>680.48166666666668</v>
      </c>
      <c r="AE14" s="358"/>
      <c r="AF14" s="359"/>
      <c r="AG14" s="360"/>
      <c r="AH14" s="341" t="e">
        <f t="shared" si="6"/>
        <v>#DIV/0!</v>
      </c>
      <c r="AI14" s="339"/>
      <c r="AJ14" s="340"/>
      <c r="AK14" s="331"/>
      <c r="AL14" s="341" t="e">
        <f t="shared" si="7"/>
        <v>#DIV/0!</v>
      </c>
      <c r="AM14" s="342">
        <f>(X14+AB14+AF14+AJ14)/(Y14+AC14+AG14+AK14)</f>
        <v>699.65366666666671</v>
      </c>
      <c r="AN14" s="338">
        <v>45231</v>
      </c>
      <c r="AO14" s="366">
        <f t="shared" si="10"/>
        <v>-0.28635072304821274</v>
      </c>
      <c r="AP14" s="204">
        <f t="shared" si="9"/>
        <v>620.87487094805488</v>
      </c>
    </row>
    <row r="15" spans="2:42" ht="15" customHeight="1" thickBot="1" x14ac:dyDescent="0.4">
      <c r="B15" s="594"/>
      <c r="C15" s="607"/>
      <c r="D15" s="121" t="s">
        <v>55</v>
      </c>
      <c r="E15" s="119">
        <v>30</v>
      </c>
      <c r="F15" s="120">
        <f>E15/E20</f>
        <v>0.3</v>
      </c>
      <c r="G15" s="119">
        <f>(E20*F15)/D20</f>
        <v>7.5</v>
      </c>
      <c r="H15" s="144">
        <f>I15/25</f>
        <v>27</v>
      </c>
      <c r="I15" s="118">
        <f>C14*G15</f>
        <v>675</v>
      </c>
      <c r="J15" s="557">
        <f>G15*$E$3</f>
        <v>64.23</v>
      </c>
      <c r="K15" s="610"/>
      <c r="L15" s="116">
        <f>$E$3*I15</f>
        <v>5780.7</v>
      </c>
      <c r="V15" s="338">
        <v>45261</v>
      </c>
      <c r="W15" s="339">
        <v>45282</v>
      </c>
      <c r="X15" s="340">
        <v>40549.25</v>
      </c>
      <c r="Y15" s="331">
        <v>60</v>
      </c>
      <c r="Z15" s="341">
        <f t="shared" si="0"/>
        <v>675.82083333333333</v>
      </c>
      <c r="AA15" s="339">
        <v>44934</v>
      </c>
      <c r="AB15" s="340">
        <v>38320.720000000001</v>
      </c>
      <c r="AC15" s="331">
        <v>60</v>
      </c>
      <c r="AD15" s="341">
        <f t="shared" si="5"/>
        <v>638.67866666666669</v>
      </c>
      <c r="AE15" s="339"/>
      <c r="AF15" s="340"/>
      <c r="AG15" s="331"/>
      <c r="AH15" s="341" t="e">
        <f t="shared" si="6"/>
        <v>#DIV/0!</v>
      </c>
      <c r="AI15" s="339"/>
      <c r="AJ15" s="340"/>
      <c r="AK15" s="331"/>
      <c r="AL15" s="341" t="e">
        <f t="shared" si="7"/>
        <v>#DIV/0!</v>
      </c>
      <c r="AM15" s="342">
        <f t="shared" ref="AM15:AM16" si="11">(X15+AB15+AF15+AJ15)/(Y15+AC15+AG15+AK15)</f>
        <v>657.24975000000006</v>
      </c>
      <c r="AN15" s="338">
        <v>45261</v>
      </c>
      <c r="AO15" s="366">
        <f t="shared" si="10"/>
        <v>-0.36934247597659775</v>
      </c>
      <c r="AP15" s="204">
        <f t="shared" si="9"/>
        <v>548.67204590035999</v>
      </c>
    </row>
    <row r="16" spans="2:42" ht="15" customHeight="1" thickBot="1" x14ac:dyDescent="0.4">
      <c r="B16" s="594"/>
      <c r="C16" s="607"/>
      <c r="D16" s="121" t="s">
        <v>54</v>
      </c>
      <c r="E16" s="119">
        <v>20</v>
      </c>
      <c r="F16" s="120">
        <f>E16/E20</f>
        <v>0.2</v>
      </c>
      <c r="G16" s="119">
        <f>(E20*F16)/D20</f>
        <v>5</v>
      </c>
      <c r="H16" s="144">
        <f>I16/20</f>
        <v>22.5</v>
      </c>
      <c r="I16" s="118">
        <f>C14*G16</f>
        <v>450</v>
      </c>
      <c r="J16" s="557">
        <f>G16*$E$4</f>
        <v>75.150000000000006</v>
      </c>
      <c r="K16" s="610"/>
      <c r="L16" s="116">
        <f>I16*$E$4</f>
        <v>6763.5000000000009</v>
      </c>
      <c r="V16" s="338">
        <v>45292</v>
      </c>
      <c r="W16" s="339">
        <v>44957</v>
      </c>
      <c r="X16" s="340">
        <v>37679.69</v>
      </c>
      <c r="Y16" s="331">
        <v>60</v>
      </c>
      <c r="Z16" s="341">
        <f t="shared" si="0"/>
        <v>627.99483333333342</v>
      </c>
      <c r="AA16" s="339"/>
      <c r="AB16" s="340"/>
      <c r="AC16" s="331"/>
      <c r="AD16" s="341" t="e">
        <f t="shared" si="5"/>
        <v>#DIV/0!</v>
      </c>
      <c r="AE16" s="339"/>
      <c r="AF16" s="340"/>
      <c r="AG16" s="331"/>
      <c r="AH16" s="341" t="e">
        <f t="shared" si="6"/>
        <v>#DIV/0!</v>
      </c>
      <c r="AI16" s="339"/>
      <c r="AJ16" s="340"/>
      <c r="AK16" s="331"/>
      <c r="AL16" s="341" t="e">
        <f t="shared" si="7"/>
        <v>#DIV/0!</v>
      </c>
      <c r="AM16" s="342">
        <f t="shared" si="11"/>
        <v>627.99483333333342</v>
      </c>
      <c r="AN16" s="338">
        <v>45292</v>
      </c>
      <c r="AO16" s="366">
        <f t="shared" si="10"/>
        <v>-0.43313280974445356</v>
      </c>
      <c r="AP16" s="204">
        <f t="shared" si="9"/>
        <v>493.17445552232539</v>
      </c>
    </row>
    <row r="17" spans="2:39" ht="15" customHeight="1" thickBot="1" x14ac:dyDescent="0.4">
      <c r="B17" s="594"/>
      <c r="C17" s="607"/>
      <c r="D17" s="121" t="s">
        <v>42</v>
      </c>
      <c r="E17" s="355">
        <v>1</v>
      </c>
      <c r="F17" s="356"/>
      <c r="G17" s="355">
        <v>1</v>
      </c>
      <c r="H17" s="144">
        <f>I17/1</f>
        <v>90</v>
      </c>
      <c r="I17" s="355">
        <f>G17*$C$14</f>
        <v>90</v>
      </c>
      <c r="J17" s="557">
        <f>G17*$E$6</f>
        <v>8.1</v>
      </c>
      <c r="K17" s="610"/>
      <c r="L17" s="116">
        <f>I17*$E$6</f>
        <v>729</v>
      </c>
      <c r="V17" s="332"/>
      <c r="W17" s="332"/>
      <c r="X17" s="332"/>
      <c r="Y17" s="332"/>
      <c r="Z17" s="332"/>
      <c r="AA17" s="343"/>
      <c r="AB17" s="332"/>
      <c r="AC17" s="332"/>
      <c r="AD17" s="332"/>
      <c r="AE17" s="332"/>
      <c r="AF17" s="332"/>
      <c r="AG17" s="332"/>
      <c r="AH17" s="332"/>
      <c r="AI17" s="332"/>
      <c r="AJ17" s="332"/>
      <c r="AK17" s="332"/>
      <c r="AL17" s="332"/>
      <c r="AM17" s="368">
        <f>AVERAGE(AM3:AM16)</f>
        <v>758.49271579313552</v>
      </c>
    </row>
    <row r="18" spans="2:39" ht="15" customHeight="1" x14ac:dyDescent="0.35">
      <c r="B18" s="594"/>
      <c r="C18" s="607"/>
      <c r="D18" s="553" t="s">
        <v>263</v>
      </c>
      <c r="E18" s="355">
        <v>1</v>
      </c>
      <c r="F18" s="356"/>
      <c r="G18" s="355">
        <v>1</v>
      </c>
      <c r="H18" s="353">
        <f>I18/1</f>
        <v>90</v>
      </c>
      <c r="I18" s="551">
        <f>G18*$C$14</f>
        <v>90</v>
      </c>
      <c r="J18" s="557">
        <f>G18*$E$7</f>
        <v>1.5</v>
      </c>
      <c r="K18" s="610"/>
      <c r="L18" s="116">
        <f>I18*$E$7</f>
        <v>135</v>
      </c>
      <c r="V18" s="332"/>
      <c r="W18" s="332"/>
      <c r="X18" s="332"/>
      <c r="Y18" s="332"/>
      <c r="Z18" s="332"/>
      <c r="AA18" s="343"/>
      <c r="AB18" s="332"/>
      <c r="AC18" s="332"/>
      <c r="AD18" s="332"/>
      <c r="AE18" s="332"/>
      <c r="AF18" s="332"/>
      <c r="AG18" s="332"/>
      <c r="AH18" s="332"/>
      <c r="AI18" s="332"/>
      <c r="AJ18" s="332"/>
      <c r="AK18" s="332"/>
      <c r="AL18" s="332"/>
      <c r="AM18" s="552"/>
    </row>
    <row r="19" spans="2:39" ht="15" customHeight="1" thickBot="1" x14ac:dyDescent="0.4">
      <c r="B19" s="594"/>
      <c r="C19" s="608"/>
      <c r="D19" s="357" t="s">
        <v>434</v>
      </c>
      <c r="E19" s="351">
        <v>1</v>
      </c>
      <c r="F19" s="352"/>
      <c r="G19" s="351">
        <v>1</v>
      </c>
      <c r="H19" s="555">
        <f>I19/1</f>
        <v>90</v>
      </c>
      <c r="I19" s="554">
        <f>G19*$C$14</f>
        <v>90</v>
      </c>
      <c r="J19" s="557">
        <f>G19*$E$8</f>
        <v>0</v>
      </c>
      <c r="K19" s="611"/>
      <c r="L19" s="131">
        <f>I19*$E$8</f>
        <v>0</v>
      </c>
      <c r="V19" s="332"/>
      <c r="W19" s="332"/>
      <c r="Y19" s="332"/>
      <c r="Z19" s="332"/>
      <c r="AA19" s="343"/>
      <c r="AB19" s="332"/>
      <c r="AC19" s="332"/>
      <c r="AD19" s="332"/>
      <c r="AE19" s="332"/>
      <c r="AF19" s="332"/>
      <c r="AG19" s="332"/>
      <c r="AH19" s="332"/>
      <c r="AI19" s="332"/>
      <c r="AJ19" s="332"/>
      <c r="AK19" s="332"/>
      <c r="AL19" s="332"/>
    </row>
    <row r="20" spans="2:39" ht="15.75" customHeight="1" thickBot="1" x14ac:dyDescent="0.4">
      <c r="B20" s="595"/>
      <c r="C20" s="115" t="s">
        <v>4</v>
      </c>
      <c r="D20" s="114">
        <f>E20/25</f>
        <v>4</v>
      </c>
      <c r="E20" s="113">
        <f>SUM(E14:E16)</f>
        <v>100</v>
      </c>
      <c r="F20" s="112">
        <f>SUM(F14:F16)</f>
        <v>1</v>
      </c>
      <c r="G20" s="111">
        <f>SUM(G14:G16)</f>
        <v>25</v>
      </c>
      <c r="H20" s="145"/>
      <c r="I20" s="110">
        <f>SUM(I14:I16)</f>
        <v>2250</v>
      </c>
      <c r="J20" s="146">
        <f>SUM(J14:J19)</f>
        <v>495.48</v>
      </c>
      <c r="K20" s="109"/>
      <c r="L20" s="108">
        <f>SUM(L14:L19)</f>
        <v>44593.2</v>
      </c>
      <c r="V20" s="338">
        <v>44896</v>
      </c>
      <c r="W20" s="235">
        <v>883.21642857142854</v>
      </c>
      <c r="AC20" s="332"/>
    </row>
    <row r="21" spans="2:39" ht="15.75" customHeight="1" thickBot="1" x14ac:dyDescent="0.4">
      <c r="I21" s="559" t="s">
        <v>435</v>
      </c>
      <c r="J21" s="558">
        <f>J20*2%</f>
        <v>9.9096000000000011</v>
      </c>
      <c r="L21" s="106"/>
      <c r="V21" s="338">
        <v>44927</v>
      </c>
      <c r="W21" s="235">
        <v>873.53142857142859</v>
      </c>
      <c r="AC21" s="332"/>
    </row>
    <row r="22" spans="2:39" ht="15.75" customHeight="1" thickBot="1" x14ac:dyDescent="0.4">
      <c r="I22" s="560" t="s">
        <v>45</v>
      </c>
      <c r="J22" s="561">
        <f>J20+J21</f>
        <v>505.38960000000003</v>
      </c>
      <c r="L22" s="106"/>
      <c r="V22" s="338">
        <v>44958</v>
      </c>
      <c r="W22" s="235">
        <v>831.31285714285718</v>
      </c>
      <c r="AC22" s="332"/>
    </row>
    <row r="23" spans="2:39" ht="15.75" customHeight="1" x14ac:dyDescent="0.35">
      <c r="I23" s="107"/>
      <c r="L23" s="106"/>
      <c r="V23" s="338">
        <v>44986</v>
      </c>
      <c r="W23" s="235">
        <v>823.2543750000001</v>
      </c>
      <c r="AC23" s="332"/>
    </row>
    <row r="24" spans="2:39" ht="15" thickBot="1" x14ac:dyDescent="0.4">
      <c r="I24" s="107"/>
      <c r="L24" s="106"/>
      <c r="V24" s="338">
        <v>45017</v>
      </c>
      <c r="W24" s="235">
        <v>840.65375000000006</v>
      </c>
      <c r="AC24" s="332"/>
    </row>
    <row r="25" spans="2:39" ht="15" thickBot="1" x14ac:dyDescent="0.4">
      <c r="B25" s="590" t="s">
        <v>53</v>
      </c>
      <c r="C25" s="591"/>
      <c r="D25" s="591"/>
      <c r="E25" s="591"/>
      <c r="F25" s="591"/>
      <c r="G25" s="591"/>
      <c r="H25" s="591"/>
      <c r="I25" s="591"/>
      <c r="J25" s="591"/>
      <c r="K25" s="591"/>
      <c r="L25" s="592"/>
      <c r="V25" s="338">
        <v>45047</v>
      </c>
      <c r="W25" s="235">
        <v>775.44845454545452</v>
      </c>
      <c r="AA25" s="329"/>
      <c r="AC25" s="332"/>
      <c r="AE25" s="233"/>
      <c r="AL25" s="233"/>
    </row>
    <row r="26" spans="2:39" ht="15.75" customHeight="1" thickBot="1" x14ac:dyDescent="0.4">
      <c r="B26" s="689" t="s">
        <v>44</v>
      </c>
      <c r="C26" s="596" t="s">
        <v>52</v>
      </c>
      <c r="D26" s="598" t="s">
        <v>51</v>
      </c>
      <c r="E26" s="600" t="s">
        <v>8</v>
      </c>
      <c r="F26" s="601"/>
      <c r="G26" s="601"/>
      <c r="H26" s="601"/>
      <c r="I26" s="602"/>
      <c r="J26" s="603" t="s">
        <v>0</v>
      </c>
      <c r="K26" s="604"/>
      <c r="L26" s="605"/>
      <c r="V26" s="338">
        <v>45078</v>
      </c>
      <c r="W26" s="235">
        <v>762.88100000000009</v>
      </c>
      <c r="AA26" s="329"/>
      <c r="AC26" s="332"/>
      <c r="AE26" s="233"/>
      <c r="AL26" s="330"/>
      <c r="AM26" s="235"/>
    </row>
    <row r="27" spans="2:39" ht="29.5" thickBot="1" x14ac:dyDescent="0.4">
      <c r="B27" s="690"/>
      <c r="C27" s="597"/>
      <c r="D27" s="599"/>
      <c r="E27" s="128" t="s">
        <v>50</v>
      </c>
      <c r="F27" s="130" t="s">
        <v>49</v>
      </c>
      <c r="G27" s="129" t="s">
        <v>48</v>
      </c>
      <c r="H27" s="129" t="s">
        <v>60</v>
      </c>
      <c r="I27" s="128" t="s">
        <v>61</v>
      </c>
      <c r="J27" s="129" t="s">
        <v>47</v>
      </c>
      <c r="K27" s="129" t="s">
        <v>46</v>
      </c>
      <c r="L27" s="128" t="s">
        <v>45</v>
      </c>
      <c r="V27" s="338">
        <v>45108</v>
      </c>
      <c r="W27" s="235">
        <v>735.43899999999996</v>
      </c>
      <c r="AA27" s="329"/>
      <c r="AE27" s="233"/>
      <c r="AL27" s="330"/>
      <c r="AM27" s="235"/>
    </row>
    <row r="28" spans="2:39" ht="15" customHeight="1" x14ac:dyDescent="0.35">
      <c r="B28" s="690"/>
      <c r="C28" s="606">
        <v>12</v>
      </c>
      <c r="D28" s="127" t="s">
        <v>44</v>
      </c>
      <c r="E28" s="125">
        <v>100</v>
      </c>
      <c r="F28" s="126">
        <f>E28/E32</f>
        <v>0.66666666666666663</v>
      </c>
      <c r="G28" s="125">
        <f>(E32*F28)/D32</f>
        <v>16.666666666666668</v>
      </c>
      <c r="H28" s="143">
        <f>I28/25</f>
        <v>8</v>
      </c>
      <c r="I28" s="124">
        <f>C28*G28</f>
        <v>200</v>
      </c>
      <c r="J28" s="123">
        <f>G28*$E$5</f>
        <v>0</v>
      </c>
      <c r="K28" s="609">
        <f>(J28+J29+J30+J31)/25</f>
        <v>2.76</v>
      </c>
      <c r="L28" s="122">
        <f>$E$5*I28</f>
        <v>0</v>
      </c>
      <c r="V28" s="338">
        <v>45139</v>
      </c>
      <c r="W28" s="235">
        <v>713.49772727272727</v>
      </c>
      <c r="AE28" s="233"/>
      <c r="AL28" s="330"/>
      <c r="AM28" s="235"/>
    </row>
    <row r="29" spans="2:39" ht="15" customHeight="1" x14ac:dyDescent="0.35">
      <c r="B29" s="690"/>
      <c r="C29" s="607"/>
      <c r="D29" s="121" t="s">
        <v>43</v>
      </c>
      <c r="E29" s="119">
        <v>50</v>
      </c>
      <c r="F29" s="120">
        <f>E29/E32</f>
        <v>0.33333333333333331</v>
      </c>
      <c r="G29" s="119">
        <f>(E32*F29)/D32</f>
        <v>8.3333333333333339</v>
      </c>
      <c r="H29" s="144">
        <f>I29/25</f>
        <v>4</v>
      </c>
      <c r="I29" s="118">
        <f>C28*G29</f>
        <v>100</v>
      </c>
      <c r="J29" s="117">
        <f>G29*$E$6</f>
        <v>67.5</v>
      </c>
      <c r="K29" s="610"/>
      <c r="L29" s="116">
        <f>$E$6*I29</f>
        <v>810</v>
      </c>
      <c r="V29" s="338">
        <v>45170</v>
      </c>
      <c r="W29" s="235">
        <v>717.3580833333333</v>
      </c>
      <c r="AL29" s="330"/>
      <c r="AM29" s="235"/>
    </row>
    <row r="30" spans="2:39" ht="15" customHeight="1" x14ac:dyDescent="0.35">
      <c r="B30" s="690"/>
      <c r="C30" s="607"/>
      <c r="D30" s="121" t="s">
        <v>42</v>
      </c>
      <c r="E30" s="355">
        <v>1</v>
      </c>
      <c r="F30" s="356"/>
      <c r="G30" s="355">
        <v>1</v>
      </c>
      <c r="H30" s="144">
        <f>I30/1</f>
        <v>12</v>
      </c>
      <c r="I30" s="355">
        <f>G30*C28</f>
        <v>12</v>
      </c>
      <c r="J30" s="117">
        <f>G30*$E$7</f>
        <v>1.5</v>
      </c>
      <c r="K30" s="610"/>
      <c r="L30" s="116">
        <f>I30*$E$7</f>
        <v>18</v>
      </c>
      <c r="V30" s="338">
        <v>45200</v>
      </c>
      <c r="W30" s="235">
        <v>677.40666666666664</v>
      </c>
      <c r="AL30" s="330"/>
      <c r="AM30" s="235"/>
    </row>
    <row r="31" spans="2:39" ht="15" customHeight="1" thickBot="1" x14ac:dyDescent="0.4">
      <c r="B31" s="690"/>
      <c r="C31" s="608"/>
      <c r="D31" s="357" t="s">
        <v>263</v>
      </c>
      <c r="E31" s="351">
        <v>1</v>
      </c>
      <c r="F31" s="352"/>
      <c r="G31" s="351">
        <v>1</v>
      </c>
      <c r="H31" s="353">
        <f>I31/1</f>
        <v>12</v>
      </c>
      <c r="I31" s="351">
        <f>G31*C28</f>
        <v>12</v>
      </c>
      <c r="J31" s="354">
        <f>G31*$E$8</f>
        <v>0</v>
      </c>
      <c r="K31" s="611"/>
      <c r="L31" s="116">
        <f>I31*$E$7</f>
        <v>18</v>
      </c>
      <c r="V31" s="338">
        <v>45231</v>
      </c>
      <c r="W31" s="235">
        <v>699.65366666666671</v>
      </c>
      <c r="AL31" s="330"/>
      <c r="AM31" s="235"/>
    </row>
    <row r="32" spans="2:39" ht="15.75" customHeight="1" thickBot="1" x14ac:dyDescent="0.4">
      <c r="B32" s="691"/>
      <c r="C32" s="115" t="s">
        <v>4</v>
      </c>
      <c r="D32" s="114">
        <f>E32/25</f>
        <v>6</v>
      </c>
      <c r="E32" s="113">
        <f>SUM(E28:E29)</f>
        <v>150</v>
      </c>
      <c r="F32" s="112">
        <f>SUM(F28:F29)</f>
        <v>1</v>
      </c>
      <c r="G32" s="111">
        <f>SUM(G28:G29)</f>
        <v>25</v>
      </c>
      <c r="H32" s="145"/>
      <c r="I32" s="110">
        <f>SUM(I28:I29)</f>
        <v>300</v>
      </c>
      <c r="J32" s="146">
        <f>SUM(J28:J30)</f>
        <v>69</v>
      </c>
      <c r="K32" s="109"/>
      <c r="L32" s="108">
        <f>SUM(L28:L30)</f>
        <v>828</v>
      </c>
      <c r="V32" s="338">
        <v>45261</v>
      </c>
      <c r="W32" s="235">
        <v>657.24975000000006</v>
      </c>
      <c r="AL32" s="330"/>
      <c r="AM32" s="235"/>
    </row>
    <row r="33" spans="5:39" x14ac:dyDescent="0.35">
      <c r="I33" s="107"/>
      <c r="L33" s="106"/>
      <c r="V33" s="338">
        <v>45292</v>
      </c>
      <c r="W33" s="235">
        <v>627.99483333333342</v>
      </c>
      <c r="AL33" s="330"/>
      <c r="AM33" s="235"/>
    </row>
    <row r="34" spans="5:39" x14ac:dyDescent="0.35">
      <c r="I34" s="107"/>
      <c r="L34" s="106"/>
      <c r="V34" s="233" t="s">
        <v>172</v>
      </c>
      <c r="W34" s="235">
        <v>758.49271579313552</v>
      </c>
      <c r="AL34" s="330"/>
      <c r="AM34" s="235"/>
    </row>
    <row r="35" spans="5:39" x14ac:dyDescent="0.35">
      <c r="AL35" s="330"/>
      <c r="AM35" s="235"/>
    </row>
    <row r="36" spans="5:39" x14ac:dyDescent="0.35">
      <c r="E36" s="233" t="s">
        <v>266</v>
      </c>
      <c r="F36" s="233" t="s">
        <v>269</v>
      </c>
      <c r="G36" s="233" t="s">
        <v>267</v>
      </c>
      <c r="H36" s="233" t="s">
        <v>268</v>
      </c>
    </row>
    <row r="37" spans="5:39" x14ac:dyDescent="0.35">
      <c r="E37" s="105">
        <v>770</v>
      </c>
      <c r="F37" s="105">
        <v>545</v>
      </c>
      <c r="G37" s="105">
        <f t="shared" ref="G37:G45" si="12">F37+200</f>
        <v>745</v>
      </c>
      <c r="H37" s="105">
        <f>800-G37</f>
        <v>55</v>
      </c>
      <c r="J37" s="105">
        <f>(810-E37)/2</f>
        <v>20</v>
      </c>
    </row>
    <row r="38" spans="5:39" x14ac:dyDescent="0.35">
      <c r="E38" s="105">
        <v>780</v>
      </c>
      <c r="F38" s="105">
        <v>550</v>
      </c>
      <c r="G38" s="105">
        <f t="shared" si="12"/>
        <v>750</v>
      </c>
      <c r="H38" s="105">
        <f t="shared" ref="H38:H45" si="13">800-G38</f>
        <v>50</v>
      </c>
      <c r="J38" s="105">
        <f t="shared" ref="J38:J45" si="14">(810-E38)/2</f>
        <v>15</v>
      </c>
    </row>
    <row r="39" spans="5:39" x14ac:dyDescent="0.35">
      <c r="E39" s="105">
        <v>790</v>
      </c>
      <c r="F39" s="105">
        <v>555</v>
      </c>
      <c r="G39" s="105">
        <f t="shared" si="12"/>
        <v>755</v>
      </c>
      <c r="H39" s="105">
        <f t="shared" si="13"/>
        <v>45</v>
      </c>
      <c r="J39" s="105">
        <f t="shared" si="14"/>
        <v>10</v>
      </c>
    </row>
    <row r="40" spans="5:39" x14ac:dyDescent="0.35">
      <c r="E40" s="105">
        <v>800</v>
      </c>
      <c r="F40" s="105">
        <v>560</v>
      </c>
      <c r="G40" s="105">
        <f t="shared" si="12"/>
        <v>760</v>
      </c>
      <c r="H40" s="105">
        <f t="shared" si="13"/>
        <v>40</v>
      </c>
      <c r="J40" s="105">
        <f t="shared" si="14"/>
        <v>5</v>
      </c>
    </row>
    <row r="41" spans="5:39" x14ac:dyDescent="0.35">
      <c r="E41" s="105">
        <v>810</v>
      </c>
      <c r="F41" s="105">
        <v>565</v>
      </c>
      <c r="G41" s="105">
        <f t="shared" si="12"/>
        <v>765</v>
      </c>
      <c r="H41" s="105">
        <f t="shared" si="13"/>
        <v>35</v>
      </c>
      <c r="J41" s="105">
        <f t="shared" si="14"/>
        <v>0</v>
      </c>
    </row>
    <row r="42" spans="5:39" x14ac:dyDescent="0.35">
      <c r="E42" s="105">
        <v>820</v>
      </c>
      <c r="F42" s="105">
        <v>570</v>
      </c>
      <c r="G42" s="105">
        <f t="shared" si="12"/>
        <v>770</v>
      </c>
      <c r="H42" s="105">
        <f t="shared" si="13"/>
        <v>30</v>
      </c>
      <c r="J42" s="105">
        <f t="shared" si="14"/>
        <v>-5</v>
      </c>
    </row>
    <row r="43" spans="5:39" x14ac:dyDescent="0.35">
      <c r="E43" s="105">
        <v>830</v>
      </c>
      <c r="F43" s="105">
        <v>575</v>
      </c>
      <c r="G43" s="105">
        <f t="shared" si="12"/>
        <v>775</v>
      </c>
      <c r="H43" s="105">
        <f t="shared" si="13"/>
        <v>25</v>
      </c>
      <c r="J43" s="105">
        <f t="shared" si="14"/>
        <v>-10</v>
      </c>
    </row>
    <row r="44" spans="5:39" x14ac:dyDescent="0.35">
      <c r="E44" s="105">
        <v>840</v>
      </c>
      <c r="F44" s="105">
        <v>580</v>
      </c>
      <c r="G44" s="105">
        <f t="shared" si="12"/>
        <v>780</v>
      </c>
      <c r="H44" s="105">
        <f t="shared" si="13"/>
        <v>20</v>
      </c>
      <c r="J44" s="105">
        <f t="shared" si="14"/>
        <v>-15</v>
      </c>
    </row>
    <row r="45" spans="5:39" x14ac:dyDescent="0.35">
      <c r="E45" s="105">
        <v>850</v>
      </c>
      <c r="F45" s="105">
        <v>585</v>
      </c>
      <c r="G45" s="105">
        <f t="shared" si="12"/>
        <v>785</v>
      </c>
      <c r="H45" s="105">
        <f t="shared" si="13"/>
        <v>15</v>
      </c>
      <c r="J45" s="105">
        <f t="shared" si="14"/>
        <v>-20</v>
      </c>
    </row>
    <row r="57" spans="4:27" x14ac:dyDescent="0.35">
      <c r="D57" s="332"/>
      <c r="E57" s="332"/>
      <c r="F57" s="332"/>
    </row>
    <row r="58" spans="4:27" ht="15" thickBot="1" x14ac:dyDescent="0.4">
      <c r="D58" s="332"/>
      <c r="E58" s="332"/>
      <c r="F58" s="332"/>
    </row>
    <row r="59" spans="4:27" ht="15" thickBot="1" x14ac:dyDescent="0.4">
      <c r="D59" s="370" t="s">
        <v>275</v>
      </c>
      <c r="E59" s="370" t="s">
        <v>276</v>
      </c>
      <c r="F59" s="370" t="s">
        <v>277</v>
      </c>
    </row>
    <row r="60" spans="4:27" x14ac:dyDescent="0.35">
      <c r="D60" s="371">
        <v>43831</v>
      </c>
      <c r="E60" s="372">
        <v>0</v>
      </c>
      <c r="F60" s="395">
        <v>51</v>
      </c>
      <c r="H60" s="377" t="s">
        <v>133</v>
      </c>
      <c r="I60" s="377" t="s">
        <v>172</v>
      </c>
      <c r="J60" s="378" t="s">
        <v>270</v>
      </c>
      <c r="K60" s="378" t="s">
        <v>274</v>
      </c>
      <c r="L60" s="399" t="s">
        <v>278</v>
      </c>
      <c r="Z60" s="319"/>
      <c r="AA60" s="105"/>
    </row>
    <row r="61" spans="4:27" ht="15" thickBot="1" x14ac:dyDescent="0.4">
      <c r="D61" s="373">
        <v>43862</v>
      </c>
      <c r="E61" s="374">
        <v>0</v>
      </c>
      <c r="F61" s="396">
        <v>43</v>
      </c>
      <c r="H61" s="380"/>
      <c r="I61" s="379"/>
      <c r="J61" s="381">
        <v>810</v>
      </c>
      <c r="K61" s="381">
        <v>800</v>
      </c>
      <c r="Z61" s="319"/>
      <c r="AA61" s="105"/>
    </row>
    <row r="62" spans="4:27" ht="15" thickBot="1" x14ac:dyDescent="0.4">
      <c r="D62" s="373">
        <v>43891</v>
      </c>
      <c r="E62" s="374">
        <v>0</v>
      </c>
      <c r="F62" s="396">
        <v>42</v>
      </c>
      <c r="H62" s="385">
        <v>44044</v>
      </c>
      <c r="I62" s="384">
        <v>815.98011363636363</v>
      </c>
      <c r="J62" s="382">
        <v>7.3287492384019881E-3</v>
      </c>
      <c r="K62" s="383">
        <v>805.8629993907216</v>
      </c>
      <c r="Z62" s="319"/>
      <c r="AA62" s="105"/>
    </row>
    <row r="63" spans="4:27" ht="15" thickBot="1" x14ac:dyDescent="0.4">
      <c r="D63" s="373">
        <v>43922</v>
      </c>
      <c r="E63" s="374">
        <v>0</v>
      </c>
      <c r="F63" s="396">
        <v>65</v>
      </c>
      <c r="H63" s="386">
        <v>44075</v>
      </c>
      <c r="I63" s="384">
        <v>831.98662499999989</v>
      </c>
      <c r="J63" s="382">
        <v>2.6426656798719472E-2</v>
      </c>
      <c r="K63" s="383">
        <v>821.14132543897563</v>
      </c>
      <c r="Z63" s="319"/>
      <c r="AA63" s="105"/>
    </row>
    <row r="64" spans="4:27" ht="15" thickBot="1" x14ac:dyDescent="0.4">
      <c r="D64" s="373">
        <v>43952</v>
      </c>
      <c r="E64" s="374">
        <v>2300</v>
      </c>
      <c r="F64" s="396">
        <v>80</v>
      </c>
      <c r="H64" s="386">
        <v>44105</v>
      </c>
      <c r="I64" s="384">
        <v>838.2856250000001</v>
      </c>
      <c r="J64" s="382">
        <v>3.3742228372340421E-2</v>
      </c>
      <c r="K64" s="383">
        <v>826.99378269787235</v>
      </c>
      <c r="Z64" s="319"/>
      <c r="AA64" s="105"/>
    </row>
    <row r="65" spans="4:27" ht="15" thickBot="1" x14ac:dyDescent="0.4">
      <c r="D65" s="373">
        <v>43983</v>
      </c>
      <c r="E65" s="374">
        <v>7100</v>
      </c>
      <c r="F65" s="396">
        <v>148</v>
      </c>
      <c r="H65" s="386">
        <v>44136</v>
      </c>
      <c r="I65" s="384">
        <v>843.33583333333331</v>
      </c>
      <c r="J65" s="382">
        <v>3.952853894701891E-2</v>
      </c>
      <c r="K65" s="383">
        <v>831.62283115761511</v>
      </c>
      <c r="Z65" s="319"/>
      <c r="AA65" s="105"/>
    </row>
    <row r="66" spans="4:27" ht="15" thickBot="1" x14ac:dyDescent="0.4">
      <c r="D66" s="373">
        <v>44013</v>
      </c>
      <c r="E66" s="374">
        <v>8500</v>
      </c>
      <c r="F66" s="396">
        <v>164</v>
      </c>
      <c r="H66" s="386">
        <v>44166</v>
      </c>
      <c r="I66" s="384">
        <v>809.74113207547168</v>
      </c>
      <c r="J66" s="382">
        <v>-3.1969220072203264E-4</v>
      </c>
      <c r="K66" s="383">
        <v>799.74424623942241</v>
      </c>
      <c r="Z66" s="319"/>
      <c r="AA66" s="105"/>
    </row>
    <row r="67" spans="4:27" ht="15" thickBot="1" x14ac:dyDescent="0.4">
      <c r="D67" s="373">
        <v>44044</v>
      </c>
      <c r="E67" s="374">
        <v>5300</v>
      </c>
      <c r="F67" s="396">
        <v>155</v>
      </c>
      <c r="H67" s="386">
        <v>44197</v>
      </c>
      <c r="I67" s="384">
        <v>778.37313432835822</v>
      </c>
      <c r="J67" s="382">
        <v>-4.0632010891449744E-2</v>
      </c>
      <c r="K67" s="383">
        <v>767.49439128684025</v>
      </c>
      <c r="L67" s="235">
        <v>537</v>
      </c>
      <c r="Z67" s="319"/>
      <c r="AA67" s="105"/>
    </row>
    <row r="68" spans="4:27" ht="15" thickBot="1" x14ac:dyDescent="0.4">
      <c r="D68" s="373">
        <v>44075</v>
      </c>
      <c r="E68" s="374">
        <v>3100</v>
      </c>
      <c r="F68" s="396">
        <v>144</v>
      </c>
      <c r="H68" s="386">
        <v>44228</v>
      </c>
      <c r="I68" s="384">
        <v>809.04000000000008</v>
      </c>
      <c r="J68" s="382">
        <v>-1.1865915158706386E-3</v>
      </c>
      <c r="K68" s="383">
        <v>799.05072678730346</v>
      </c>
      <c r="L68" s="235">
        <v>553</v>
      </c>
      <c r="Z68" s="319"/>
      <c r="AA68" s="105"/>
    </row>
    <row r="69" spans="4:27" ht="15" thickBot="1" x14ac:dyDescent="0.4">
      <c r="D69" s="373">
        <v>44105</v>
      </c>
      <c r="E69" s="374">
        <v>3900</v>
      </c>
      <c r="F69" s="396">
        <v>149</v>
      </c>
      <c r="H69" s="386">
        <v>44256</v>
      </c>
      <c r="I69" s="384">
        <v>815.24624999999992</v>
      </c>
      <c r="J69" s="382">
        <v>6.4351721949041929E-3</v>
      </c>
      <c r="K69" s="383">
        <v>805.14813775592336</v>
      </c>
      <c r="L69" s="235">
        <v>555</v>
      </c>
      <c r="Z69" s="319"/>
      <c r="AA69" s="105"/>
    </row>
    <row r="70" spans="4:27" ht="15" thickBot="1" x14ac:dyDescent="0.4">
      <c r="D70" s="373">
        <v>44136</v>
      </c>
      <c r="E70" s="374">
        <v>2400</v>
      </c>
      <c r="F70" s="396">
        <v>120</v>
      </c>
      <c r="H70" s="386">
        <v>44287</v>
      </c>
      <c r="I70" s="384">
        <v>827.20875000000001</v>
      </c>
      <c r="J70" s="382">
        <v>2.0803394548232212E-2</v>
      </c>
      <c r="K70" s="383">
        <v>816.64271563858574</v>
      </c>
      <c r="L70" s="235">
        <v>561</v>
      </c>
      <c r="Z70" s="319"/>
      <c r="AA70" s="105"/>
    </row>
    <row r="71" spans="4:27" ht="15" thickBot="1" x14ac:dyDescent="0.4">
      <c r="D71" s="375">
        <v>44166</v>
      </c>
      <c r="E71" s="376">
        <v>3500</v>
      </c>
      <c r="F71" s="397">
        <v>120</v>
      </c>
      <c r="H71" s="386">
        <v>44317</v>
      </c>
      <c r="I71" s="384">
        <v>849.53375000000017</v>
      </c>
      <c r="J71" s="382">
        <v>4.6535820383828419E-2</v>
      </c>
      <c r="K71" s="383">
        <v>837.22865630706269</v>
      </c>
      <c r="L71" s="235">
        <v>573</v>
      </c>
      <c r="Z71" s="319"/>
      <c r="AA71" s="105"/>
    </row>
    <row r="72" spans="4:27" ht="15" thickBot="1" x14ac:dyDescent="0.4">
      <c r="D72" s="370" t="s">
        <v>4</v>
      </c>
      <c r="E72" s="369">
        <f>SUM(E60:E71)</f>
        <v>36100</v>
      </c>
      <c r="F72" s="394">
        <v>107</v>
      </c>
      <c r="H72" s="386">
        <v>44348</v>
      </c>
      <c r="I72" s="384">
        <v>785.91083333333336</v>
      </c>
      <c r="J72" s="382">
        <v>-3.0651271931824375E-2</v>
      </c>
      <c r="K72" s="383">
        <v>775.47898245454053</v>
      </c>
      <c r="L72" s="235">
        <v>540</v>
      </c>
      <c r="Z72" s="319"/>
      <c r="AA72" s="105"/>
    </row>
    <row r="73" spans="4:27" ht="15" thickBot="1" x14ac:dyDescent="0.4">
      <c r="D73" s="332"/>
      <c r="E73" s="332"/>
      <c r="F73" s="332"/>
      <c r="H73" s="386">
        <v>44378</v>
      </c>
      <c r="I73" s="384">
        <v>757.37916666666672</v>
      </c>
      <c r="J73" s="382">
        <v>-6.9477529418884076E-2</v>
      </c>
      <c r="K73" s="383">
        <v>744.41797646489272</v>
      </c>
      <c r="L73" s="235">
        <v>526</v>
      </c>
      <c r="Z73" s="319"/>
      <c r="AA73" s="105"/>
    </row>
    <row r="74" spans="4:27" ht="15" thickBot="1" x14ac:dyDescent="0.4">
      <c r="D74" s="332"/>
      <c r="E74" s="332"/>
      <c r="F74" s="332"/>
      <c r="H74" s="386">
        <v>44409</v>
      </c>
      <c r="I74" s="384">
        <v>769.02800000000002</v>
      </c>
      <c r="J74" s="382">
        <v>-5.3277643986954892E-2</v>
      </c>
      <c r="K74" s="383">
        <v>757.37788481043606</v>
      </c>
      <c r="L74" s="235">
        <v>545</v>
      </c>
      <c r="Z74" s="319"/>
      <c r="AA74" s="105"/>
    </row>
    <row r="75" spans="4:27" ht="15" thickBot="1" x14ac:dyDescent="0.4">
      <c r="D75" s="370" t="s">
        <v>275</v>
      </c>
      <c r="E75" s="370" t="s">
        <v>276</v>
      </c>
      <c r="F75" s="370" t="s">
        <v>277</v>
      </c>
      <c r="H75" s="393">
        <v>44440</v>
      </c>
      <c r="I75" s="392">
        <v>798.13</v>
      </c>
      <c r="J75" s="382">
        <v>-1.4872263916905881E-2</v>
      </c>
      <c r="K75" s="383">
        <v>788.10218886647533</v>
      </c>
      <c r="L75" s="235">
        <v>560</v>
      </c>
      <c r="Z75" s="319"/>
      <c r="AA75" s="105"/>
    </row>
    <row r="76" spans="4:27" ht="15" thickBot="1" x14ac:dyDescent="0.4">
      <c r="D76" s="371">
        <v>44197</v>
      </c>
      <c r="E76" s="372">
        <v>3000</v>
      </c>
      <c r="F76" s="395">
        <v>100</v>
      </c>
      <c r="H76" s="393">
        <v>44470</v>
      </c>
      <c r="I76" s="392">
        <v>811.00900000000001</v>
      </c>
      <c r="J76" s="382">
        <v>1.2441292266793802E-3</v>
      </c>
      <c r="K76" s="383">
        <v>800.99530338134355</v>
      </c>
      <c r="L76" s="235">
        <v>567</v>
      </c>
      <c r="Z76" s="319"/>
      <c r="AA76" s="105"/>
    </row>
    <row r="77" spans="4:27" ht="15" thickBot="1" x14ac:dyDescent="0.4">
      <c r="D77" s="373">
        <v>44228</v>
      </c>
      <c r="E77" s="374">
        <v>600</v>
      </c>
      <c r="F77" s="396">
        <v>75</v>
      </c>
      <c r="H77" s="393">
        <v>44501</v>
      </c>
      <c r="I77" s="392">
        <v>838.50166666666667</v>
      </c>
      <c r="J77" s="382">
        <v>3.3991186660332628E-2</v>
      </c>
      <c r="K77" s="383">
        <v>827.19294932826608</v>
      </c>
      <c r="L77" s="235">
        <v>580</v>
      </c>
      <c r="Z77" s="319"/>
      <c r="AA77" s="105"/>
    </row>
    <row r="78" spans="4:27" ht="15" thickBot="1" x14ac:dyDescent="0.4">
      <c r="D78" s="373">
        <v>44256</v>
      </c>
      <c r="E78" s="374">
        <v>800</v>
      </c>
      <c r="F78" s="396">
        <v>80</v>
      </c>
      <c r="H78" s="391">
        <v>44531</v>
      </c>
      <c r="I78" s="392">
        <v>861.94111111111113</v>
      </c>
      <c r="J78" s="382">
        <v>6.0260626209318269E-2</v>
      </c>
      <c r="K78" s="383">
        <v>848.2085009674546</v>
      </c>
      <c r="L78" s="235">
        <v>593</v>
      </c>
      <c r="Z78" s="319"/>
      <c r="AA78" s="105"/>
    </row>
    <row r="79" spans="4:27" ht="15" thickBot="1" x14ac:dyDescent="0.4">
      <c r="D79" s="373">
        <v>44287</v>
      </c>
      <c r="E79" s="374">
        <v>0</v>
      </c>
      <c r="F79" s="396">
        <v>75</v>
      </c>
      <c r="H79" s="389" t="s">
        <v>172</v>
      </c>
      <c r="I79" s="390">
        <f>AVERAGE(I62:I78)</f>
        <v>814.15476418537094</v>
      </c>
    </row>
    <row r="80" spans="4:27" ht="15" thickBot="1" x14ac:dyDescent="0.4">
      <c r="D80" s="373">
        <v>44317</v>
      </c>
      <c r="E80" s="374">
        <v>0</v>
      </c>
      <c r="F80" s="396">
        <v>90</v>
      </c>
    </row>
    <row r="81" spans="4:12" ht="15" thickBot="1" x14ac:dyDescent="0.4">
      <c r="D81" s="373">
        <v>44348</v>
      </c>
      <c r="E81" s="374">
        <v>0</v>
      </c>
      <c r="F81" s="396">
        <v>105</v>
      </c>
      <c r="H81" s="387">
        <v>44562</v>
      </c>
      <c r="I81" s="388">
        <v>960</v>
      </c>
      <c r="J81" s="398">
        <v>0.156</v>
      </c>
      <c r="K81" s="235">
        <v>925</v>
      </c>
      <c r="L81" s="235">
        <v>625</v>
      </c>
    </row>
    <row r="82" spans="4:12" x14ac:dyDescent="0.35">
      <c r="D82" s="373">
        <v>44378</v>
      </c>
      <c r="E82" s="374">
        <v>0</v>
      </c>
      <c r="F82" s="396">
        <v>120</v>
      </c>
    </row>
    <row r="83" spans="4:12" x14ac:dyDescent="0.35">
      <c r="D83" s="373">
        <v>44409</v>
      </c>
      <c r="E83" s="374">
        <v>500</v>
      </c>
      <c r="F83" s="396">
        <v>120</v>
      </c>
    </row>
    <row r="84" spans="4:12" x14ac:dyDescent="0.35">
      <c r="D84" s="373">
        <v>44440</v>
      </c>
      <c r="E84" s="374">
        <v>500</v>
      </c>
      <c r="F84" s="396">
        <v>120</v>
      </c>
    </row>
    <row r="85" spans="4:12" x14ac:dyDescent="0.35">
      <c r="D85" s="373">
        <v>44470</v>
      </c>
      <c r="E85" s="374">
        <v>0</v>
      </c>
      <c r="F85" s="396">
        <v>125</v>
      </c>
    </row>
    <row r="86" spans="4:12" x14ac:dyDescent="0.35">
      <c r="D86" s="373">
        <v>44501</v>
      </c>
      <c r="E86" s="374">
        <v>0</v>
      </c>
      <c r="F86" s="396">
        <v>120</v>
      </c>
    </row>
    <row r="87" spans="4:12" ht="15" thickBot="1" x14ac:dyDescent="0.4">
      <c r="D87" s="375">
        <v>44531</v>
      </c>
      <c r="E87" s="376">
        <v>0</v>
      </c>
      <c r="F87" s="397">
        <v>140</v>
      </c>
    </row>
    <row r="88" spans="4:12" ht="15" thickBot="1" x14ac:dyDescent="0.4">
      <c r="D88" s="370" t="s">
        <v>4</v>
      </c>
      <c r="E88" s="369">
        <f>SUM(E76:E87)</f>
        <v>5400</v>
      </c>
      <c r="F88" s="394">
        <v>106</v>
      </c>
    </row>
    <row r="89" spans="4:12" x14ac:dyDescent="0.35">
      <c r="D89" s="332"/>
      <c r="E89" s="332"/>
      <c r="F89" s="343"/>
    </row>
    <row r="90" spans="4:12" x14ac:dyDescent="0.35">
      <c r="D90" s="332"/>
      <c r="E90" s="332"/>
      <c r="F90" s="332"/>
    </row>
    <row r="91" spans="4:12" x14ac:dyDescent="0.35">
      <c r="D91" s="332"/>
      <c r="E91" s="332"/>
      <c r="F91" s="332"/>
    </row>
    <row r="92" spans="4:12" x14ac:dyDescent="0.35">
      <c r="D92" s="332"/>
      <c r="E92" s="332"/>
      <c r="F92" s="332"/>
    </row>
    <row r="93" spans="4:12" x14ac:dyDescent="0.35">
      <c r="D93" s="332"/>
      <c r="E93" s="332"/>
      <c r="F93" s="332"/>
    </row>
  </sheetData>
  <mergeCells count="30">
    <mergeCell ref="AN1:AN2"/>
    <mergeCell ref="C28:C31"/>
    <mergeCell ref="K28:K31"/>
    <mergeCell ref="B11:L11"/>
    <mergeCell ref="J12:L12"/>
    <mergeCell ref="E26:I26"/>
    <mergeCell ref="D12:D13"/>
    <mergeCell ref="C26:C27"/>
    <mergeCell ref="D26:D27"/>
    <mergeCell ref="E12:I12"/>
    <mergeCell ref="B25:L25"/>
    <mergeCell ref="B26:B32"/>
    <mergeCell ref="J26:L26"/>
    <mergeCell ref="B12:B20"/>
    <mergeCell ref="C12:C13"/>
    <mergeCell ref="B8:C8"/>
    <mergeCell ref="C14:C19"/>
    <mergeCell ref="K14:K19"/>
    <mergeCell ref="AA1:AD1"/>
    <mergeCell ref="AE1:AH1"/>
    <mergeCell ref="AI1:AL1"/>
    <mergeCell ref="AM1:AM2"/>
    <mergeCell ref="B7:C7"/>
    <mergeCell ref="W1:Z1"/>
    <mergeCell ref="B1:C1"/>
    <mergeCell ref="B2:C2"/>
    <mergeCell ref="B3:C3"/>
    <mergeCell ref="B6:C6"/>
    <mergeCell ref="B5:C5"/>
    <mergeCell ref="B4:C4"/>
  </mergeCells>
  <pageMargins left="0.511811024" right="0.511811024" top="0.78740157499999996" bottom="0.78740157499999996" header="0.31496062000000002" footer="0.31496062000000002"/>
  <pageSetup paperSize="9" scale="75" orientation="landscape" verticalDpi="300" r:id="rId1"/>
  <legacy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2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'Custo Prod.'!W20:W20</xm:f>
              <xm:sqref>V20</xm:sqref>
            </x14:sparkline>
            <x14:sparkline>
              <xm:f>'Custo Prod.'!W21:W21</xm:f>
              <xm:sqref>V21</xm:sqref>
            </x14:sparkline>
            <x14:sparkline>
              <xm:f>'Custo Prod.'!W22:W22</xm:f>
              <xm:sqref>V22</xm:sqref>
            </x14:sparkline>
            <x14:sparkline>
              <xm:f>'Custo Prod.'!W23:W23</xm:f>
              <xm:sqref>V23</xm:sqref>
            </x14:sparkline>
            <x14:sparkline>
              <xm:f>'Custo Prod.'!W24:W24</xm:f>
              <xm:sqref>V24</xm:sqref>
            </x14:sparkline>
            <x14:sparkline>
              <xm:f>'Custo Prod.'!W25:W25</xm:f>
              <xm:sqref>V25</xm:sqref>
            </x14:sparkline>
            <x14:sparkline>
              <xm:f>'Custo Prod.'!W26:W26</xm:f>
              <xm:sqref>V26</xm:sqref>
            </x14:sparkline>
            <x14:sparkline>
              <xm:f>'Custo Prod.'!W27:W27</xm:f>
              <xm:sqref>V27</xm:sqref>
            </x14:sparkline>
            <x14:sparkline>
              <xm:f>'Custo Prod.'!W28:W28</xm:f>
              <xm:sqref>V28</xm:sqref>
            </x14:sparkline>
            <x14:sparkline>
              <xm:f>'Custo Prod.'!W29:W29</xm:f>
              <xm:sqref>V29</xm:sqref>
            </x14:sparkline>
            <x14:sparkline>
              <xm:f>'Custo Prod.'!W30:W30</xm:f>
              <xm:sqref>V30</xm:sqref>
            </x14:sparkline>
            <x14:sparkline>
              <xm:f>'Custo Prod.'!W31:W31</xm:f>
              <xm:sqref>V31</xm:sqref>
            </x14:sparkline>
            <x14:sparkline>
              <xm:f>'Custo Prod.'!W32:W32</xm:f>
              <xm:sqref>V32</xm:sqref>
            </x14:sparkline>
            <x14:sparkline>
              <xm:f>'Custo Prod.'!W33:W33</xm:f>
              <xm:sqref>V33</xm:sqref>
            </x14:sparkline>
            <x14:sparkline>
              <xm:f>'Custo Prod.'!W34:W34</xm:f>
              <xm:sqref>V34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C18"/>
  <sheetViews>
    <sheetView showGridLines="0" zoomScaleNormal="100" workbookViewId="0">
      <pane xSplit="2" ySplit="3" topLeftCell="C4" activePane="bottomRight" state="frozen"/>
      <selection activeCell="L13" sqref="L13:L16"/>
      <selection pane="topRight" activeCell="L13" sqref="L13:L16"/>
      <selection pane="bottomLeft" activeCell="L13" sqref="L13:L16"/>
      <selection pane="bottomRight" activeCell="L13" sqref="L13:L16"/>
    </sheetView>
  </sheetViews>
  <sheetFormatPr defaultColWidth="9.1796875" defaultRowHeight="12.5" x14ac:dyDescent="0.25"/>
  <cols>
    <col min="1" max="1" width="29" style="61" customWidth="1"/>
    <col min="2" max="2" width="7.1796875" style="61" customWidth="1"/>
    <col min="3" max="3" width="8.7265625" style="61" bestFit="1" customWidth="1"/>
    <col min="4" max="4" width="11.26953125" style="60" bestFit="1" customWidth="1"/>
    <col min="5" max="16384" width="9.1796875" style="60"/>
  </cols>
  <sheetData>
    <row r="1" spans="1:237" x14ac:dyDescent="0.25">
      <c r="A1" s="692" t="s">
        <v>40</v>
      </c>
    </row>
    <row r="2" spans="1:237" ht="13" thickBot="1" x14ac:dyDescent="0.3">
      <c r="A2" s="692"/>
    </row>
    <row r="3" spans="1:237" s="70" customFormat="1" ht="12" thickTop="1" x14ac:dyDescent="0.25">
      <c r="A3" s="74"/>
      <c r="B3" s="74"/>
      <c r="C3" s="73" t="s">
        <v>4</v>
      </c>
      <c r="D3" s="71" t="s">
        <v>38</v>
      </c>
      <c r="E3" s="71">
        <v>43831</v>
      </c>
      <c r="F3" s="71">
        <v>43862</v>
      </c>
      <c r="G3" s="71">
        <v>43891</v>
      </c>
      <c r="H3" s="71">
        <v>43922</v>
      </c>
      <c r="I3" s="71">
        <v>43952</v>
      </c>
      <c r="J3" s="71">
        <v>43983</v>
      </c>
      <c r="K3" s="71">
        <v>44013</v>
      </c>
      <c r="L3" s="71">
        <v>44044</v>
      </c>
      <c r="M3" s="71">
        <v>44075</v>
      </c>
      <c r="N3" s="71">
        <v>44105</v>
      </c>
      <c r="O3" s="71">
        <v>44136</v>
      </c>
      <c r="P3" s="71">
        <v>44166</v>
      </c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</row>
    <row r="4" spans="1:237" s="81" customFormat="1" ht="13" x14ac:dyDescent="0.3">
      <c r="A4" s="693" t="s">
        <v>39</v>
      </c>
      <c r="B4" s="693"/>
      <c r="C4" s="83"/>
      <c r="D4" s="82"/>
    </row>
    <row r="5" spans="1:237" s="64" customFormat="1" x14ac:dyDescent="0.25">
      <c r="A5" s="67" t="s">
        <v>34</v>
      </c>
      <c r="B5" s="66" t="s">
        <v>17</v>
      </c>
      <c r="C5" s="65">
        <f>SUM(E5:AF5)</f>
        <v>2180</v>
      </c>
      <c r="D5" s="65"/>
      <c r="E5" s="65">
        <v>140</v>
      </c>
      <c r="F5" s="65">
        <v>140</v>
      </c>
      <c r="G5" s="65">
        <v>160</v>
      </c>
      <c r="H5" s="65">
        <v>140</v>
      </c>
      <c r="I5" s="65">
        <v>160</v>
      </c>
      <c r="J5" s="65">
        <v>180</v>
      </c>
      <c r="K5" s="65">
        <v>200</v>
      </c>
      <c r="L5" s="80">
        <v>220</v>
      </c>
      <c r="M5" s="80">
        <v>240</v>
      </c>
      <c r="N5" s="78">
        <v>240</v>
      </c>
      <c r="O5" s="78">
        <v>120</v>
      </c>
      <c r="P5" s="78">
        <v>240</v>
      </c>
      <c r="Q5" s="78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</row>
    <row r="6" spans="1:237" s="64" customFormat="1" x14ac:dyDescent="0.25">
      <c r="A6" s="67" t="s">
        <v>33</v>
      </c>
      <c r="B6" s="66" t="s">
        <v>17</v>
      </c>
      <c r="C6" s="65">
        <f>SUM(E6:AF6)</f>
        <v>0</v>
      </c>
      <c r="D6" s="65"/>
      <c r="E6" s="65"/>
      <c r="F6" s="65"/>
      <c r="G6" s="65"/>
      <c r="H6" s="65"/>
      <c r="I6" s="65"/>
      <c r="J6" s="209"/>
      <c r="K6" s="65"/>
      <c r="L6" s="80"/>
      <c r="M6" s="80"/>
      <c r="N6" s="79"/>
      <c r="O6" s="78"/>
      <c r="P6" s="78"/>
      <c r="Q6" s="78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</row>
    <row r="7" spans="1:237" s="64" customFormat="1" x14ac:dyDescent="0.25">
      <c r="A7" s="67"/>
      <c r="B7" s="66"/>
      <c r="C7" s="65">
        <f>SUM(E7:AF7)</f>
        <v>0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</row>
    <row r="8" spans="1:237" s="75" customFormat="1" ht="13" thickBot="1" x14ac:dyDescent="0.3">
      <c r="A8" s="77"/>
      <c r="B8" s="47"/>
      <c r="C8" s="47"/>
      <c r="D8" s="76"/>
    </row>
    <row r="9" spans="1:237" s="70" customFormat="1" ht="13" thickTop="1" x14ac:dyDescent="0.25">
      <c r="A9" s="74"/>
      <c r="B9" s="74"/>
      <c r="C9" s="73" t="s">
        <v>4</v>
      </c>
      <c r="D9" s="72" t="s">
        <v>38</v>
      </c>
      <c r="E9" s="71">
        <v>43831</v>
      </c>
      <c r="F9" s="71">
        <v>43862</v>
      </c>
      <c r="G9" s="71">
        <v>43891</v>
      </c>
      <c r="H9" s="71">
        <v>43922</v>
      </c>
      <c r="I9" s="71">
        <v>43952</v>
      </c>
      <c r="J9" s="71">
        <v>43983</v>
      </c>
      <c r="K9" s="71">
        <v>44013</v>
      </c>
      <c r="L9" s="71">
        <v>44044</v>
      </c>
      <c r="M9" s="71">
        <v>44075</v>
      </c>
      <c r="N9" s="71">
        <v>44105</v>
      </c>
      <c r="O9" s="71">
        <v>44136</v>
      </c>
      <c r="P9" s="71">
        <v>44166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</row>
    <row r="10" spans="1:237" s="68" customFormat="1" ht="13" x14ac:dyDescent="0.3">
      <c r="A10" s="694" t="s">
        <v>32</v>
      </c>
      <c r="B10" s="695"/>
      <c r="C10" s="69"/>
      <c r="D10" s="69"/>
    </row>
    <row r="11" spans="1:237" s="64" customFormat="1" x14ac:dyDescent="0.25">
      <c r="A11" s="67" t="s">
        <v>24</v>
      </c>
      <c r="B11" s="66" t="s">
        <v>99</v>
      </c>
      <c r="C11" s="65">
        <f t="shared" ref="C11:C17" si="0">SUM(D11:AI11)</f>
        <v>27250</v>
      </c>
      <c r="D11" s="65"/>
      <c r="E11" s="65">
        <v>1750</v>
      </c>
      <c r="F11" s="65">
        <v>1750</v>
      </c>
      <c r="G11" s="65">
        <v>2000</v>
      </c>
      <c r="H11" s="65">
        <v>1750</v>
      </c>
      <c r="I11" s="65">
        <v>2000</v>
      </c>
      <c r="J11" s="65">
        <v>2250</v>
      </c>
      <c r="K11" s="65">
        <v>2500</v>
      </c>
      <c r="L11" s="65">
        <v>2750</v>
      </c>
      <c r="M11" s="65">
        <v>3000</v>
      </c>
      <c r="N11" s="65">
        <v>3000</v>
      </c>
      <c r="O11" s="65">
        <v>1500</v>
      </c>
      <c r="P11" s="65">
        <v>3000</v>
      </c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</row>
    <row r="12" spans="1:237" s="64" customFormat="1" x14ac:dyDescent="0.25">
      <c r="A12" s="67" t="s">
        <v>23</v>
      </c>
      <c r="B12" s="66" t="s">
        <v>99</v>
      </c>
      <c r="C12" s="65">
        <f t="shared" si="0"/>
        <v>18150</v>
      </c>
      <c r="D12" s="65">
        <v>3000</v>
      </c>
      <c r="E12" s="65"/>
      <c r="F12" s="65"/>
      <c r="G12" s="65">
        <v>2100</v>
      </c>
      <c r="H12" s="65"/>
      <c r="I12" s="65">
        <v>1950</v>
      </c>
      <c r="J12" s="295">
        <v>2250</v>
      </c>
      <c r="K12" s="65"/>
      <c r="L12" s="65">
        <v>2250</v>
      </c>
      <c r="M12" s="65">
        <v>1950</v>
      </c>
      <c r="N12" s="65">
        <v>1950</v>
      </c>
      <c r="O12" s="65"/>
      <c r="P12" s="65">
        <v>2700</v>
      </c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65"/>
      <c r="HO12" s="65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</row>
    <row r="13" spans="1:237" s="64" customFormat="1" x14ac:dyDescent="0.25">
      <c r="A13" s="67" t="s">
        <v>22</v>
      </c>
      <c r="B13" s="66" t="s">
        <v>99</v>
      </c>
      <c r="C13" s="65">
        <f t="shared" si="0"/>
        <v>12100</v>
      </c>
      <c r="D13" s="65">
        <v>2000</v>
      </c>
      <c r="E13" s="65"/>
      <c r="F13" s="65"/>
      <c r="G13" s="65">
        <v>1400</v>
      </c>
      <c r="H13" s="65"/>
      <c r="I13" s="65">
        <v>1300</v>
      </c>
      <c r="J13" s="65">
        <v>1500</v>
      </c>
      <c r="K13" s="65"/>
      <c r="L13" s="65">
        <v>1500</v>
      </c>
      <c r="M13" s="65">
        <v>1300</v>
      </c>
      <c r="N13" s="65">
        <v>1300</v>
      </c>
      <c r="O13" s="65"/>
      <c r="P13" s="65">
        <v>1800</v>
      </c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65"/>
      <c r="HO13" s="65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</row>
    <row r="14" spans="1:237" s="64" customFormat="1" x14ac:dyDescent="0.25">
      <c r="A14" s="67" t="s">
        <v>21</v>
      </c>
      <c r="B14" s="66" t="s">
        <v>99</v>
      </c>
      <c r="C14" s="65">
        <f t="shared" si="0"/>
        <v>0</v>
      </c>
      <c r="D14" s="65"/>
      <c r="E14" s="65"/>
      <c r="F14" s="65"/>
      <c r="G14" s="65"/>
      <c r="H14" s="65"/>
      <c r="I14" s="65"/>
      <c r="J14" s="209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65"/>
      <c r="HO14" s="65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</row>
    <row r="15" spans="1:237" s="64" customFormat="1" x14ac:dyDescent="0.25">
      <c r="A15" s="67" t="s">
        <v>20</v>
      </c>
      <c r="B15" s="66" t="s">
        <v>99</v>
      </c>
      <c r="C15" s="65">
        <f t="shared" si="0"/>
        <v>0</v>
      </c>
      <c r="D15" s="65"/>
      <c r="E15" s="65"/>
      <c r="F15" s="65"/>
      <c r="G15" s="65"/>
      <c r="H15" s="65"/>
      <c r="I15" s="65"/>
      <c r="J15" s="209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5"/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65"/>
      <c r="HO15" s="65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</row>
    <row r="16" spans="1:237" s="64" customFormat="1" x14ac:dyDescent="0.25">
      <c r="A16" s="67" t="s">
        <v>18</v>
      </c>
      <c r="B16" s="66" t="s">
        <v>99</v>
      </c>
      <c r="C16" s="65">
        <f t="shared" si="0"/>
        <v>2460</v>
      </c>
      <c r="D16" s="65">
        <v>410</v>
      </c>
      <c r="E16" s="65"/>
      <c r="F16" s="65"/>
      <c r="G16" s="65">
        <v>300</v>
      </c>
      <c r="H16" s="65"/>
      <c r="I16" s="65">
        <v>300</v>
      </c>
      <c r="J16" s="295">
        <v>300</v>
      </c>
      <c r="K16" s="65"/>
      <c r="L16" s="65">
        <v>300</v>
      </c>
      <c r="M16" s="65">
        <v>250</v>
      </c>
      <c r="N16" s="65">
        <v>250</v>
      </c>
      <c r="O16" s="65"/>
      <c r="P16" s="65">
        <v>350</v>
      </c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65"/>
      <c r="FM16" s="65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</row>
    <row r="17" spans="1:237" s="64" customFormat="1" x14ac:dyDescent="0.25">
      <c r="A17" s="67" t="s">
        <v>110</v>
      </c>
      <c r="B17" s="66"/>
      <c r="C17" s="65">
        <f t="shared" si="0"/>
        <v>2460</v>
      </c>
      <c r="D17" s="65">
        <v>420</v>
      </c>
      <c r="E17" s="65"/>
      <c r="F17" s="65"/>
      <c r="G17" s="65">
        <v>300</v>
      </c>
      <c r="H17" s="65"/>
      <c r="I17" s="65">
        <v>300</v>
      </c>
      <c r="J17" s="65">
        <v>300</v>
      </c>
      <c r="K17" s="65"/>
      <c r="L17" s="65">
        <v>300</v>
      </c>
      <c r="M17" s="65">
        <v>180</v>
      </c>
      <c r="N17" s="65">
        <v>310</v>
      </c>
      <c r="O17" s="65"/>
      <c r="P17" s="65">
        <v>350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</row>
    <row r="18" spans="1:237" x14ac:dyDescent="0.25">
      <c r="A18" s="63"/>
      <c r="D18" s="62"/>
    </row>
  </sheetData>
  <mergeCells count="3">
    <mergeCell ref="A1:A2"/>
    <mergeCell ref="A4:B4"/>
    <mergeCell ref="A10:B10"/>
  </mergeCells>
  <pageMargins left="0.78740157499999996" right="0.78740157499999996" top="0.984251969" bottom="0.984251969" header="0.49212598499999999" footer="0.49212598499999999"/>
  <pageSetup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R17"/>
  <sheetViews>
    <sheetView showGridLines="0" zoomScaleNormal="100" workbookViewId="0">
      <pane xSplit="2" ySplit="3" topLeftCell="C4" activePane="bottomRight" state="frozen"/>
      <selection activeCell="L13" sqref="L13:L16"/>
      <selection pane="topRight" activeCell="L13" sqref="L13:L16"/>
      <selection pane="bottomLeft" activeCell="L13" sqref="L13:L16"/>
      <selection pane="bottomRight" activeCell="L13" sqref="L13:L16"/>
    </sheetView>
  </sheetViews>
  <sheetFormatPr defaultColWidth="9.1796875" defaultRowHeight="12.5" x14ac:dyDescent="0.25"/>
  <cols>
    <col min="1" max="1" width="24.26953125" style="61" customWidth="1"/>
    <col min="2" max="2" width="7.81640625" style="61" customWidth="1"/>
    <col min="3" max="3" width="10.54296875" style="60" bestFit="1" customWidth="1"/>
    <col min="4" max="4" width="8.7265625" style="60" customWidth="1"/>
    <col min="5" max="5" width="7.54296875" style="60" bestFit="1" customWidth="1"/>
    <col min="6" max="13" width="9.1796875" style="60"/>
    <col min="14" max="14" width="8.7265625" style="60" bestFit="1" customWidth="1"/>
    <col min="15" max="16384" width="9.1796875" style="60"/>
  </cols>
  <sheetData>
    <row r="1" spans="1:252" ht="12.75" customHeight="1" x14ac:dyDescent="0.4">
      <c r="A1" s="104" t="s">
        <v>41</v>
      </c>
    </row>
    <row r="2" spans="1:252" ht="12.75" customHeight="1" thickBot="1" x14ac:dyDescent="0.45">
      <c r="A2" s="103"/>
    </row>
    <row r="3" spans="1:252" s="102" customFormat="1" ht="13" thickTop="1" x14ac:dyDescent="0.25">
      <c r="A3" s="696"/>
      <c r="B3" s="697"/>
      <c r="C3" s="72" t="s">
        <v>4</v>
      </c>
      <c r="D3" s="71">
        <v>43831</v>
      </c>
      <c r="E3" s="71">
        <v>43862</v>
      </c>
      <c r="F3" s="71">
        <v>43891</v>
      </c>
      <c r="G3" s="71">
        <v>43922</v>
      </c>
      <c r="H3" s="71">
        <v>43952</v>
      </c>
      <c r="I3" s="71">
        <v>43983</v>
      </c>
      <c r="J3" s="71">
        <v>44013</v>
      </c>
      <c r="K3" s="71">
        <v>44044</v>
      </c>
      <c r="L3" s="71">
        <v>44075</v>
      </c>
      <c r="M3" s="71">
        <v>44105</v>
      </c>
      <c r="N3" s="71">
        <v>44136</v>
      </c>
      <c r="O3" s="71">
        <v>44166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 spans="1:252" s="97" customFormat="1" ht="13" x14ac:dyDescent="0.3">
      <c r="A4" s="101" t="s">
        <v>39</v>
      </c>
      <c r="B4" s="100"/>
      <c r="C4" s="100"/>
      <c r="D4" s="98"/>
      <c r="E4" s="98"/>
      <c r="F4" s="98"/>
      <c r="G4" s="98"/>
      <c r="H4" s="98"/>
      <c r="I4" s="99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</row>
    <row r="5" spans="1:252" s="84" customFormat="1" x14ac:dyDescent="0.35">
      <c r="A5" s="85" t="s">
        <v>34</v>
      </c>
      <c r="B5" s="84" t="s">
        <v>17</v>
      </c>
      <c r="C5" s="84">
        <f>SUM(D5:AH5)</f>
        <v>2100</v>
      </c>
      <c r="D5" s="84">
        <v>140</v>
      </c>
      <c r="E5" s="84">
        <v>120</v>
      </c>
      <c r="F5" s="84">
        <v>149</v>
      </c>
      <c r="G5" s="84">
        <v>121</v>
      </c>
      <c r="H5" s="84">
        <v>183</v>
      </c>
      <c r="I5" s="84">
        <v>182</v>
      </c>
      <c r="J5" s="84">
        <v>222</v>
      </c>
      <c r="K5" s="84">
        <v>243</v>
      </c>
      <c r="L5" s="84">
        <v>153</v>
      </c>
      <c r="M5" s="84">
        <v>201</v>
      </c>
      <c r="N5" s="84">
        <v>196</v>
      </c>
      <c r="O5" s="84">
        <v>190</v>
      </c>
    </row>
    <row r="6" spans="1:252" s="84" customFormat="1" x14ac:dyDescent="0.35">
      <c r="A6" s="85" t="s">
        <v>33</v>
      </c>
      <c r="B6" s="87" t="s">
        <v>17</v>
      </c>
      <c r="C6" s="84">
        <f>SUM(D6:AH6)</f>
        <v>0</v>
      </c>
      <c r="D6" s="75"/>
      <c r="H6" s="75"/>
    </row>
    <row r="7" spans="1:252" s="84" customFormat="1" x14ac:dyDescent="0.35">
      <c r="A7" s="88"/>
      <c r="C7" s="84">
        <f>SUM(D7:AH7)</f>
        <v>0</v>
      </c>
      <c r="D7" s="96"/>
      <c r="H7" s="96"/>
    </row>
    <row r="8" spans="1:252" s="75" customFormat="1" ht="13" thickBot="1" x14ac:dyDescent="0.4">
      <c r="A8" s="88"/>
      <c r="B8" s="84"/>
      <c r="C8" s="84">
        <f>SUM(D8:AF8)</f>
        <v>0</v>
      </c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  <c r="EK8" s="84"/>
      <c r="EL8" s="84"/>
      <c r="EM8" s="84"/>
      <c r="EN8" s="84"/>
      <c r="EO8" s="84"/>
      <c r="EP8" s="84"/>
      <c r="EQ8" s="84"/>
      <c r="ER8" s="84"/>
      <c r="ES8" s="84"/>
      <c r="ET8" s="84"/>
      <c r="EU8" s="84"/>
      <c r="EV8" s="84"/>
      <c r="EW8" s="84"/>
      <c r="EX8" s="84"/>
      <c r="EY8" s="84"/>
      <c r="EZ8" s="84"/>
      <c r="FA8" s="84"/>
      <c r="FB8" s="84"/>
      <c r="FC8" s="84"/>
      <c r="FD8" s="84"/>
      <c r="FE8" s="84"/>
      <c r="FF8" s="84"/>
      <c r="FG8" s="84"/>
      <c r="FH8" s="84"/>
      <c r="FI8" s="84"/>
      <c r="FJ8" s="84"/>
      <c r="FK8" s="84"/>
      <c r="FL8" s="84"/>
      <c r="FM8" s="84"/>
      <c r="FN8" s="84"/>
      <c r="FO8" s="84"/>
      <c r="FP8" s="84"/>
      <c r="FQ8" s="84"/>
      <c r="FR8" s="84"/>
      <c r="FS8" s="84"/>
      <c r="FT8" s="84"/>
      <c r="FU8" s="84"/>
      <c r="FV8" s="84"/>
      <c r="FW8" s="84"/>
      <c r="FX8" s="84"/>
      <c r="FY8" s="84"/>
      <c r="FZ8" s="84"/>
      <c r="GA8" s="84"/>
      <c r="GB8" s="84"/>
      <c r="GC8" s="84"/>
      <c r="GD8" s="84"/>
      <c r="GE8" s="84"/>
      <c r="GF8" s="84"/>
      <c r="GG8" s="84"/>
      <c r="GH8" s="84"/>
      <c r="GI8" s="84"/>
      <c r="GJ8" s="84"/>
      <c r="GK8" s="84"/>
      <c r="GL8" s="84"/>
      <c r="GM8" s="84"/>
      <c r="GN8" s="84"/>
      <c r="GO8" s="84"/>
      <c r="GP8" s="84"/>
      <c r="GQ8" s="84"/>
      <c r="GR8" s="84"/>
      <c r="GS8" s="84"/>
      <c r="GT8" s="84"/>
      <c r="GU8" s="84"/>
      <c r="GV8" s="84"/>
      <c r="GW8" s="84"/>
      <c r="GX8" s="84"/>
      <c r="GY8" s="84"/>
      <c r="GZ8" s="84"/>
      <c r="HA8" s="84"/>
      <c r="HB8" s="84"/>
      <c r="HC8" s="84"/>
      <c r="HD8" s="84"/>
      <c r="HE8" s="84"/>
      <c r="HF8" s="84"/>
      <c r="HG8" s="84"/>
      <c r="HH8" s="84"/>
      <c r="HI8" s="84"/>
      <c r="HJ8" s="84"/>
      <c r="HK8" s="84"/>
      <c r="HL8" s="84"/>
      <c r="HM8" s="84"/>
      <c r="HN8" s="84"/>
      <c r="HO8" s="84"/>
      <c r="HP8" s="84"/>
      <c r="HQ8" s="84"/>
      <c r="HR8" s="84"/>
      <c r="HS8" s="84"/>
      <c r="HT8" s="84"/>
      <c r="HU8" s="84"/>
      <c r="HV8" s="84"/>
      <c r="HW8" s="84"/>
      <c r="HX8" s="84"/>
      <c r="HY8" s="84"/>
      <c r="HZ8" s="84"/>
      <c r="IA8" s="84"/>
      <c r="IB8" s="84"/>
      <c r="IC8" s="84"/>
      <c r="ID8" s="84"/>
      <c r="IE8" s="84"/>
      <c r="IF8" s="84"/>
      <c r="IG8" s="84"/>
      <c r="IH8" s="84"/>
      <c r="II8" s="84"/>
      <c r="IJ8" s="84"/>
      <c r="IK8" s="84"/>
      <c r="IL8" s="84"/>
      <c r="IM8" s="84"/>
      <c r="IN8" s="84"/>
      <c r="IO8" s="84"/>
      <c r="IP8" s="84"/>
      <c r="IQ8" s="84"/>
      <c r="IR8" s="84"/>
    </row>
    <row r="9" spans="1:252" s="75" customFormat="1" ht="13.5" thickTop="1" thickBot="1" x14ac:dyDescent="0.3">
      <c r="A9" s="95"/>
      <c r="B9" s="94"/>
      <c r="C9" s="72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</row>
    <row r="10" spans="1:252" s="89" customFormat="1" ht="13.5" thickTop="1" x14ac:dyDescent="0.3">
      <c r="A10" s="93" t="s">
        <v>32</v>
      </c>
      <c r="B10" s="92"/>
      <c r="C10" s="91" t="s">
        <v>4</v>
      </c>
      <c r="D10" s="90">
        <v>43831</v>
      </c>
      <c r="E10" s="90">
        <v>43862</v>
      </c>
      <c r="F10" s="90">
        <v>43891</v>
      </c>
      <c r="G10" s="90">
        <v>43922</v>
      </c>
      <c r="H10" s="90">
        <v>43952</v>
      </c>
      <c r="I10" s="90">
        <v>43983</v>
      </c>
      <c r="J10" s="90">
        <v>44013</v>
      </c>
      <c r="K10" s="90">
        <v>44044</v>
      </c>
      <c r="L10" s="90">
        <v>44075</v>
      </c>
      <c r="M10" s="90">
        <v>44105</v>
      </c>
      <c r="N10" s="90">
        <v>44136</v>
      </c>
      <c r="O10" s="90">
        <v>44166</v>
      </c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</row>
    <row r="11" spans="1:252" s="84" customFormat="1" x14ac:dyDescent="0.35">
      <c r="A11" s="88" t="s">
        <v>24</v>
      </c>
      <c r="B11" s="84" t="s">
        <v>37</v>
      </c>
      <c r="C11" s="86">
        <f t="shared" ref="C11:C17" si="0">SUM(D11:AH11)</f>
        <v>27250</v>
      </c>
      <c r="D11" s="86">
        <f>('Entrada de materiais'!E5*'Custo Prod.'!$G$14)</f>
        <v>1750</v>
      </c>
      <c r="E11" s="86">
        <f>('Entrada de materiais'!F5*'Custo Prod.'!$G$14)</f>
        <v>1750</v>
      </c>
      <c r="F11" s="86">
        <f>('Entrada de materiais'!G5*'Custo Prod.'!$G$14)</f>
        <v>2000</v>
      </c>
      <c r="G11" s="86">
        <f>('Entrada de materiais'!H5*'Custo Prod.'!$G$14)</f>
        <v>1750</v>
      </c>
      <c r="H11" s="86">
        <f>('Entrada de materiais'!I5*'Custo Prod.'!$G$14)</f>
        <v>2000</v>
      </c>
      <c r="I11" s="86">
        <f>('Entrada de materiais'!J5*'Custo Prod.'!$G$14)</f>
        <v>2250</v>
      </c>
      <c r="J11" s="86">
        <f>('Entrada de materiais'!K5*'Custo Prod.'!$G$14)</f>
        <v>2500</v>
      </c>
      <c r="K11" s="86">
        <f>('Entrada de materiais'!L5*'Custo Prod.'!$G$14)</f>
        <v>2750</v>
      </c>
      <c r="L11" s="86">
        <f>('Entrada de materiais'!M5*'Custo Prod.'!$G$14)</f>
        <v>3000</v>
      </c>
      <c r="M11" s="86">
        <f>('Entrada de materiais'!N5*'Custo Prod.'!$G$14)</f>
        <v>3000</v>
      </c>
      <c r="N11" s="86">
        <f>('Entrada de materiais'!O5*'Custo Prod.'!$G$14)</f>
        <v>1500</v>
      </c>
      <c r="O11" s="86">
        <f>('Entrada de materiais'!P5*'Custo Prod.'!$G$14)</f>
        <v>3000</v>
      </c>
      <c r="P11" s="86">
        <f>('Entrada de materiais'!Q5*'Custo Prod.'!$G$14)</f>
        <v>0</v>
      </c>
      <c r="Q11" s="86">
        <f>('Entrada de materiais'!R5*'Custo Prod.'!$G$14)</f>
        <v>0</v>
      </c>
      <c r="R11" s="86">
        <f>('Entrada de materiais'!S5*'Custo Prod.'!$G$14)</f>
        <v>0</v>
      </c>
      <c r="S11" s="86">
        <f>('Entrada de materiais'!T5*'Custo Prod.'!$G$14)</f>
        <v>0</v>
      </c>
      <c r="T11" s="86">
        <f>('Entrada de materiais'!U5*'Custo Prod.'!$G$14)</f>
        <v>0</v>
      </c>
      <c r="U11" s="86">
        <f>('Entrada de materiais'!V5*'Custo Prod.'!$G$14)</f>
        <v>0</v>
      </c>
      <c r="V11" s="86">
        <f>('Entrada de materiais'!W5*'Custo Prod.'!$G$14)</f>
        <v>0</v>
      </c>
      <c r="W11" s="86">
        <f>('Entrada de materiais'!X5*'Custo Prod.'!$G$14)</f>
        <v>0</v>
      </c>
      <c r="X11" s="86">
        <f>('Entrada de materiais'!Y5*'Custo Prod.'!$G$14)</f>
        <v>0</v>
      </c>
      <c r="Y11" s="86">
        <f>('Entrada de materiais'!Z5*'Custo Prod.'!$G$14)</f>
        <v>0</v>
      </c>
      <c r="Z11" s="86">
        <f>('Entrada de materiais'!AA5*'Custo Prod.'!$G$14)</f>
        <v>0</v>
      </c>
      <c r="AA11" s="86">
        <f>('Entrada de materiais'!AB5*'Custo Prod.'!$G$14)</f>
        <v>0</v>
      </c>
      <c r="AB11" s="86">
        <f>('Entrada de materiais'!AC5*'Custo Prod.'!$G$14)</f>
        <v>0</v>
      </c>
      <c r="AC11" s="86">
        <f>('Entrada de materiais'!AD5*'Custo Prod.'!$G$14)</f>
        <v>0</v>
      </c>
      <c r="AD11" s="86">
        <f>('Entrada de materiais'!AE5*'Custo Prod.'!$G$14)</f>
        <v>0</v>
      </c>
      <c r="AE11" s="86">
        <f>('Entrada de materiais'!AF5*'Custo Prod.'!$G$14)</f>
        <v>0</v>
      </c>
      <c r="AF11" s="86">
        <f>('Entrada de materiais'!AG5*'Custo Prod.'!$G$14)</f>
        <v>0</v>
      </c>
      <c r="AG11" s="86">
        <f>('Entrada de materiais'!AH5*'Custo Prod.'!$G$14)</f>
        <v>0</v>
      </c>
      <c r="AH11" s="86">
        <f>('Entrada de materiais'!AI5*'Custo Prod.'!$G$14)</f>
        <v>0</v>
      </c>
    </row>
    <row r="12" spans="1:252" s="84" customFormat="1" x14ac:dyDescent="0.35">
      <c r="A12" s="88" t="s">
        <v>23</v>
      </c>
      <c r="B12" s="84" t="s">
        <v>37</v>
      </c>
      <c r="C12" s="86">
        <f t="shared" si="0"/>
        <v>16350</v>
      </c>
      <c r="D12" s="86">
        <f>('Entrada de materiais'!E5*'Custo Prod.'!$G$15)</f>
        <v>1050</v>
      </c>
      <c r="E12" s="86">
        <f>('Entrada de materiais'!F5*'Custo Prod.'!$G$15)</f>
        <v>1050</v>
      </c>
      <c r="F12" s="86">
        <f>('Entrada de materiais'!G5*'Custo Prod.'!$G$15)</f>
        <v>1200</v>
      </c>
      <c r="G12" s="86">
        <f>('Entrada de materiais'!H5*'Custo Prod.'!$G$15)</f>
        <v>1050</v>
      </c>
      <c r="H12" s="86">
        <f>('Entrada de materiais'!I5*'Custo Prod.'!$G$15)</f>
        <v>1200</v>
      </c>
      <c r="I12" s="86">
        <f>('Entrada de materiais'!J5*'Custo Prod.'!$G$15)</f>
        <v>1350</v>
      </c>
      <c r="J12" s="86">
        <f>('Entrada de materiais'!K5*'Custo Prod.'!$G$15)</f>
        <v>1500</v>
      </c>
      <c r="K12" s="86">
        <f>('Entrada de materiais'!L5*'Custo Prod.'!$G$15)</f>
        <v>1650</v>
      </c>
      <c r="L12" s="86">
        <f>('Entrada de materiais'!M5*'Custo Prod.'!$G$15)</f>
        <v>1800</v>
      </c>
      <c r="M12" s="86">
        <f>('Entrada de materiais'!N5*'Custo Prod.'!$G$15)</f>
        <v>1800</v>
      </c>
      <c r="N12" s="86">
        <f>('Entrada de materiais'!O5*'Custo Prod.'!$G$15)</f>
        <v>900</v>
      </c>
      <c r="O12" s="86">
        <f>('Entrada de materiais'!P5*'Custo Prod.'!$G$15)</f>
        <v>1800</v>
      </c>
      <c r="P12" s="86">
        <f>('Entrada de materiais'!Q5*'Custo Prod.'!$G$15)</f>
        <v>0</v>
      </c>
      <c r="Q12" s="86">
        <f>('Entrada de materiais'!R5*'Custo Prod.'!$G$15)</f>
        <v>0</v>
      </c>
      <c r="R12" s="86">
        <f>('Entrada de materiais'!S5*'Custo Prod.'!$G$15)</f>
        <v>0</v>
      </c>
      <c r="S12" s="86">
        <f>('Entrada de materiais'!T5*'Custo Prod.'!$G$15)</f>
        <v>0</v>
      </c>
      <c r="T12" s="86">
        <f>('Entrada de materiais'!U5*'Custo Prod.'!$G$15)</f>
        <v>0</v>
      </c>
      <c r="U12" s="86">
        <f>('Entrada de materiais'!V5*'Custo Prod.'!$G$15)</f>
        <v>0</v>
      </c>
      <c r="V12" s="86">
        <f>('Entrada de materiais'!W5*'Custo Prod.'!$G$15)</f>
        <v>0</v>
      </c>
      <c r="W12" s="86">
        <f>('Entrada de materiais'!X5*'Custo Prod.'!$G$15)</f>
        <v>0</v>
      </c>
      <c r="X12" s="86">
        <f>('Entrada de materiais'!Y5*'Custo Prod.'!$G$15)</f>
        <v>0</v>
      </c>
      <c r="Y12" s="86">
        <f>('Entrada de materiais'!Z5*'Custo Prod.'!$G$15)</f>
        <v>0</v>
      </c>
      <c r="Z12" s="86">
        <f>('Entrada de materiais'!AA5*'Custo Prod.'!$G$15)</f>
        <v>0</v>
      </c>
      <c r="AA12" s="86">
        <f>('Entrada de materiais'!AB5*'Custo Prod.'!$G$15)</f>
        <v>0</v>
      </c>
      <c r="AB12" s="86">
        <f>('Entrada de materiais'!AC5*'Custo Prod.'!$G$15)</f>
        <v>0</v>
      </c>
      <c r="AC12" s="86">
        <f>('Entrada de materiais'!AD5*'Custo Prod.'!$G$15)</f>
        <v>0</v>
      </c>
      <c r="AD12" s="86">
        <f>('Entrada de materiais'!AE5*'Custo Prod.'!$G$15)</f>
        <v>0</v>
      </c>
      <c r="AE12" s="86">
        <f>('Entrada de materiais'!AF5*'Custo Prod.'!$G$15)</f>
        <v>0</v>
      </c>
      <c r="AF12" s="86">
        <f>('Entrada de materiais'!AG5*'Custo Prod.'!$G$15)</f>
        <v>0</v>
      </c>
      <c r="AG12" s="86">
        <f>('Entrada de materiais'!AH5*'Custo Prod.'!$G$15)</f>
        <v>0</v>
      </c>
      <c r="AH12" s="86">
        <f>('Entrada de materiais'!AI5*'Custo Prod.'!$G$15)</f>
        <v>0</v>
      </c>
    </row>
    <row r="13" spans="1:252" s="84" customFormat="1" x14ac:dyDescent="0.35">
      <c r="A13" s="88" t="s">
        <v>22</v>
      </c>
      <c r="B13" s="84" t="s">
        <v>37</v>
      </c>
      <c r="C13" s="86">
        <f t="shared" si="0"/>
        <v>10900</v>
      </c>
      <c r="D13" s="86">
        <f>('Entrada de materiais'!E5*'Custo Prod.'!$G$16)</f>
        <v>700</v>
      </c>
      <c r="E13" s="86">
        <f>('Entrada de materiais'!F5*'Custo Prod.'!$G$16)</f>
        <v>700</v>
      </c>
      <c r="F13" s="86">
        <f>('Entrada de materiais'!G5*'Custo Prod.'!$G$16)</f>
        <v>800</v>
      </c>
      <c r="G13" s="86">
        <f>('Entrada de materiais'!H5*'Custo Prod.'!$G$16)</f>
        <v>700</v>
      </c>
      <c r="H13" s="86">
        <f>('Entrada de materiais'!I5*'Custo Prod.'!$G$16)</f>
        <v>800</v>
      </c>
      <c r="I13" s="86">
        <f>('Entrada de materiais'!J5*'Custo Prod.'!$G$16)</f>
        <v>900</v>
      </c>
      <c r="J13" s="86">
        <f>('Entrada de materiais'!K5*'Custo Prod.'!$G$16)</f>
        <v>1000</v>
      </c>
      <c r="K13" s="86">
        <f>('Entrada de materiais'!L5*'Custo Prod.'!$G$16)</f>
        <v>1100</v>
      </c>
      <c r="L13" s="86">
        <f>('Entrada de materiais'!M5*'Custo Prod.'!$G$16)</f>
        <v>1200</v>
      </c>
      <c r="M13" s="86">
        <f>('Entrada de materiais'!N5*'Custo Prod.'!$G$16)</f>
        <v>1200</v>
      </c>
      <c r="N13" s="86">
        <f>('Entrada de materiais'!O5*'Custo Prod.'!$G$16)</f>
        <v>600</v>
      </c>
      <c r="O13" s="86">
        <f>('Entrada de materiais'!P5*'Custo Prod.'!$G$16)</f>
        <v>1200</v>
      </c>
      <c r="P13" s="86">
        <f>('Entrada de materiais'!Q5*'Custo Prod.'!$G$16)</f>
        <v>0</v>
      </c>
      <c r="Q13" s="86">
        <f>('Entrada de materiais'!R5*'Custo Prod.'!$G$16)</f>
        <v>0</v>
      </c>
      <c r="R13" s="86">
        <f>('Entrada de materiais'!S5*'Custo Prod.'!$G$16)</f>
        <v>0</v>
      </c>
      <c r="S13" s="86">
        <f>('Entrada de materiais'!T5*'Custo Prod.'!$G$16)</f>
        <v>0</v>
      </c>
      <c r="T13" s="86">
        <f>('Entrada de materiais'!U5*'Custo Prod.'!$G$16)</f>
        <v>0</v>
      </c>
      <c r="U13" s="86">
        <f>('Entrada de materiais'!V5*'Custo Prod.'!$G$16)</f>
        <v>0</v>
      </c>
      <c r="V13" s="86">
        <f>('Entrada de materiais'!W5*'Custo Prod.'!$G$16)</f>
        <v>0</v>
      </c>
      <c r="W13" s="86">
        <f>('Entrada de materiais'!X5*'Custo Prod.'!$G$16)</f>
        <v>0</v>
      </c>
      <c r="X13" s="86">
        <f>('Entrada de materiais'!Y5*'Custo Prod.'!$G$16)</f>
        <v>0</v>
      </c>
      <c r="Y13" s="86">
        <f>('Entrada de materiais'!Z5*'Custo Prod.'!$G$16)</f>
        <v>0</v>
      </c>
      <c r="Z13" s="86">
        <f>('Entrada de materiais'!AA5*'Custo Prod.'!$G$16)</f>
        <v>0</v>
      </c>
      <c r="AA13" s="86">
        <f>('Entrada de materiais'!AB5*'Custo Prod.'!$G$16)</f>
        <v>0</v>
      </c>
      <c r="AB13" s="86">
        <f>('Entrada de materiais'!AC5*'Custo Prod.'!$G$16)</f>
        <v>0</v>
      </c>
      <c r="AC13" s="86">
        <f>('Entrada de materiais'!AD5*'Custo Prod.'!$G$16)</f>
        <v>0</v>
      </c>
      <c r="AD13" s="86">
        <f>('Entrada de materiais'!AE5*'Custo Prod.'!$G$16)</f>
        <v>0</v>
      </c>
      <c r="AE13" s="86">
        <f>('Entrada de materiais'!AF5*'Custo Prod.'!$G$16)</f>
        <v>0</v>
      </c>
      <c r="AF13" s="86">
        <f>('Entrada de materiais'!AG5*'Custo Prod.'!$G$16)</f>
        <v>0</v>
      </c>
      <c r="AG13" s="86">
        <f>('Entrada de materiais'!AH5*'Custo Prod.'!$G$16)</f>
        <v>0</v>
      </c>
      <c r="AH13" s="86">
        <f>('Entrada de materiais'!AI5*'Custo Prod.'!$G$16)</f>
        <v>0</v>
      </c>
    </row>
    <row r="14" spans="1:252" s="84" customFormat="1" x14ac:dyDescent="0.35">
      <c r="A14" s="88" t="s">
        <v>21</v>
      </c>
      <c r="B14" s="84" t="s">
        <v>37</v>
      </c>
      <c r="C14" s="86">
        <f t="shared" si="0"/>
        <v>0</v>
      </c>
      <c r="D14" s="86">
        <f>('Entrada de materiais'!E6*'Custo Prod.'!$G$28)</f>
        <v>0</v>
      </c>
      <c r="E14" s="86">
        <f>('Entrada de materiais'!F6*'Custo Prod.'!$G$28)</f>
        <v>0</v>
      </c>
      <c r="F14" s="86">
        <f>('Entrada de materiais'!G6*'Custo Prod.'!$G$28)</f>
        <v>0</v>
      </c>
      <c r="G14" s="86">
        <f>('Entrada de materiais'!H6*'Custo Prod.'!$G$28)</f>
        <v>0</v>
      </c>
      <c r="H14" s="86">
        <f>('Entrada de materiais'!I6*'Custo Prod.'!$G$28)</f>
        <v>0</v>
      </c>
      <c r="I14" s="86">
        <f>('Entrada de materiais'!J6*'Custo Prod.'!$G$28)</f>
        <v>0</v>
      </c>
      <c r="J14" s="86">
        <f>('Entrada de materiais'!K6*'Custo Prod.'!$G$28)</f>
        <v>0</v>
      </c>
      <c r="K14" s="86">
        <f>('Entrada de materiais'!L6*'Custo Prod.'!$G$28)</f>
        <v>0</v>
      </c>
      <c r="L14" s="86">
        <f>('Entrada de materiais'!M6*'Custo Prod.'!$G$28)</f>
        <v>0</v>
      </c>
      <c r="M14" s="86">
        <f>('Entrada de materiais'!N6*'Custo Prod.'!$G$28)</f>
        <v>0</v>
      </c>
      <c r="N14" s="86">
        <f>('Entrada de materiais'!O6*'Custo Prod.'!$G$28)</f>
        <v>0</v>
      </c>
      <c r="O14" s="86">
        <f>('Entrada de materiais'!P6*'Custo Prod.'!$G$28)</f>
        <v>0</v>
      </c>
      <c r="P14" s="86">
        <f>('Entrada de materiais'!Q6*'Custo Prod.'!$G$28)</f>
        <v>0</v>
      </c>
      <c r="Q14" s="86">
        <f>('Entrada de materiais'!R6*'Custo Prod.'!$G$28)</f>
        <v>0</v>
      </c>
      <c r="R14" s="86">
        <f>('Entrada de materiais'!S6*'Custo Prod.'!$G$28)</f>
        <v>0</v>
      </c>
      <c r="S14" s="86">
        <f>('Entrada de materiais'!T6*'Custo Prod.'!$G$28)</f>
        <v>0</v>
      </c>
      <c r="T14" s="86">
        <f>('Entrada de materiais'!U6*'Custo Prod.'!$G$28)</f>
        <v>0</v>
      </c>
      <c r="U14" s="86">
        <f>('Entrada de materiais'!V6*'Custo Prod.'!$G$28)</f>
        <v>0</v>
      </c>
      <c r="V14" s="86">
        <f>('Entrada de materiais'!W6*'Custo Prod.'!$G$28)</f>
        <v>0</v>
      </c>
      <c r="W14" s="86">
        <f>('Entrada de materiais'!X6*'Custo Prod.'!$G$28)</f>
        <v>0</v>
      </c>
      <c r="X14" s="86">
        <f>('Entrada de materiais'!Y6*'Custo Prod.'!$G$28)</f>
        <v>0</v>
      </c>
      <c r="Y14" s="86">
        <f>('Entrada de materiais'!Z6*'Custo Prod.'!$G$28)</f>
        <v>0</v>
      </c>
      <c r="Z14" s="86">
        <f>('Entrada de materiais'!AA6*'Custo Prod.'!$G$28)</f>
        <v>0</v>
      </c>
      <c r="AA14" s="86">
        <f>('Entrada de materiais'!AB6*'Custo Prod.'!$G$28)</f>
        <v>0</v>
      </c>
      <c r="AB14" s="86">
        <f>('Entrada de materiais'!AC6*'Custo Prod.'!$G$28)</f>
        <v>0</v>
      </c>
      <c r="AC14" s="86">
        <f>('Entrada de materiais'!AD6*'Custo Prod.'!$G$28)</f>
        <v>0</v>
      </c>
      <c r="AD14" s="86">
        <f>('Entrada de materiais'!AE6*'Custo Prod.'!$G$28)</f>
        <v>0</v>
      </c>
      <c r="AE14" s="86">
        <f>('Entrada de materiais'!AF6*'Custo Prod.'!$G$28)</f>
        <v>0</v>
      </c>
      <c r="AF14" s="86">
        <f>('Entrada de materiais'!AG6*'Custo Prod.'!$G$28)</f>
        <v>0</v>
      </c>
      <c r="AG14" s="86">
        <f>('Entrada de materiais'!AH6*'Custo Prod.'!$G$28)</f>
        <v>0</v>
      </c>
      <c r="AH14" s="86">
        <f>('Entrada de materiais'!AI6*'Custo Prod.'!$G$28)</f>
        <v>0</v>
      </c>
    </row>
    <row r="15" spans="1:252" s="84" customFormat="1" x14ac:dyDescent="0.35">
      <c r="A15" s="85" t="s">
        <v>20</v>
      </c>
      <c r="B15" s="84" t="s">
        <v>37</v>
      </c>
      <c r="C15" s="86">
        <f t="shared" si="0"/>
        <v>0</v>
      </c>
      <c r="D15" s="86">
        <f>('Entrada de materiais'!E6*'Custo Prod.'!$G$29)</f>
        <v>0</v>
      </c>
      <c r="E15" s="86">
        <f>('Entrada de materiais'!F6*'Custo Prod.'!$G$29)</f>
        <v>0</v>
      </c>
      <c r="F15" s="86">
        <f>('Entrada de materiais'!G6*'Custo Prod.'!$G$29)</f>
        <v>0</v>
      </c>
      <c r="G15" s="86">
        <f>('Entrada de materiais'!H6*'Custo Prod.'!$G$29)</f>
        <v>0</v>
      </c>
      <c r="H15" s="86">
        <f>('Entrada de materiais'!I6*'Custo Prod.'!$G$29)</f>
        <v>0</v>
      </c>
      <c r="I15" s="86">
        <f>('Entrada de materiais'!J6*'Custo Prod.'!$G$29)</f>
        <v>0</v>
      </c>
      <c r="J15" s="86">
        <f>('Entrada de materiais'!K6*'Custo Prod.'!$G$29)</f>
        <v>0</v>
      </c>
      <c r="K15" s="86">
        <f>('Entrada de materiais'!L6*'Custo Prod.'!$G$29)</f>
        <v>0</v>
      </c>
      <c r="L15" s="86">
        <f>('Entrada de materiais'!M6*'Custo Prod.'!$G$29)</f>
        <v>0</v>
      </c>
      <c r="M15" s="86">
        <f>('Entrada de materiais'!N6*'Custo Prod.'!$G$29)</f>
        <v>0</v>
      </c>
      <c r="N15" s="86">
        <f>('Entrada de materiais'!O6*'Custo Prod.'!$G$29)</f>
        <v>0</v>
      </c>
      <c r="O15" s="86">
        <f>('Entrada de materiais'!P6*'Custo Prod.'!$G$29)</f>
        <v>0</v>
      </c>
      <c r="P15" s="86">
        <f>('Entrada de materiais'!Q6*'Custo Prod.'!$G$29)</f>
        <v>0</v>
      </c>
      <c r="Q15" s="86">
        <f>('Entrada de materiais'!R6*'Custo Prod.'!$G$29)</f>
        <v>0</v>
      </c>
      <c r="R15" s="86">
        <f>('Entrada de materiais'!S6*'Custo Prod.'!$G$29)</f>
        <v>0</v>
      </c>
      <c r="S15" s="86">
        <f>('Entrada de materiais'!T6*'Custo Prod.'!$G$29)</f>
        <v>0</v>
      </c>
      <c r="T15" s="86">
        <f>('Entrada de materiais'!U6*'Custo Prod.'!$G$29)</f>
        <v>0</v>
      </c>
      <c r="U15" s="86">
        <f>('Entrada de materiais'!V6*'Custo Prod.'!$G$29)</f>
        <v>0</v>
      </c>
      <c r="V15" s="86">
        <f>('Entrada de materiais'!W6*'Custo Prod.'!$G$29)</f>
        <v>0</v>
      </c>
      <c r="W15" s="86">
        <f>('Entrada de materiais'!X6*'Custo Prod.'!$G$29)</f>
        <v>0</v>
      </c>
      <c r="X15" s="86">
        <f>('Entrada de materiais'!Y6*'Custo Prod.'!$G$29)</f>
        <v>0</v>
      </c>
      <c r="Y15" s="86">
        <f>('Entrada de materiais'!Z6*'Custo Prod.'!$G$29)</f>
        <v>0</v>
      </c>
      <c r="Z15" s="86">
        <f>('Entrada de materiais'!AA6*'Custo Prod.'!$G$29)</f>
        <v>0</v>
      </c>
      <c r="AA15" s="86">
        <f>('Entrada de materiais'!AB6*'Custo Prod.'!$G$29)</f>
        <v>0</v>
      </c>
      <c r="AB15" s="86">
        <f>('Entrada de materiais'!AC6*'Custo Prod.'!$G$29)</f>
        <v>0</v>
      </c>
      <c r="AC15" s="86">
        <f>('Entrada de materiais'!AD6*'Custo Prod.'!$G$29)</f>
        <v>0</v>
      </c>
      <c r="AD15" s="86">
        <f>('Entrada de materiais'!AE6*'Custo Prod.'!$G$29)</f>
        <v>0</v>
      </c>
      <c r="AE15" s="86">
        <f>('Entrada de materiais'!AF6*'Custo Prod.'!$G$29)</f>
        <v>0</v>
      </c>
      <c r="AF15" s="86">
        <f>('Entrada de materiais'!AG6*'Custo Prod.'!$G$29)</f>
        <v>0</v>
      </c>
      <c r="AG15" s="86">
        <f>('Entrada de materiais'!AH6*'Custo Prod.'!$G$29)</f>
        <v>0</v>
      </c>
      <c r="AH15" s="86">
        <f>('Entrada de materiais'!AI6*'Custo Prod.'!$G$29)</f>
        <v>0</v>
      </c>
    </row>
    <row r="16" spans="1:252" s="84" customFormat="1" x14ac:dyDescent="0.35">
      <c r="A16" s="85" t="s">
        <v>18</v>
      </c>
      <c r="B16" s="87" t="s">
        <v>17</v>
      </c>
      <c r="C16" s="86">
        <f t="shared" si="0"/>
        <v>2180</v>
      </c>
      <c r="D16" s="86">
        <f>('Entrada de materiais'!E5*'Custo Prod.'!$G$17)+('Entrada de materiais'!E6*'Custo Prod.'!$G$30)</f>
        <v>140</v>
      </c>
      <c r="E16" s="86">
        <f>('Entrada de materiais'!F5*'Custo Prod.'!$G$17)+('Entrada de materiais'!F6*'Custo Prod.'!$G$30)</f>
        <v>140</v>
      </c>
      <c r="F16" s="86">
        <f>('Entrada de materiais'!G5*'Custo Prod.'!$G$17)+('Entrada de materiais'!G6*'Custo Prod.'!$G$30)</f>
        <v>160</v>
      </c>
      <c r="G16" s="86">
        <f>('Entrada de materiais'!H5*'Custo Prod.'!$G$17)+('Entrada de materiais'!H6*'Custo Prod.'!$G$30)</f>
        <v>140</v>
      </c>
      <c r="H16" s="86">
        <f>('Entrada de materiais'!I5*'Custo Prod.'!$G$17)+('Entrada de materiais'!I6*'Custo Prod.'!$G$30)</f>
        <v>160</v>
      </c>
      <c r="I16" s="86">
        <f>('Entrada de materiais'!J5*'Custo Prod.'!$G$17)+('Entrada de materiais'!J6*'Custo Prod.'!$G$30)</f>
        <v>180</v>
      </c>
      <c r="J16" s="86">
        <f>('Entrada de materiais'!K5*'Custo Prod.'!$G$17)+('Entrada de materiais'!K6*'Custo Prod.'!$G$30)</f>
        <v>200</v>
      </c>
      <c r="K16" s="86">
        <f>('Entrada de materiais'!L5*'Custo Prod.'!$G$17)+('Entrada de materiais'!L6*'Custo Prod.'!$G$30)</f>
        <v>220</v>
      </c>
      <c r="L16" s="86">
        <f>('Entrada de materiais'!M5*'Custo Prod.'!$G$17)+('Entrada de materiais'!M6*'Custo Prod.'!$G$30)</f>
        <v>240</v>
      </c>
      <c r="M16" s="86">
        <f>('Entrada de materiais'!N5*'Custo Prod.'!$G$17)+('Entrada de materiais'!N6*'Custo Prod.'!$G$30)</f>
        <v>240</v>
      </c>
      <c r="N16" s="86">
        <f>('Entrada de materiais'!O5*'Custo Prod.'!$G$17)+('Entrada de materiais'!O6*'Custo Prod.'!$G$30)</f>
        <v>120</v>
      </c>
      <c r="O16" s="86">
        <f>('Entrada de materiais'!P5*'Custo Prod.'!$G$17)+('Entrada de materiais'!P6*'Custo Prod.'!$G$30)</f>
        <v>240</v>
      </c>
      <c r="P16" s="86">
        <f>('Entrada de materiais'!Q5*'Custo Prod.'!$G$17)+('Entrada de materiais'!Q6*'Custo Prod.'!$G$30)</f>
        <v>0</v>
      </c>
      <c r="Q16" s="86">
        <f>('Entrada de materiais'!R5*'Custo Prod.'!$G$17)+('Entrada de materiais'!R6*'Custo Prod.'!$G$30)</f>
        <v>0</v>
      </c>
      <c r="R16" s="86">
        <f>('Entrada de materiais'!S5*'Custo Prod.'!$G$17)+('Entrada de materiais'!S6*'Custo Prod.'!$G$30)</f>
        <v>0</v>
      </c>
      <c r="S16" s="86">
        <f>('Entrada de materiais'!T5*'Custo Prod.'!$G$17)+('Entrada de materiais'!T6*'Custo Prod.'!$G$30)</f>
        <v>0</v>
      </c>
      <c r="T16" s="86">
        <f>('Entrada de materiais'!U5*'Custo Prod.'!$G$17)+('Entrada de materiais'!U6*'Custo Prod.'!$G$30)</f>
        <v>0</v>
      </c>
      <c r="U16" s="86">
        <f>('Entrada de materiais'!V5*'Custo Prod.'!$G$17)+('Entrada de materiais'!V6*'Custo Prod.'!$G$30)</f>
        <v>0</v>
      </c>
      <c r="V16" s="86">
        <f>('Entrada de materiais'!W5*'Custo Prod.'!$G$17)+('Entrada de materiais'!W6*'Custo Prod.'!$G$30)</f>
        <v>0</v>
      </c>
      <c r="W16" s="86">
        <f>('Entrada de materiais'!X5*'Custo Prod.'!$G$17)+('Entrada de materiais'!X6*'Custo Prod.'!$G$30)</f>
        <v>0</v>
      </c>
      <c r="X16" s="86">
        <f>('Entrada de materiais'!Y5*'Custo Prod.'!$G$17)+('Entrada de materiais'!Y6*'Custo Prod.'!$G$30)</f>
        <v>0</v>
      </c>
      <c r="Y16" s="86">
        <f>('Entrada de materiais'!Z5*'Custo Prod.'!$G$17)+('Entrada de materiais'!Z6*'Custo Prod.'!$G$30)</f>
        <v>0</v>
      </c>
      <c r="Z16" s="86">
        <f>('Entrada de materiais'!AA5*'Custo Prod.'!$G$17)+('Entrada de materiais'!AA6*'Custo Prod.'!$G$30)</f>
        <v>0</v>
      </c>
      <c r="AA16" s="86">
        <f>('Entrada de materiais'!AB5*'Custo Prod.'!$G$17)+('Entrada de materiais'!AB6*'Custo Prod.'!$G$30)</f>
        <v>0</v>
      </c>
      <c r="AB16" s="86">
        <f>('Entrada de materiais'!AC5*'Custo Prod.'!$G$17)+('Entrada de materiais'!AC6*'Custo Prod.'!$G$30)</f>
        <v>0</v>
      </c>
      <c r="AC16" s="86">
        <f>('Entrada de materiais'!AD5*'Custo Prod.'!$G$17)+('Entrada de materiais'!AD6*'Custo Prod.'!$G$30)</f>
        <v>0</v>
      </c>
      <c r="AD16" s="86">
        <f>('Entrada de materiais'!AE5*'Custo Prod.'!$G$17)+('Entrada de materiais'!AE6*'Custo Prod.'!$G$30)</f>
        <v>0</v>
      </c>
      <c r="AE16" s="86">
        <f>('Entrada de materiais'!AF5*'Custo Prod.'!$G$17)+('Entrada de materiais'!AF6*'Custo Prod.'!$G$30)</f>
        <v>0</v>
      </c>
      <c r="AF16" s="86">
        <f>('Entrada de materiais'!AG5*'Custo Prod.'!$G$17)+('Entrada de materiais'!AG6*'Custo Prod.'!$G$30)</f>
        <v>0</v>
      </c>
      <c r="AG16" s="86">
        <f>('Entrada de materiais'!AH5*'Custo Prod.'!$G$17)+('Entrada de materiais'!AH6*'Custo Prod.'!$G$30)</f>
        <v>0</v>
      </c>
      <c r="AH16" s="86">
        <f>('Entrada de materiais'!AI5*'Custo Prod.'!$G$17)+('Entrada de materiais'!AI6*'Custo Prod.'!$G$30)</f>
        <v>0</v>
      </c>
    </row>
    <row r="17" spans="1:34" s="84" customFormat="1" x14ac:dyDescent="0.35">
      <c r="A17" s="85" t="s">
        <v>110</v>
      </c>
      <c r="B17" s="87" t="s">
        <v>17</v>
      </c>
      <c r="C17" s="86">
        <f t="shared" si="0"/>
        <v>2180</v>
      </c>
      <c r="D17" s="86">
        <f>('Entrada de materiais'!E5*'Custo Prod.'!$G$19)+('Entrada de materiais'!E6*'Custo Prod.'!$G$31)</f>
        <v>140</v>
      </c>
      <c r="E17" s="86">
        <f>('Entrada de materiais'!F5*'Custo Prod.'!$G$19)+('Entrada de materiais'!F6*'Custo Prod.'!$G$31)</f>
        <v>140</v>
      </c>
      <c r="F17" s="86">
        <f>('Entrada de materiais'!G5*'Custo Prod.'!$G$19)+('Entrada de materiais'!G6*'Custo Prod.'!$G$31)</f>
        <v>160</v>
      </c>
      <c r="G17" s="86">
        <f>('Entrada de materiais'!H5*'Custo Prod.'!$G$19)+('Entrada de materiais'!H6*'Custo Prod.'!$G$31)</f>
        <v>140</v>
      </c>
      <c r="H17" s="86">
        <f>('Entrada de materiais'!I5*'Custo Prod.'!$G$19)+('Entrada de materiais'!I6*'Custo Prod.'!$G$31)</f>
        <v>160</v>
      </c>
      <c r="I17" s="86">
        <f>('Entrada de materiais'!J5*'Custo Prod.'!$G$19)+('Entrada de materiais'!J6*'Custo Prod.'!$G$31)</f>
        <v>180</v>
      </c>
      <c r="J17" s="86">
        <f>('Entrada de materiais'!K5*'Custo Prod.'!$G$19)+('Entrada de materiais'!K6*'Custo Prod.'!$G$31)</f>
        <v>200</v>
      </c>
      <c r="K17" s="86">
        <f>('Entrada de materiais'!L5*'Custo Prod.'!$G$19)+('Entrada de materiais'!L6*'Custo Prod.'!$G$31)</f>
        <v>220</v>
      </c>
      <c r="L17" s="86">
        <f>('Entrada de materiais'!M5*'Custo Prod.'!$G$19)+('Entrada de materiais'!M6*'Custo Prod.'!$G$31)</f>
        <v>240</v>
      </c>
      <c r="M17" s="86">
        <f>('Entrada de materiais'!N5*'Custo Prod.'!$G$19)+('Entrada de materiais'!N6*'Custo Prod.'!$G$31)</f>
        <v>240</v>
      </c>
      <c r="N17" s="86">
        <f>('Entrada de materiais'!O5*'Custo Prod.'!$G$19)+('Entrada de materiais'!O6*'Custo Prod.'!$G$31)</f>
        <v>120</v>
      </c>
      <c r="O17" s="86">
        <f>('Entrada de materiais'!P5*'Custo Prod.'!$G$19)+('Entrada de materiais'!P6*'Custo Prod.'!$G$31)</f>
        <v>240</v>
      </c>
      <c r="P17" s="86">
        <f>('Entrada de materiais'!Q5*'Custo Prod.'!$G$19)+('Entrada de materiais'!Q6*'Custo Prod.'!$G$31)</f>
        <v>0</v>
      </c>
      <c r="Q17" s="86">
        <f>('Entrada de materiais'!R5*'Custo Prod.'!$G$19)+('Entrada de materiais'!R6*'Custo Prod.'!$G$31)</f>
        <v>0</v>
      </c>
      <c r="R17" s="86">
        <f>('Entrada de materiais'!S5*'Custo Prod.'!$G$19)+('Entrada de materiais'!S6*'Custo Prod.'!$G$31)</f>
        <v>0</v>
      </c>
      <c r="S17" s="86">
        <f>('Entrada de materiais'!T5*'Custo Prod.'!$G$19)+('Entrada de materiais'!T6*'Custo Prod.'!$G$31)</f>
        <v>0</v>
      </c>
      <c r="T17" s="86">
        <f>('Entrada de materiais'!U5*'Custo Prod.'!$G$19)+('Entrada de materiais'!U6*'Custo Prod.'!$G$31)</f>
        <v>0</v>
      </c>
      <c r="U17" s="86">
        <f>('Entrada de materiais'!V5*'Custo Prod.'!$G$19)+('Entrada de materiais'!V6*'Custo Prod.'!$G$31)</f>
        <v>0</v>
      </c>
      <c r="V17" s="86">
        <f>('Entrada de materiais'!W5*'Custo Prod.'!$G$19)+('Entrada de materiais'!W6*'Custo Prod.'!$G$31)</f>
        <v>0</v>
      </c>
      <c r="W17" s="86">
        <f>('Entrada de materiais'!X5*'Custo Prod.'!$G$19)+('Entrada de materiais'!X6*'Custo Prod.'!$G$31)</f>
        <v>0</v>
      </c>
      <c r="X17" s="86">
        <f>('Entrada de materiais'!Y5*'Custo Prod.'!$G$19)+('Entrada de materiais'!Y6*'Custo Prod.'!$G$31)</f>
        <v>0</v>
      </c>
      <c r="Y17" s="86">
        <f>('Entrada de materiais'!Z5*'Custo Prod.'!$G$19)+('Entrada de materiais'!Z6*'Custo Prod.'!$G$31)</f>
        <v>0</v>
      </c>
      <c r="Z17" s="86">
        <f>('Entrada de materiais'!AA5*'Custo Prod.'!$G$19)+('Entrada de materiais'!AA6*'Custo Prod.'!$G$31)</f>
        <v>0</v>
      </c>
      <c r="AA17" s="86">
        <f>('Entrada de materiais'!AB5*'Custo Prod.'!$G$19)+('Entrada de materiais'!AB6*'Custo Prod.'!$G$31)</f>
        <v>0</v>
      </c>
      <c r="AB17" s="86">
        <f>('Entrada de materiais'!AC5*'Custo Prod.'!$G$19)+('Entrada de materiais'!AC6*'Custo Prod.'!$G$31)</f>
        <v>0</v>
      </c>
      <c r="AC17" s="86">
        <f>('Entrada de materiais'!AD5*'Custo Prod.'!$G$19)+('Entrada de materiais'!AD6*'Custo Prod.'!$G$31)</f>
        <v>0</v>
      </c>
      <c r="AD17" s="86">
        <f>('Entrada de materiais'!AE5*'Custo Prod.'!$G$19)+('Entrada de materiais'!AE6*'Custo Prod.'!$G$31)</f>
        <v>0</v>
      </c>
      <c r="AE17" s="86">
        <f>('Entrada de materiais'!AF5*'Custo Prod.'!$G$19)+('Entrada de materiais'!AF6*'Custo Prod.'!$G$31)</f>
        <v>0</v>
      </c>
      <c r="AF17" s="86">
        <f>('Entrada de materiais'!AG5*'Custo Prod.'!$G$19)+('Entrada de materiais'!AG6*'Custo Prod.'!$G$31)</f>
        <v>0</v>
      </c>
      <c r="AG17" s="86">
        <f>('Entrada de materiais'!AH5*'Custo Prod.'!$G$19)+('Entrada de materiais'!AH6*'Custo Prod.'!$G$31)</f>
        <v>0</v>
      </c>
      <c r="AH17" s="86">
        <f>('Entrada de materiais'!AI5*'Custo Prod.'!$G$19)+('Entrada de materiais'!AI6*'Custo Prod.'!$G$31)</f>
        <v>0</v>
      </c>
    </row>
  </sheetData>
  <mergeCells count="1">
    <mergeCell ref="A3:B3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23"/>
  <sheetViews>
    <sheetView showGridLines="0" showZeros="0" zoomScaleNormal="100" workbookViewId="0">
      <selection activeCell="L13" sqref="L13:L16"/>
    </sheetView>
  </sheetViews>
  <sheetFormatPr defaultColWidth="9.1796875" defaultRowHeight="12.5" x14ac:dyDescent="0.25"/>
  <cols>
    <col min="1" max="1" width="4" style="30" customWidth="1"/>
    <col min="2" max="2" width="9.26953125" style="31" bestFit="1" customWidth="1"/>
    <col min="3" max="3" width="34.1796875" style="31" customWidth="1"/>
    <col min="4" max="4" width="9.1796875" style="30"/>
    <col min="5" max="5" width="10.26953125" style="30" bestFit="1" customWidth="1"/>
    <col min="6" max="6" width="17.81640625" style="30" bestFit="1" customWidth="1"/>
    <col min="7" max="7" width="15.54296875" style="30" bestFit="1" customWidth="1"/>
    <col min="8" max="8" width="13.1796875" style="30" customWidth="1"/>
    <col min="9" max="9" width="16.54296875" style="30" bestFit="1" customWidth="1"/>
    <col min="10" max="10" width="13.7265625" style="30" bestFit="1" customWidth="1"/>
    <col min="11" max="13" width="9.1796875" style="30" customWidth="1"/>
    <col min="14" max="16384" width="9.1796875" style="30"/>
  </cols>
  <sheetData>
    <row r="1" spans="2:10" ht="18.5" thickBot="1" x14ac:dyDescent="0.3">
      <c r="B1" s="699" t="s">
        <v>36</v>
      </c>
      <c r="C1" s="699"/>
      <c r="D1" s="59"/>
      <c r="F1" s="700">
        <f ca="1">TODAY()</f>
        <v>46202</v>
      </c>
      <c r="G1" s="701"/>
    </row>
    <row r="2" spans="2:10" ht="13" thickTop="1" x14ac:dyDescent="0.25">
      <c r="B2" s="698"/>
      <c r="C2" s="698"/>
      <c r="E2" s="44"/>
    </row>
    <row r="3" spans="2:10" ht="15.75" customHeight="1" x14ac:dyDescent="0.25">
      <c r="B3" s="704" t="s">
        <v>35</v>
      </c>
      <c r="C3" s="705"/>
      <c r="D3" s="705"/>
      <c r="E3" s="705"/>
      <c r="F3" s="705"/>
      <c r="G3" s="705"/>
      <c r="H3" s="705"/>
      <c r="I3" s="705"/>
    </row>
    <row r="4" spans="2:10" ht="13.5" thickBot="1" x14ac:dyDescent="0.35">
      <c r="B4" s="57"/>
      <c r="C4" s="57"/>
      <c r="D4" s="57"/>
      <c r="E4" s="57"/>
      <c r="F4" s="58"/>
      <c r="G4" s="57"/>
    </row>
    <row r="5" spans="2:10" ht="13.5" customHeight="1" thickBot="1" x14ac:dyDescent="0.3">
      <c r="B5" s="56" t="s">
        <v>31</v>
      </c>
      <c r="C5" s="55" t="s">
        <v>30</v>
      </c>
      <c r="D5" s="55" t="s">
        <v>29</v>
      </c>
      <c r="E5" s="55" t="s">
        <v>106</v>
      </c>
      <c r="F5" s="55" t="s">
        <v>107</v>
      </c>
      <c r="G5" s="55" t="s">
        <v>94</v>
      </c>
      <c r="H5" s="54" t="s">
        <v>95</v>
      </c>
      <c r="I5" s="55" t="s">
        <v>96</v>
      </c>
      <c r="J5" s="55" t="s">
        <v>97</v>
      </c>
    </row>
    <row r="6" spans="2:10" x14ac:dyDescent="0.25">
      <c r="B6" s="39">
        <v>10</v>
      </c>
      <c r="C6" s="38" t="s">
        <v>34</v>
      </c>
      <c r="D6" s="53" t="s">
        <v>17</v>
      </c>
      <c r="E6" s="53">
        <v>10</v>
      </c>
      <c r="F6" s="240">
        <f>SUM('Entrada de materiais'!D5:AJ5)-SUM('Saída de materiais'!D5:AH5)</f>
        <v>80</v>
      </c>
      <c r="G6" s="51">
        <f>'Custo Prod.'!J20</f>
        <v>495.48</v>
      </c>
      <c r="H6" s="33">
        <f>IF(F6&gt;0,SUM(F6*G6)," ")</f>
        <v>39638.400000000001</v>
      </c>
      <c r="I6" s="51">
        <v>840</v>
      </c>
      <c r="J6" s="33">
        <f>SUM((F6+E6)*I6)</f>
        <v>75600</v>
      </c>
    </row>
    <row r="7" spans="2:10" ht="13" x14ac:dyDescent="0.3">
      <c r="B7" s="39">
        <v>20</v>
      </c>
      <c r="C7" s="38" t="s">
        <v>33</v>
      </c>
      <c r="D7" s="53" t="s">
        <v>17</v>
      </c>
      <c r="E7" s="53"/>
      <c r="F7" s="52"/>
      <c r="G7" s="51">
        <f>'Custo Prod.'!J32</f>
        <v>69</v>
      </c>
      <c r="H7" s="33" t="str">
        <f>IF(F7&gt;0,SUM(F7*G7)," ")</f>
        <v xml:space="preserve"> </v>
      </c>
      <c r="I7" s="51">
        <v>400</v>
      </c>
      <c r="J7" s="33">
        <f>SUM((F7+E7)*I7)</f>
        <v>0</v>
      </c>
    </row>
    <row r="8" spans="2:10" ht="13" x14ac:dyDescent="0.3">
      <c r="B8" s="47"/>
      <c r="C8" s="47"/>
      <c r="D8" s="50"/>
      <c r="E8" s="50"/>
      <c r="F8" s="49"/>
      <c r="G8" s="48"/>
      <c r="H8" s="32">
        <f>SUM(H6:H7)</f>
        <v>39638.400000000001</v>
      </c>
      <c r="J8" s="32">
        <f>SUM(J6:J7)</f>
        <v>75600</v>
      </c>
    </row>
    <row r="9" spans="2:10" ht="14.5" x14ac:dyDescent="0.35">
      <c r="B9" s="47"/>
      <c r="F9" s="46"/>
      <c r="G9" s="46"/>
    </row>
    <row r="10" spans="2:10" ht="15.75" customHeight="1" x14ac:dyDescent="0.25">
      <c r="B10" s="702" t="s">
        <v>32</v>
      </c>
      <c r="C10" s="703"/>
      <c r="D10" s="703"/>
      <c r="E10" s="703"/>
      <c r="F10" s="703"/>
      <c r="G10" s="703"/>
      <c r="H10" s="703"/>
      <c r="I10" s="703"/>
    </row>
    <row r="11" spans="2:10" ht="13" thickBot="1" x14ac:dyDescent="0.3">
      <c r="B11" s="45"/>
      <c r="C11" s="45"/>
      <c r="E11" s="44"/>
    </row>
    <row r="12" spans="2:10" ht="28.5" customHeight="1" thickBot="1" x14ac:dyDescent="0.3">
      <c r="B12" s="43" t="s">
        <v>31</v>
      </c>
      <c r="C12" s="41" t="s">
        <v>30</v>
      </c>
      <c r="D12" s="41" t="s">
        <v>29</v>
      </c>
      <c r="E12" s="42" t="s">
        <v>28</v>
      </c>
      <c r="F12" s="41" t="s">
        <v>27</v>
      </c>
      <c r="G12" s="41" t="s">
        <v>26</v>
      </c>
      <c r="H12" s="40" t="s">
        <v>25</v>
      </c>
      <c r="I12" s="202" t="s">
        <v>91</v>
      </c>
    </row>
    <row r="13" spans="2:10" ht="13" x14ac:dyDescent="0.3">
      <c r="B13" s="39">
        <v>130</v>
      </c>
      <c r="C13" s="38" t="s">
        <v>24</v>
      </c>
      <c r="D13" s="37" t="s">
        <v>19</v>
      </c>
      <c r="E13" s="35">
        <f>F13/25</f>
        <v>0</v>
      </c>
      <c r="F13" s="35">
        <f>('Entrada de materiais'!C11-'Saída de materiais'!C11)</f>
        <v>0</v>
      </c>
      <c r="G13" s="34">
        <f>'Custo Prod.'!D2</f>
        <v>693</v>
      </c>
      <c r="H13" s="33" t="str">
        <f t="shared" ref="H13:H18" si="0">IF(E13&gt;0,SUM(E13*G13)," ")</f>
        <v xml:space="preserve"> </v>
      </c>
      <c r="I13" s="35">
        <f>F13/12.5</f>
        <v>0</v>
      </c>
    </row>
    <row r="14" spans="2:10" ht="13" x14ac:dyDescent="0.3">
      <c r="B14" s="39">
        <v>140</v>
      </c>
      <c r="C14" s="38" t="s">
        <v>23</v>
      </c>
      <c r="D14" s="37" t="s">
        <v>19</v>
      </c>
      <c r="E14" s="35">
        <f>F14/25</f>
        <v>72</v>
      </c>
      <c r="F14" s="35">
        <f>('Entrada de materiais'!C12-'Saída de materiais'!C12)</f>
        <v>1800</v>
      </c>
      <c r="G14" s="34">
        <f>'Custo Prod.'!D3</f>
        <v>214.1</v>
      </c>
      <c r="H14" s="33">
        <f t="shared" si="0"/>
        <v>15415.199999999999</v>
      </c>
      <c r="I14" s="35">
        <f>F14/7.5</f>
        <v>240</v>
      </c>
    </row>
    <row r="15" spans="2:10" ht="13" x14ac:dyDescent="0.3">
      <c r="B15" s="39">
        <v>150</v>
      </c>
      <c r="C15" s="38" t="s">
        <v>22</v>
      </c>
      <c r="D15" s="37" t="s">
        <v>19</v>
      </c>
      <c r="E15" s="35">
        <f>F15/20</f>
        <v>60</v>
      </c>
      <c r="F15" s="35">
        <f>('Entrada de materiais'!C13-'Saída de materiais'!C13)</f>
        <v>1200</v>
      </c>
      <c r="G15" s="34">
        <f>'Custo Prod.'!D4</f>
        <v>300.60000000000002</v>
      </c>
      <c r="H15" s="33">
        <f t="shared" si="0"/>
        <v>18036</v>
      </c>
      <c r="I15" s="35">
        <f>F15/5</f>
        <v>240</v>
      </c>
    </row>
    <row r="16" spans="2:10" ht="13" x14ac:dyDescent="0.3">
      <c r="B16" s="39">
        <v>160</v>
      </c>
      <c r="C16" s="38" t="s">
        <v>21</v>
      </c>
      <c r="D16" s="37" t="s">
        <v>19</v>
      </c>
      <c r="E16" s="35">
        <f>F16/25</f>
        <v>0</v>
      </c>
      <c r="F16" s="35">
        <f>('Entrada de materiais'!C14-'Saída de materiais'!C14)</f>
        <v>0</v>
      </c>
      <c r="G16" s="34">
        <f>'Custo Prod.'!D6</f>
        <v>8.1</v>
      </c>
      <c r="H16" s="33" t="str">
        <f t="shared" si="0"/>
        <v xml:space="preserve"> </v>
      </c>
    </row>
    <row r="17" spans="2:8" ht="13" x14ac:dyDescent="0.3">
      <c r="B17" s="39">
        <v>170</v>
      </c>
      <c r="C17" s="38" t="s">
        <v>20</v>
      </c>
      <c r="D17" s="37" t="s">
        <v>19</v>
      </c>
      <c r="E17" s="35">
        <f>F17/25</f>
        <v>0</v>
      </c>
      <c r="F17" s="35">
        <f>('Entrada de materiais'!C15-'Saída de materiais'!C15)</f>
        <v>0</v>
      </c>
      <c r="G17" s="34">
        <f>'Custo Prod.'!D5</f>
        <v>0</v>
      </c>
      <c r="H17" s="33" t="str">
        <f t="shared" si="0"/>
        <v xml:space="preserve"> </v>
      </c>
    </row>
    <row r="18" spans="2:8" ht="13" x14ac:dyDescent="0.3">
      <c r="B18" s="39">
        <v>180</v>
      </c>
      <c r="C18" s="38" t="s">
        <v>18</v>
      </c>
      <c r="D18" s="37" t="s">
        <v>17</v>
      </c>
      <c r="E18" s="36">
        <f>F18/1</f>
        <v>280</v>
      </c>
      <c r="F18" s="35">
        <f>('Entrada de materiais'!C16-'Saída de materiais'!C16)</f>
        <v>280</v>
      </c>
      <c r="G18" s="34">
        <f>'Custo Prod.'!D7</f>
        <v>1.5</v>
      </c>
      <c r="H18" s="33">
        <f t="shared" si="0"/>
        <v>420</v>
      </c>
    </row>
    <row r="19" spans="2:8" ht="13" x14ac:dyDescent="0.3">
      <c r="B19" s="39">
        <v>190</v>
      </c>
      <c r="C19" s="38" t="s">
        <v>77</v>
      </c>
      <c r="D19" s="37" t="s">
        <v>17</v>
      </c>
      <c r="E19" s="36">
        <f>F19/1</f>
        <v>280</v>
      </c>
      <c r="F19" s="35">
        <f>('Entrada de materiais'!C17-'Saída de materiais'!C17)</f>
        <v>280</v>
      </c>
      <c r="G19" s="34">
        <f>'Custo Prod.'!D8</f>
        <v>0</v>
      </c>
      <c r="H19" s="33">
        <f t="shared" ref="H19" si="1">IF(E19&gt;0,SUM(E19*G19)," ")</f>
        <v>0</v>
      </c>
    </row>
    <row r="20" spans="2:8" x14ac:dyDescent="0.25">
      <c r="H20" s="32">
        <f>SUM(H14:H18)</f>
        <v>33871.199999999997</v>
      </c>
    </row>
    <row r="23" spans="2:8" x14ac:dyDescent="0.25">
      <c r="E23" s="548"/>
      <c r="F23" s="548"/>
    </row>
  </sheetData>
  <mergeCells count="5">
    <mergeCell ref="B2:C2"/>
    <mergeCell ref="B1:C1"/>
    <mergeCell ref="F1:G1"/>
    <mergeCell ref="B10:I10"/>
    <mergeCell ref="B3:I3"/>
  </mergeCells>
  <conditionalFormatting sqref="F7:F8 E13:F18">
    <cfRule type="cellIs" dxfId="2413" priority="4" stopIfTrue="1" operator="lessThan">
      <formula>0</formula>
    </cfRule>
  </conditionalFormatting>
  <conditionalFormatting sqref="I13:I15">
    <cfRule type="cellIs" dxfId="2412" priority="3" stopIfTrue="1" operator="lessThan">
      <formula>0</formula>
    </cfRule>
  </conditionalFormatting>
  <conditionalFormatting sqref="F6">
    <cfRule type="cellIs" dxfId="2411" priority="2" stopIfTrue="1" operator="lessThan">
      <formula>0</formula>
    </cfRule>
  </conditionalFormatting>
  <conditionalFormatting sqref="E19:F19">
    <cfRule type="cellIs" dxfId="2410" priority="1" stopIfTrue="1" operator="lessThan">
      <formula>0</formula>
    </cfRule>
  </conditionalFormatting>
  <pageMargins left="0.59055118110236227" right="0.39370078740157483" top="0.39370078740157483" bottom="0.39370078740157483" header="0.51181102362204722" footer="0.51181102362204722"/>
  <pageSetup scale="78" orientation="portrait" horizontalDpi="300" verticalDpi="300" r:id="rId1"/>
  <headerFooter alignWithMargins="0"/>
  <ignoredErrors>
    <ignoredError sqref="E1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75"/>
  <sheetViews>
    <sheetView zoomScale="80" zoomScaleNormal="80" workbookViewId="0">
      <pane xSplit="2" ySplit="3" topLeftCell="C79" activePane="bottomRight" state="frozen"/>
      <selection activeCell="L13" sqref="L13:L16"/>
      <selection pane="topRight" activeCell="L13" sqref="L13:L16"/>
      <selection pane="bottomLeft" activeCell="L13" sqref="L13:L16"/>
      <selection pane="bottomRight" activeCell="L13" sqref="L13:L16"/>
    </sheetView>
  </sheetViews>
  <sheetFormatPr defaultRowHeight="14.5" x14ac:dyDescent="0.35"/>
  <cols>
    <col min="1" max="1" width="31.54296875" customWidth="1"/>
    <col min="2" max="2" width="17.453125" bestFit="1" customWidth="1"/>
    <col min="3" max="3" width="15.26953125" bestFit="1" customWidth="1"/>
    <col min="4" max="4" width="17.81640625" bestFit="1" customWidth="1"/>
    <col min="5" max="5" width="14.81640625" bestFit="1" customWidth="1"/>
    <col min="6" max="8" width="15.26953125" bestFit="1" customWidth="1"/>
    <col min="9" max="9" width="16.26953125" customWidth="1"/>
    <col min="10" max="10" width="18" bestFit="1" customWidth="1"/>
    <col min="11" max="11" width="15.26953125" bestFit="1" customWidth="1"/>
    <col min="12" max="13" width="15.7265625" style="171" customWidth="1"/>
    <col min="14" max="14" width="15.26953125" bestFit="1" customWidth="1"/>
    <col min="15" max="15" width="16.26953125" customWidth="1"/>
    <col min="16" max="16" width="14.26953125" bestFit="1" customWidth="1"/>
    <col min="17" max="17" width="16.54296875" customWidth="1"/>
    <col min="18" max="18" width="15.1796875" bestFit="1" customWidth="1"/>
    <col min="19" max="21" width="14.26953125" bestFit="1" customWidth="1"/>
    <col min="22" max="22" width="13.81640625" bestFit="1" customWidth="1"/>
    <col min="23" max="24" width="14.26953125" bestFit="1" customWidth="1"/>
    <col min="25" max="25" width="13.81640625" bestFit="1" customWidth="1"/>
    <col min="26" max="30" width="14.26953125" bestFit="1" customWidth="1"/>
    <col min="31" max="33" width="14.26953125" customWidth="1"/>
  </cols>
  <sheetData>
    <row r="1" spans="1:32" ht="15" thickBot="1" x14ac:dyDescent="0.4">
      <c r="A1" s="147" t="s">
        <v>62</v>
      </c>
      <c r="B1" s="220">
        <f>(B3-B12)</f>
        <v>-2300.0000000002328</v>
      </c>
      <c r="C1" s="220">
        <f t="shared" ref="C1:N1" si="0">(C3-C12)</f>
        <v>-11985.510000000009</v>
      </c>
      <c r="D1" s="220">
        <f t="shared" si="0"/>
        <v>-39105.320000000007</v>
      </c>
      <c r="E1" s="220">
        <f t="shared" si="0"/>
        <v>25353.83</v>
      </c>
      <c r="F1" s="220">
        <f t="shared" si="0"/>
        <v>18286.72</v>
      </c>
      <c r="G1" s="220">
        <f t="shared" si="0"/>
        <v>43270.48000000001</v>
      </c>
      <c r="H1" s="220">
        <f t="shared" si="0"/>
        <v>-41580.859999999986</v>
      </c>
      <c r="I1" s="220">
        <f t="shared" si="0"/>
        <v>33201.06</v>
      </c>
      <c r="J1" s="220">
        <f t="shared" si="0"/>
        <v>35478.98000000004</v>
      </c>
      <c r="K1" s="220">
        <f t="shared" si="0"/>
        <v>-45419.44</v>
      </c>
      <c r="L1" s="220">
        <f t="shared" si="0"/>
        <v>-23952.28</v>
      </c>
      <c r="M1" s="220">
        <f t="shared" si="0"/>
        <v>7660.6699999999837</v>
      </c>
      <c r="N1" s="220">
        <f t="shared" si="0"/>
        <v>22356.67</v>
      </c>
    </row>
    <row r="2" spans="1:32" ht="15" thickBot="1" x14ac:dyDescent="0.4">
      <c r="A2" s="714" t="s">
        <v>133</v>
      </c>
      <c r="B2" s="715"/>
      <c r="C2" s="148">
        <v>43831</v>
      </c>
      <c r="D2" s="148">
        <v>43862</v>
      </c>
      <c r="E2" s="148">
        <v>43891</v>
      </c>
      <c r="F2" s="148">
        <v>43922</v>
      </c>
      <c r="G2" s="148">
        <v>43952</v>
      </c>
      <c r="H2" s="148">
        <v>43983</v>
      </c>
      <c r="I2" s="148">
        <v>44013</v>
      </c>
      <c r="J2" s="148">
        <v>44044</v>
      </c>
      <c r="K2" s="148">
        <v>44075</v>
      </c>
      <c r="L2" s="148">
        <v>44105</v>
      </c>
      <c r="M2" s="148">
        <v>44136</v>
      </c>
      <c r="N2" s="148">
        <v>44166</v>
      </c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</row>
    <row r="3" spans="1:32" ht="15" thickBot="1" x14ac:dyDescent="0.4">
      <c r="A3" s="203" t="s">
        <v>63</v>
      </c>
      <c r="B3" s="149">
        <f t="shared" ref="B3:AF3" si="1">SUM(B4:B11)</f>
        <v>1834560</v>
      </c>
      <c r="C3" s="149">
        <f t="shared" si="1"/>
        <v>189580</v>
      </c>
      <c r="D3" s="149">
        <f t="shared" si="1"/>
        <v>104150</v>
      </c>
      <c r="E3" s="149">
        <f t="shared" si="1"/>
        <v>126290</v>
      </c>
      <c r="F3" s="149">
        <f t="shared" si="1"/>
        <v>107660</v>
      </c>
      <c r="G3" s="149">
        <f t="shared" si="1"/>
        <v>169030</v>
      </c>
      <c r="H3" s="149">
        <f t="shared" si="1"/>
        <v>154510</v>
      </c>
      <c r="I3" s="149">
        <f t="shared" si="1"/>
        <v>181620</v>
      </c>
      <c r="J3" s="149">
        <f t="shared" si="1"/>
        <v>202040</v>
      </c>
      <c r="K3" s="149">
        <f t="shared" si="1"/>
        <v>123550</v>
      </c>
      <c r="L3" s="149">
        <f t="shared" si="1"/>
        <v>156160</v>
      </c>
      <c r="M3" s="149">
        <f t="shared" si="1"/>
        <v>172610</v>
      </c>
      <c r="N3" s="149">
        <f t="shared" si="1"/>
        <v>147360</v>
      </c>
      <c r="O3" s="149">
        <f t="shared" si="1"/>
        <v>0</v>
      </c>
      <c r="P3" s="149">
        <f t="shared" si="1"/>
        <v>0</v>
      </c>
      <c r="Q3" s="149">
        <f t="shared" si="1"/>
        <v>0</v>
      </c>
      <c r="R3" s="149">
        <f t="shared" si="1"/>
        <v>0</v>
      </c>
      <c r="S3" s="149">
        <f t="shared" si="1"/>
        <v>0</v>
      </c>
      <c r="T3" s="149">
        <f t="shared" si="1"/>
        <v>0</v>
      </c>
      <c r="U3" s="149">
        <f t="shared" si="1"/>
        <v>0</v>
      </c>
      <c r="V3" s="149">
        <f t="shared" si="1"/>
        <v>0</v>
      </c>
      <c r="W3" s="149">
        <f t="shared" si="1"/>
        <v>0</v>
      </c>
      <c r="X3" s="149">
        <f t="shared" si="1"/>
        <v>0</v>
      </c>
      <c r="Y3" s="149">
        <f t="shared" si="1"/>
        <v>0</v>
      </c>
      <c r="Z3" s="149">
        <f t="shared" si="1"/>
        <v>0</v>
      </c>
      <c r="AA3" s="149">
        <f t="shared" si="1"/>
        <v>0</v>
      </c>
      <c r="AB3" s="149">
        <f t="shared" si="1"/>
        <v>0</v>
      </c>
      <c r="AC3" s="149">
        <f t="shared" si="1"/>
        <v>0</v>
      </c>
      <c r="AD3" s="149">
        <f t="shared" si="1"/>
        <v>0</v>
      </c>
      <c r="AE3" s="149">
        <f t="shared" si="1"/>
        <v>0</v>
      </c>
      <c r="AF3" s="149">
        <f t="shared" si="1"/>
        <v>0</v>
      </c>
    </row>
    <row r="4" spans="1:32" x14ac:dyDescent="0.35">
      <c r="A4" s="150" t="s">
        <v>273</v>
      </c>
      <c r="B4" s="151">
        <f t="shared" ref="B4:B18" si="2">SUM(C4:AF4)</f>
        <v>82250</v>
      </c>
      <c r="C4" s="152">
        <v>67650</v>
      </c>
      <c r="D4" s="152"/>
      <c r="E4" s="152"/>
      <c r="F4" s="152"/>
      <c r="G4" s="152">
        <v>14600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C4" s="219"/>
      <c r="AD4" s="152"/>
      <c r="AE4" s="152"/>
      <c r="AF4" s="152"/>
    </row>
    <row r="5" spans="1:32" x14ac:dyDescent="0.35">
      <c r="A5" s="150" t="s">
        <v>64</v>
      </c>
      <c r="B5" s="151">
        <f t="shared" si="2"/>
        <v>1752310</v>
      </c>
      <c r="C5" s="152">
        <f>'Vendas - JAN'!G101</f>
        <v>121930</v>
      </c>
      <c r="D5" s="152">
        <f>'Vendas - FEV'!G101</f>
        <v>104150</v>
      </c>
      <c r="E5" s="152">
        <f>'Vendas - MAR'!G101</f>
        <v>126290</v>
      </c>
      <c r="F5" s="152">
        <f>'Vendas - ABR'!G101</f>
        <v>107660</v>
      </c>
      <c r="G5" s="152">
        <f>'Vendas - MAI'!G101</f>
        <v>154430</v>
      </c>
      <c r="H5" s="152">
        <f>'Vendas - JUN'!G101</f>
        <v>154510</v>
      </c>
      <c r="I5" s="152">
        <f>'Vendas - JUL'!G101</f>
        <v>181620</v>
      </c>
      <c r="J5" s="152">
        <f>'Vendas - AGO'!G101</f>
        <v>202040</v>
      </c>
      <c r="K5" s="152">
        <f>'Vendas - SET'!G101</f>
        <v>123550</v>
      </c>
      <c r="L5" s="152">
        <f>'Vendas - OUT'!G101</f>
        <v>156160</v>
      </c>
      <c r="M5" s="152">
        <f>'Vendas - NOV'!G101</f>
        <v>172610</v>
      </c>
      <c r="N5" s="152">
        <f>'Vendas - DEZ'!G101</f>
        <v>147360</v>
      </c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219"/>
      <c r="AC5" s="152"/>
      <c r="AD5" s="152"/>
      <c r="AE5" s="152"/>
      <c r="AF5" s="152"/>
    </row>
    <row r="6" spans="1:32" x14ac:dyDescent="0.35">
      <c r="A6" s="153" t="s">
        <v>130</v>
      </c>
      <c r="B6" s="151">
        <f t="shared" si="2"/>
        <v>0</v>
      </c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</row>
    <row r="7" spans="1:32" x14ac:dyDescent="0.35">
      <c r="A7" s="153" t="s">
        <v>131</v>
      </c>
      <c r="B7" s="151">
        <f t="shared" si="2"/>
        <v>0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</row>
    <row r="8" spans="1:32" x14ac:dyDescent="0.35">
      <c r="A8" s="153" t="s">
        <v>132</v>
      </c>
      <c r="B8" s="151">
        <f t="shared" si="2"/>
        <v>0</v>
      </c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</row>
    <row r="9" spans="1:32" x14ac:dyDescent="0.35">
      <c r="A9" s="153"/>
      <c r="B9" s="151">
        <f t="shared" si="2"/>
        <v>0</v>
      </c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</row>
    <row r="10" spans="1:32" x14ac:dyDescent="0.35">
      <c r="A10" s="153"/>
      <c r="B10" s="151">
        <f t="shared" si="2"/>
        <v>0</v>
      </c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</row>
    <row r="11" spans="1:32" ht="15" thickBot="1" x14ac:dyDescent="0.4">
      <c r="A11" s="221"/>
      <c r="B11" s="151">
        <f t="shared" si="2"/>
        <v>0</v>
      </c>
      <c r="C11" s="215"/>
      <c r="D11" s="215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</row>
    <row r="12" spans="1:32" ht="15" thickBot="1" x14ac:dyDescent="0.4">
      <c r="A12" s="159" t="s">
        <v>65</v>
      </c>
      <c r="B12" s="160">
        <f t="shared" si="2"/>
        <v>1836860.0000000002</v>
      </c>
      <c r="C12" s="160">
        <f>SUM(C13+C47,C78+C62+C56+C74+C110)</f>
        <v>201565.51</v>
      </c>
      <c r="D12" s="160">
        <f t="shared" ref="D12:AF12" si="3">SUM(,D47,D78+D62+D13+D56+D74+D110)</f>
        <v>143255.32</v>
      </c>
      <c r="E12" s="160">
        <f t="shared" si="3"/>
        <v>100936.17</v>
      </c>
      <c r="F12" s="160">
        <f t="shared" si="3"/>
        <v>89373.28</v>
      </c>
      <c r="G12" s="160">
        <f t="shared" si="3"/>
        <v>125759.51999999999</v>
      </c>
      <c r="H12" s="160">
        <f t="shared" si="3"/>
        <v>196090.86</v>
      </c>
      <c r="I12" s="160">
        <f t="shared" si="3"/>
        <v>148418.94</v>
      </c>
      <c r="J12" s="160">
        <f t="shared" si="3"/>
        <v>166561.01999999996</v>
      </c>
      <c r="K12" s="160">
        <f t="shared" si="3"/>
        <v>168969.44</v>
      </c>
      <c r="L12" s="160">
        <f t="shared" si="3"/>
        <v>180112.28</v>
      </c>
      <c r="M12" s="160">
        <f t="shared" si="3"/>
        <v>164949.33000000002</v>
      </c>
      <c r="N12" s="160">
        <f t="shared" si="3"/>
        <v>125003.33</v>
      </c>
      <c r="O12" s="160">
        <f t="shared" si="3"/>
        <v>25000</v>
      </c>
      <c r="P12" s="160">
        <f t="shared" si="3"/>
        <v>865</v>
      </c>
      <c r="Q12" s="160">
        <f t="shared" si="3"/>
        <v>0</v>
      </c>
      <c r="R12" s="160">
        <f t="shared" si="3"/>
        <v>0</v>
      </c>
      <c r="S12" s="160">
        <f t="shared" si="3"/>
        <v>0</v>
      </c>
      <c r="T12" s="160">
        <f t="shared" si="3"/>
        <v>0</v>
      </c>
      <c r="U12" s="160">
        <f t="shared" si="3"/>
        <v>0</v>
      </c>
      <c r="V12" s="160">
        <f t="shared" si="3"/>
        <v>0</v>
      </c>
      <c r="W12" s="160">
        <f t="shared" si="3"/>
        <v>0</v>
      </c>
      <c r="X12" s="160">
        <f t="shared" si="3"/>
        <v>0</v>
      </c>
      <c r="Y12" s="160">
        <f t="shared" si="3"/>
        <v>0</v>
      </c>
      <c r="Z12" s="160">
        <f t="shared" si="3"/>
        <v>0</v>
      </c>
      <c r="AA12" s="160">
        <f t="shared" si="3"/>
        <v>0</v>
      </c>
      <c r="AB12" s="160">
        <f t="shared" si="3"/>
        <v>0</v>
      </c>
      <c r="AC12" s="160">
        <f t="shared" si="3"/>
        <v>0</v>
      </c>
      <c r="AD12" s="160">
        <f t="shared" si="3"/>
        <v>0</v>
      </c>
      <c r="AE12" s="160">
        <f t="shared" si="3"/>
        <v>0</v>
      </c>
      <c r="AF12" s="160">
        <f t="shared" si="3"/>
        <v>0</v>
      </c>
    </row>
    <row r="13" spans="1:32" ht="15" thickBot="1" x14ac:dyDescent="0.4">
      <c r="A13" s="200" t="s">
        <v>66</v>
      </c>
      <c r="B13" s="201">
        <f t="shared" si="2"/>
        <v>92703.319999999992</v>
      </c>
      <c r="C13" s="201">
        <f t="shared" ref="C13:AF13" si="4">SUM(C14:C46)</f>
        <v>42868.73</v>
      </c>
      <c r="D13" s="201">
        <f t="shared" si="4"/>
        <v>10822.5</v>
      </c>
      <c r="E13" s="201">
        <f t="shared" si="4"/>
        <v>-5810</v>
      </c>
      <c r="F13" s="201">
        <f t="shared" si="4"/>
        <v>3850</v>
      </c>
      <c r="G13" s="201">
        <f t="shared" si="4"/>
        <v>1400</v>
      </c>
      <c r="H13" s="201">
        <f t="shared" si="4"/>
        <v>2000</v>
      </c>
      <c r="I13" s="201">
        <f t="shared" si="4"/>
        <v>-4460</v>
      </c>
      <c r="J13" s="201">
        <f t="shared" si="4"/>
        <v>150</v>
      </c>
      <c r="K13" s="201">
        <f t="shared" si="4"/>
        <v>1000</v>
      </c>
      <c r="L13" s="201">
        <f t="shared" si="4"/>
        <v>5500</v>
      </c>
      <c r="M13" s="201">
        <f t="shared" si="4"/>
        <v>17000.8</v>
      </c>
      <c r="N13" s="201">
        <f t="shared" si="4"/>
        <v>-7483.71</v>
      </c>
      <c r="O13" s="201">
        <f t="shared" si="4"/>
        <v>25000</v>
      </c>
      <c r="P13" s="201">
        <f t="shared" si="4"/>
        <v>865</v>
      </c>
      <c r="Q13" s="201">
        <f t="shared" si="4"/>
        <v>0</v>
      </c>
      <c r="R13" s="201">
        <f t="shared" si="4"/>
        <v>0</v>
      </c>
      <c r="S13" s="201">
        <f t="shared" si="4"/>
        <v>0</v>
      </c>
      <c r="T13" s="201">
        <f t="shared" si="4"/>
        <v>0</v>
      </c>
      <c r="U13" s="201">
        <f t="shared" si="4"/>
        <v>0</v>
      </c>
      <c r="V13" s="201">
        <f t="shared" si="4"/>
        <v>0</v>
      </c>
      <c r="W13" s="201">
        <f t="shared" si="4"/>
        <v>0</v>
      </c>
      <c r="X13" s="201">
        <f t="shared" si="4"/>
        <v>0</v>
      </c>
      <c r="Y13" s="201">
        <f t="shared" si="4"/>
        <v>0</v>
      </c>
      <c r="Z13" s="201">
        <f t="shared" si="4"/>
        <v>0</v>
      </c>
      <c r="AA13" s="201">
        <f t="shared" si="4"/>
        <v>0</v>
      </c>
      <c r="AB13" s="201">
        <f t="shared" si="4"/>
        <v>0</v>
      </c>
      <c r="AC13" s="201">
        <f t="shared" si="4"/>
        <v>0</v>
      </c>
      <c r="AD13" s="201">
        <f t="shared" si="4"/>
        <v>0</v>
      </c>
      <c r="AE13" s="201">
        <f t="shared" si="4"/>
        <v>0</v>
      </c>
      <c r="AF13" s="201">
        <f t="shared" si="4"/>
        <v>0</v>
      </c>
    </row>
    <row r="14" spans="1:32" x14ac:dyDescent="0.35">
      <c r="A14" s="163" t="s">
        <v>147</v>
      </c>
      <c r="B14" s="151">
        <f t="shared" si="2"/>
        <v>496.29</v>
      </c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>
        <v>496.29</v>
      </c>
      <c r="O14" s="152"/>
      <c r="P14" s="152"/>
      <c r="Q14" s="152"/>
      <c r="R14" s="164"/>
      <c r="S14" s="164"/>
      <c r="T14" s="152"/>
      <c r="U14" s="164"/>
      <c r="V14" s="164"/>
      <c r="W14" s="164"/>
      <c r="X14" s="165"/>
      <c r="Y14" s="164"/>
      <c r="Z14" s="152"/>
      <c r="AA14" s="164"/>
      <c r="AB14" s="164"/>
      <c r="AC14" s="164"/>
      <c r="AD14" s="164"/>
      <c r="AE14" s="152"/>
      <c r="AF14" s="152"/>
    </row>
    <row r="15" spans="1:32" x14ac:dyDescent="0.35">
      <c r="A15" s="156" t="s">
        <v>260</v>
      </c>
      <c r="B15" s="151">
        <f t="shared" si="2"/>
        <v>0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2"/>
      <c r="N15" s="152"/>
      <c r="O15" s="2"/>
      <c r="P15" s="152"/>
      <c r="Q15" s="152"/>
      <c r="R15" s="152"/>
      <c r="S15" s="166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</row>
    <row r="16" spans="1:32" x14ac:dyDescent="0.35">
      <c r="A16" s="156" t="s">
        <v>93</v>
      </c>
      <c r="B16" s="151">
        <f t="shared" si="2"/>
        <v>910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>
        <v>710</v>
      </c>
      <c r="N16" s="152">
        <v>200</v>
      </c>
      <c r="O16" s="152"/>
      <c r="P16" s="152"/>
      <c r="Q16" s="152"/>
      <c r="R16" s="152"/>
      <c r="S16" s="166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</row>
    <row r="17" spans="1:32" x14ac:dyDescent="0.35">
      <c r="A17" s="156" t="s">
        <v>259</v>
      </c>
      <c r="B17" s="151">
        <f t="shared" ref="B17" si="5">SUM(C17:AF17)</f>
        <v>17540</v>
      </c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>
        <v>10270</v>
      </c>
      <c r="N17" s="152">
        <v>7270</v>
      </c>
      <c r="O17" s="152"/>
      <c r="P17" s="152"/>
      <c r="Q17" s="152"/>
      <c r="R17" s="152"/>
      <c r="S17" s="166"/>
      <c r="T17" s="152"/>
      <c r="U17" s="152"/>
      <c r="V17" s="152"/>
      <c r="W17" s="152"/>
      <c r="X17" s="152"/>
      <c r="Y17" s="152"/>
      <c r="Z17" s="152"/>
      <c r="AA17" s="152"/>
      <c r="AB17" s="344"/>
      <c r="AC17" s="152"/>
      <c r="AD17" s="152"/>
      <c r="AE17" s="152"/>
      <c r="AF17" s="152"/>
    </row>
    <row r="18" spans="1:32" x14ac:dyDescent="0.35">
      <c r="A18" s="156" t="s">
        <v>471</v>
      </c>
      <c r="B18" s="151">
        <f t="shared" si="2"/>
        <v>-1000</v>
      </c>
      <c r="C18" s="152"/>
      <c r="D18" s="152"/>
      <c r="E18" s="152"/>
      <c r="F18" s="152"/>
      <c r="G18" s="152"/>
      <c r="H18" s="152"/>
      <c r="I18" s="152"/>
      <c r="J18" s="577"/>
      <c r="K18" s="2"/>
      <c r="L18" s="152"/>
      <c r="M18" s="152"/>
      <c r="N18" s="152">
        <v>-16000</v>
      </c>
      <c r="O18" s="2">
        <v>15000</v>
      </c>
      <c r="P18" s="152"/>
      <c r="Q18" s="152"/>
      <c r="R18" s="152"/>
      <c r="S18" s="166"/>
      <c r="T18" s="152"/>
      <c r="U18" s="152"/>
      <c r="V18" s="152"/>
      <c r="W18" s="152"/>
      <c r="X18" s="152"/>
      <c r="Y18" s="152"/>
      <c r="Z18" s="152"/>
      <c r="AA18" s="152"/>
      <c r="AB18" s="344"/>
      <c r="AC18" s="152"/>
      <c r="AD18" s="152"/>
      <c r="AE18" s="152"/>
      <c r="AF18" s="152"/>
    </row>
    <row r="19" spans="1:32" x14ac:dyDescent="0.35">
      <c r="A19" s="212"/>
      <c r="B19" s="151">
        <f>SUM(C19:AF19)</f>
        <v>0</v>
      </c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2"/>
      <c r="N19" s="152"/>
      <c r="O19" s="152"/>
      <c r="P19" s="152"/>
      <c r="Q19" s="152"/>
      <c r="R19" s="152"/>
      <c r="S19" s="166"/>
      <c r="T19" s="152"/>
      <c r="U19" s="152"/>
      <c r="V19" s="152"/>
      <c r="W19" s="152"/>
      <c r="X19" s="152"/>
      <c r="Y19" s="152"/>
      <c r="Z19" s="152"/>
      <c r="AA19" s="152"/>
      <c r="AB19" s="167"/>
      <c r="AC19" s="152"/>
      <c r="AD19" s="152"/>
      <c r="AE19" s="152"/>
      <c r="AF19" s="152"/>
    </row>
    <row r="20" spans="1:32" x14ac:dyDescent="0.35">
      <c r="A20" s="212" t="s">
        <v>475</v>
      </c>
      <c r="B20" s="151">
        <f>SUM(C20:AF20)</f>
        <v>33455.990000000005</v>
      </c>
      <c r="C20" s="152">
        <v>1030.19</v>
      </c>
      <c r="D20" s="152">
        <v>800</v>
      </c>
      <c r="E20" s="152">
        <v>2000</v>
      </c>
      <c r="F20" s="152">
        <v>3000</v>
      </c>
      <c r="G20" s="2">
        <v>1000</v>
      </c>
      <c r="H20" s="2">
        <v>1000</v>
      </c>
      <c r="I20" s="2">
        <v>540</v>
      </c>
      <c r="J20" s="2">
        <v>150</v>
      </c>
      <c r="K20" s="2">
        <v>1000</v>
      </c>
      <c r="L20" s="2">
        <v>5500</v>
      </c>
      <c r="M20" s="2">
        <v>6020.8</v>
      </c>
      <c r="N20" s="152">
        <v>550</v>
      </c>
      <c r="O20" s="152">
        <v>10000</v>
      </c>
      <c r="P20" s="152">
        <v>865</v>
      </c>
      <c r="Q20" s="152"/>
      <c r="R20" s="152"/>
      <c r="S20" s="166"/>
      <c r="T20" s="152"/>
      <c r="U20" s="152"/>
      <c r="V20" s="152"/>
      <c r="W20" s="152"/>
      <c r="X20" s="152"/>
      <c r="Y20" s="152"/>
      <c r="Z20" s="152"/>
      <c r="AA20" s="152"/>
      <c r="AB20" s="167"/>
      <c r="AC20" s="152"/>
      <c r="AD20" s="152"/>
      <c r="AE20" s="152"/>
      <c r="AF20" s="152"/>
    </row>
    <row r="21" spans="1:32" x14ac:dyDescent="0.35">
      <c r="A21" s="212" t="s">
        <v>479</v>
      </c>
      <c r="B21" s="151">
        <f t="shared" ref="B21:B22" si="6">SUM(C21:AF21)</f>
        <v>-3550</v>
      </c>
      <c r="C21" s="152">
        <v>-410</v>
      </c>
      <c r="D21" s="152">
        <v>-3010</v>
      </c>
      <c r="E21" s="2">
        <v>-130</v>
      </c>
      <c r="F21" s="152"/>
      <c r="G21" s="152"/>
      <c r="H21" s="152"/>
      <c r="I21" s="152"/>
      <c r="J21" s="152"/>
      <c r="K21" s="152"/>
      <c r="L21" s="152"/>
      <c r="M21" s="152"/>
      <c r="N21" s="312"/>
      <c r="O21" s="152"/>
      <c r="P21" s="152"/>
      <c r="Q21" s="152"/>
      <c r="R21" s="152"/>
      <c r="S21" s="166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</row>
    <row r="22" spans="1:32" x14ac:dyDescent="0.35">
      <c r="A22" s="156" t="s">
        <v>477</v>
      </c>
      <c r="B22" s="151">
        <f t="shared" si="6"/>
        <v>4485</v>
      </c>
      <c r="C22" s="229">
        <v>4735</v>
      </c>
      <c r="D22" s="152">
        <v>1500</v>
      </c>
      <c r="E22" s="152">
        <v>1000</v>
      </c>
      <c r="F22" s="219">
        <v>850</v>
      </c>
      <c r="G22" s="152">
        <v>400</v>
      </c>
      <c r="H22" s="219">
        <v>1000</v>
      </c>
      <c r="I22" s="2">
        <v>-5000</v>
      </c>
      <c r="J22" s="2"/>
      <c r="K22" s="2"/>
      <c r="L22" s="2"/>
      <c r="M22" s="312"/>
      <c r="N22" s="152"/>
      <c r="O22" s="152"/>
      <c r="P22" s="152"/>
      <c r="Q22" s="152"/>
      <c r="R22" s="152"/>
      <c r="S22" s="166"/>
      <c r="T22" s="141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</row>
    <row r="23" spans="1:32" x14ac:dyDescent="0.35">
      <c r="A23" s="156" t="s">
        <v>470</v>
      </c>
      <c r="B23" s="151">
        <f t="shared" ref="B23:B25" si="7">SUM(C23:AF23)</f>
        <v>88.21</v>
      </c>
      <c r="C23" s="170">
        <v>88.21</v>
      </c>
      <c r="D23" s="152"/>
      <c r="E23" s="29"/>
      <c r="F23" s="219"/>
      <c r="G23" s="219"/>
      <c r="H23" s="219"/>
      <c r="I23" s="154"/>
      <c r="J23" s="2"/>
      <c r="K23" s="2"/>
      <c r="L23" s="141"/>
      <c r="M23" s="168"/>
      <c r="N23" s="152"/>
      <c r="O23" s="152"/>
      <c r="P23" s="152"/>
      <c r="Q23" s="152"/>
      <c r="R23" s="152"/>
      <c r="S23" s="166"/>
      <c r="T23" s="141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</row>
    <row r="24" spans="1:32" x14ac:dyDescent="0.35">
      <c r="A24" s="212" t="s">
        <v>360</v>
      </c>
      <c r="B24" s="151">
        <f t="shared" ref="B24" si="8">SUM(C24:AF24)</f>
        <v>-36000</v>
      </c>
      <c r="C24" s="581">
        <v>-36000</v>
      </c>
      <c r="D24" s="580"/>
      <c r="E24" s="580"/>
      <c r="F24" s="154"/>
      <c r="G24" s="2"/>
      <c r="H24" s="2"/>
      <c r="I24" s="154"/>
      <c r="J24" s="2"/>
      <c r="K24" s="2"/>
      <c r="L24" s="2"/>
      <c r="M24" s="168"/>
      <c r="N24" s="152"/>
      <c r="O24" s="152"/>
      <c r="P24" s="152"/>
      <c r="Q24" s="152"/>
      <c r="R24" s="152"/>
      <c r="S24" s="166"/>
      <c r="T24" s="141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</row>
    <row r="25" spans="1:32" x14ac:dyDescent="0.35">
      <c r="A25" s="212" t="s">
        <v>480</v>
      </c>
      <c r="B25" s="151">
        <f t="shared" si="7"/>
        <v>10785.33</v>
      </c>
      <c r="C25" s="581">
        <v>10785.33</v>
      </c>
      <c r="D25" s="580"/>
      <c r="E25" s="580"/>
      <c r="F25" s="154"/>
      <c r="G25" s="581"/>
      <c r="H25" s="406"/>
      <c r="I25" s="406"/>
      <c r="J25" s="229"/>
      <c r="K25" s="406"/>
      <c r="L25" s="229"/>
      <c r="M25" s="406"/>
      <c r="N25" s="229"/>
      <c r="O25" s="152"/>
      <c r="P25" s="152"/>
      <c r="Q25" s="152"/>
      <c r="R25" s="152"/>
      <c r="S25" s="166"/>
      <c r="T25" s="141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</row>
    <row r="26" spans="1:32" x14ac:dyDescent="0.35">
      <c r="A26" s="212"/>
      <c r="B26" s="151">
        <f t="shared" ref="B26" si="9">SUM(C26:AF26)</f>
        <v>0</v>
      </c>
      <c r="C26" s="581"/>
      <c r="D26" s="581"/>
      <c r="E26" s="581"/>
      <c r="F26" s="582"/>
      <c r="G26" s="407"/>
      <c r="H26" s="407"/>
      <c r="I26" s="407"/>
      <c r="J26" s="407"/>
      <c r="K26" s="407"/>
      <c r="L26" s="141"/>
      <c r="M26" s="168"/>
      <c r="N26" s="152"/>
      <c r="O26" s="152"/>
      <c r="P26" s="152"/>
      <c r="Q26" s="152"/>
      <c r="R26" s="152"/>
      <c r="S26" s="166"/>
      <c r="T26" s="141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</row>
    <row r="27" spans="1:32" x14ac:dyDescent="0.35">
      <c r="A27" s="212"/>
      <c r="B27" s="151">
        <f t="shared" ref="B27:B37" si="10">SUM(C27:AF27)</f>
        <v>2.5</v>
      </c>
      <c r="C27" s="581"/>
      <c r="D27" s="581">
        <v>2.5</v>
      </c>
      <c r="E27" s="582"/>
      <c r="F27" s="582"/>
      <c r="G27" s="229"/>
      <c r="H27" s="229"/>
      <c r="I27" s="229"/>
      <c r="J27" s="219"/>
      <c r="K27" s="219"/>
      <c r="L27" s="152"/>
      <c r="M27" s="152"/>
      <c r="N27" s="152"/>
      <c r="O27" s="152"/>
      <c r="P27" s="152"/>
      <c r="Q27" s="152"/>
      <c r="R27" s="152"/>
      <c r="S27" s="166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</row>
    <row r="28" spans="1:32" x14ac:dyDescent="0.35">
      <c r="A28" s="212" t="s">
        <v>434</v>
      </c>
      <c r="B28" s="151">
        <f t="shared" ref="B28" si="11">SUM(C28:AF28)</f>
        <v>800</v>
      </c>
      <c r="C28" s="580">
        <v>800</v>
      </c>
      <c r="D28" s="580"/>
      <c r="E28" s="580"/>
      <c r="F28" s="580"/>
      <c r="G28" s="219"/>
      <c r="H28" s="219"/>
      <c r="I28" s="219"/>
      <c r="J28" s="219"/>
      <c r="K28" s="219"/>
      <c r="L28" s="152"/>
      <c r="M28" s="152"/>
      <c r="N28" s="154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4"/>
      <c r="AB28" s="152"/>
      <c r="AC28" s="152"/>
      <c r="AD28" s="152"/>
      <c r="AE28" s="152"/>
      <c r="AF28" s="152"/>
    </row>
    <row r="29" spans="1:32" x14ac:dyDescent="0.35">
      <c r="A29" s="212" t="s">
        <v>322</v>
      </c>
      <c r="B29" s="151">
        <f t="shared" si="10"/>
        <v>850</v>
      </c>
      <c r="C29" s="580">
        <v>850</v>
      </c>
      <c r="D29" s="580"/>
      <c r="E29" s="580"/>
      <c r="F29" s="580"/>
      <c r="G29" s="580"/>
      <c r="H29" s="219"/>
      <c r="I29" s="219"/>
      <c r="J29" s="219"/>
      <c r="K29" s="219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</row>
    <row r="30" spans="1:32" x14ac:dyDescent="0.35">
      <c r="A30" s="212" t="s">
        <v>323</v>
      </c>
      <c r="B30" s="151">
        <f t="shared" ref="B30" si="12">SUM(C30:AF30)</f>
        <v>850</v>
      </c>
      <c r="C30" s="580">
        <v>850</v>
      </c>
      <c r="D30" s="580"/>
      <c r="E30" s="580"/>
      <c r="F30" s="219"/>
      <c r="G30" s="219"/>
      <c r="H30" s="219"/>
      <c r="I30" s="219"/>
      <c r="J30" s="219"/>
      <c r="K30" s="219"/>
      <c r="L30" s="154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</row>
    <row r="31" spans="1:32" x14ac:dyDescent="0.35">
      <c r="A31" s="212" t="s">
        <v>428</v>
      </c>
      <c r="B31" s="151">
        <f t="shared" ref="B31" si="13">SUM(C31:AF31)</f>
        <v>4500</v>
      </c>
      <c r="C31" s="580">
        <v>4500</v>
      </c>
      <c r="D31" s="229"/>
      <c r="E31" s="219"/>
      <c r="F31" s="219"/>
      <c r="G31" s="219"/>
      <c r="H31" s="407"/>
      <c r="I31" s="407"/>
      <c r="J31" s="219"/>
      <c r="K31" s="219"/>
      <c r="L31" s="219"/>
      <c r="M31" s="219"/>
      <c r="N31" s="219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</row>
    <row r="32" spans="1:32" x14ac:dyDescent="0.35">
      <c r="A32" s="212" t="s">
        <v>153</v>
      </c>
      <c r="B32" s="151">
        <f t="shared" si="10"/>
        <v>1700</v>
      </c>
      <c r="C32" s="29">
        <v>850</v>
      </c>
      <c r="D32" s="229">
        <v>850</v>
      </c>
      <c r="E32" s="229"/>
      <c r="F32" s="229"/>
      <c r="G32" s="229"/>
      <c r="H32" s="219"/>
      <c r="I32" s="219"/>
      <c r="J32" s="219"/>
      <c r="K32" s="219"/>
      <c r="L32" s="154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</row>
    <row r="33" spans="1:32" x14ac:dyDescent="0.35">
      <c r="A33" s="212" t="s">
        <v>321</v>
      </c>
      <c r="B33" s="151">
        <f t="shared" si="10"/>
        <v>2550</v>
      </c>
      <c r="C33" s="229">
        <v>2550</v>
      </c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</row>
    <row r="34" spans="1:32" x14ac:dyDescent="0.35">
      <c r="A34" s="248"/>
      <c r="B34" s="151">
        <f t="shared" si="10"/>
        <v>0</v>
      </c>
      <c r="C34" s="29"/>
      <c r="D34" s="229"/>
      <c r="E34" s="229"/>
      <c r="F34" s="229"/>
      <c r="G34" s="229"/>
      <c r="H34" s="29"/>
      <c r="I34" s="29"/>
      <c r="J34" s="219"/>
      <c r="K34" s="219"/>
      <c r="L34" s="154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</row>
    <row r="35" spans="1:32" x14ac:dyDescent="0.35">
      <c r="A35" s="153" t="s">
        <v>152</v>
      </c>
      <c r="B35" s="151">
        <f t="shared" si="10"/>
        <v>6640</v>
      </c>
      <c r="C35" s="229">
        <v>3320</v>
      </c>
      <c r="D35" s="229"/>
      <c r="E35" s="229">
        <v>3320</v>
      </c>
      <c r="F35" s="219"/>
      <c r="G35" s="219"/>
      <c r="H35" s="407"/>
      <c r="I35" s="407"/>
      <c r="J35" s="219"/>
      <c r="K35" s="219" t="s">
        <v>463</v>
      </c>
      <c r="L35" s="154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</row>
    <row r="36" spans="1:32" x14ac:dyDescent="0.35">
      <c r="A36" s="212" t="s">
        <v>296</v>
      </c>
      <c r="B36" s="151">
        <f t="shared" si="10"/>
        <v>3360</v>
      </c>
      <c r="C36" s="406">
        <v>3360</v>
      </c>
      <c r="D36" s="229"/>
      <c r="E36" s="229"/>
      <c r="F36" s="229"/>
      <c r="G36" s="152"/>
      <c r="H36" s="154"/>
      <c r="I36" s="154"/>
      <c r="J36" s="152"/>
      <c r="K36" s="152"/>
      <c r="L36" s="154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</row>
    <row r="37" spans="1:32" x14ac:dyDescent="0.35">
      <c r="A37" s="212" t="s">
        <v>280</v>
      </c>
      <c r="B37" s="151">
        <f t="shared" si="10"/>
        <v>1640</v>
      </c>
      <c r="C37" s="29">
        <v>1640</v>
      </c>
      <c r="D37" s="229"/>
      <c r="E37" s="229"/>
      <c r="F37" s="229"/>
      <c r="G37" s="229"/>
      <c r="H37" s="29"/>
      <c r="I37" s="29"/>
      <c r="J37" s="219"/>
      <c r="K37" s="152"/>
      <c r="L37" s="154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</row>
    <row r="38" spans="1:32" x14ac:dyDescent="0.35">
      <c r="A38" s="212" t="s">
        <v>281</v>
      </c>
      <c r="B38" s="151">
        <f t="shared" ref="B38:B42" si="14">SUM(C38:AF38)</f>
        <v>1600</v>
      </c>
      <c r="C38" s="29">
        <v>1600</v>
      </c>
      <c r="D38" s="229"/>
      <c r="E38" s="229"/>
      <c r="F38" s="154"/>
      <c r="G38" s="229"/>
      <c r="H38" s="29"/>
      <c r="I38" s="29"/>
      <c r="J38" s="229"/>
      <c r="K38" s="29"/>
      <c r="L38" s="154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</row>
    <row r="39" spans="1:32" x14ac:dyDescent="0.35">
      <c r="A39" s="212" t="s">
        <v>330</v>
      </c>
      <c r="B39" s="151">
        <f t="shared" ref="B39:B41" si="15">SUM(C39:AF39)</f>
        <v>9840</v>
      </c>
      <c r="C39" s="29">
        <v>9840</v>
      </c>
      <c r="D39" s="229"/>
      <c r="E39" s="229"/>
      <c r="F39" s="229"/>
      <c r="G39" s="152"/>
      <c r="H39" s="154"/>
      <c r="I39" s="154"/>
      <c r="J39" s="152"/>
      <c r="K39" s="152"/>
      <c r="L39" s="154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</row>
    <row r="40" spans="1:32" x14ac:dyDescent="0.35">
      <c r="A40" s="212" t="s">
        <v>279</v>
      </c>
      <c r="B40" s="151">
        <f t="shared" si="15"/>
        <v>6360</v>
      </c>
      <c r="C40" s="29">
        <v>4680</v>
      </c>
      <c r="D40" s="229">
        <v>1680</v>
      </c>
      <c r="E40" s="229"/>
      <c r="F40" s="229"/>
      <c r="G40" s="154"/>
      <c r="H40" s="152"/>
      <c r="I40" s="152"/>
      <c r="J40" s="152"/>
      <c r="K40" s="152"/>
      <c r="L40" s="154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</row>
    <row r="41" spans="1:32" x14ac:dyDescent="0.35">
      <c r="A41" s="212" t="s">
        <v>112</v>
      </c>
      <c r="B41" s="151">
        <f t="shared" si="15"/>
        <v>1200</v>
      </c>
      <c r="C41" s="29">
        <v>1200</v>
      </c>
      <c r="D41" s="229"/>
      <c r="E41" s="229"/>
      <c r="F41" s="229"/>
      <c r="G41" s="229"/>
      <c r="H41" s="154"/>
      <c r="I41" s="154"/>
      <c r="J41" s="154"/>
      <c r="K41" s="152"/>
      <c r="L41" s="154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</row>
    <row r="42" spans="1:32" x14ac:dyDescent="0.35">
      <c r="A42" s="212"/>
      <c r="B42" s="151">
        <f t="shared" si="14"/>
        <v>0</v>
      </c>
      <c r="C42" s="29"/>
      <c r="D42" s="229"/>
      <c r="E42" s="229"/>
      <c r="F42" s="229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</row>
    <row r="43" spans="1:32" x14ac:dyDescent="0.35">
      <c r="A43" s="212" t="s">
        <v>478</v>
      </c>
      <c r="B43" s="151">
        <f t="shared" ref="B43:B44" si="16">SUM(C43:AF43)</f>
        <v>14600</v>
      </c>
      <c r="C43" s="29">
        <v>14600</v>
      </c>
      <c r="D43" s="229"/>
      <c r="E43" s="229"/>
      <c r="F43" s="229"/>
      <c r="G43" s="229"/>
      <c r="H43" s="229"/>
      <c r="I43" s="229"/>
      <c r="J43" s="152"/>
      <c r="K43" s="152"/>
      <c r="L43" s="152"/>
      <c r="M43" s="152"/>
      <c r="N43" s="154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4"/>
      <c r="AB43" s="152"/>
      <c r="AC43" s="152"/>
      <c r="AD43" s="152"/>
      <c r="AE43" s="152"/>
      <c r="AF43" s="152"/>
    </row>
    <row r="44" spans="1:32" x14ac:dyDescent="0.35">
      <c r="A44" s="212" t="s">
        <v>476</v>
      </c>
      <c r="B44" s="151">
        <f t="shared" si="16"/>
        <v>9000</v>
      </c>
      <c r="C44" s="581">
        <v>12000</v>
      </c>
      <c r="D44" s="229">
        <v>9000</v>
      </c>
      <c r="E44" s="229">
        <v>-12000</v>
      </c>
      <c r="F44" s="229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</row>
    <row r="45" spans="1:32" x14ac:dyDescent="0.35">
      <c r="A45" s="212"/>
      <c r="B45" s="151">
        <f t="shared" ref="B45" si="17">SUM(C45:AF45)</f>
        <v>0</v>
      </c>
      <c r="C45" s="29"/>
      <c r="D45" s="229"/>
      <c r="E45" s="229"/>
      <c r="F45" s="229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7"/>
      <c r="S45" s="157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</row>
    <row r="46" spans="1:32" ht="15" thickBot="1" x14ac:dyDescent="0.4">
      <c r="A46" s="156" t="s">
        <v>42</v>
      </c>
      <c r="B46" s="151">
        <f t="shared" ref="B46" si="18">SUM(C46:AF46)</f>
        <v>0</v>
      </c>
      <c r="C46" s="152"/>
      <c r="D46" s="229"/>
      <c r="E46" s="152"/>
      <c r="F46" s="152"/>
      <c r="G46" s="152"/>
      <c r="H46" s="152"/>
      <c r="I46" s="152"/>
      <c r="J46" s="152"/>
      <c r="K46" s="158"/>
      <c r="L46" s="167"/>
      <c r="M46" s="157"/>
      <c r="N46" s="157"/>
      <c r="O46" s="157"/>
      <c r="P46" s="157"/>
      <c r="Q46" s="152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2"/>
      <c r="AC46" s="152"/>
      <c r="AD46" s="157"/>
      <c r="AE46" s="157"/>
      <c r="AF46" s="157"/>
    </row>
    <row r="47" spans="1:32" ht="15" thickBot="1" x14ac:dyDescent="0.4">
      <c r="A47" s="161" t="s">
        <v>73</v>
      </c>
      <c r="B47" s="162">
        <f t="shared" ref="B47:B76" si="19">SUM(C47:AF47)</f>
        <v>339396.78</v>
      </c>
      <c r="C47" s="162">
        <f t="shared" ref="C47:AF47" si="20">SUM(C48:C55)</f>
        <v>56740</v>
      </c>
      <c r="D47" s="162">
        <f t="shared" si="20"/>
        <v>37893.619999999995</v>
      </c>
      <c r="E47" s="162">
        <f t="shared" si="20"/>
        <v>0</v>
      </c>
      <c r="F47" s="162">
        <f t="shared" si="20"/>
        <v>14600</v>
      </c>
      <c r="G47" s="162">
        <f t="shared" si="20"/>
        <v>22094.26</v>
      </c>
      <c r="H47" s="162">
        <f>SUM(H48:H55)</f>
        <v>41372.240000000005</v>
      </c>
      <c r="I47" s="162">
        <f t="shared" si="20"/>
        <v>19684.400000000001</v>
      </c>
      <c r="J47" s="162">
        <f t="shared" si="20"/>
        <v>22540.61</v>
      </c>
      <c r="K47" s="162">
        <f t="shared" si="20"/>
        <v>36740.78</v>
      </c>
      <c r="L47" s="162">
        <f t="shared" si="20"/>
        <v>36740.78</v>
      </c>
      <c r="M47" s="162">
        <f t="shared" si="20"/>
        <v>50990.090000000004</v>
      </c>
      <c r="N47" s="162">
        <f t="shared" si="20"/>
        <v>0</v>
      </c>
      <c r="O47" s="162">
        <f t="shared" si="20"/>
        <v>0</v>
      </c>
      <c r="P47" s="162">
        <f t="shared" si="20"/>
        <v>0</v>
      </c>
      <c r="Q47" s="162">
        <f t="shared" si="20"/>
        <v>0</v>
      </c>
      <c r="R47" s="162">
        <f t="shared" si="20"/>
        <v>0</v>
      </c>
      <c r="S47" s="162">
        <f t="shared" si="20"/>
        <v>0</v>
      </c>
      <c r="T47" s="162">
        <f t="shared" si="20"/>
        <v>0</v>
      </c>
      <c r="U47" s="162">
        <f t="shared" si="20"/>
        <v>0</v>
      </c>
      <c r="V47" s="162">
        <f t="shared" si="20"/>
        <v>0</v>
      </c>
      <c r="W47" s="162">
        <f t="shared" si="20"/>
        <v>0</v>
      </c>
      <c r="X47" s="162">
        <f t="shared" si="20"/>
        <v>0</v>
      </c>
      <c r="Y47" s="162">
        <f t="shared" si="20"/>
        <v>0</v>
      </c>
      <c r="Z47" s="162">
        <f t="shared" si="20"/>
        <v>0</v>
      </c>
      <c r="AA47" s="162">
        <f t="shared" si="20"/>
        <v>0</v>
      </c>
      <c r="AB47" s="162">
        <f t="shared" si="20"/>
        <v>0</v>
      </c>
      <c r="AC47" s="162">
        <f t="shared" si="20"/>
        <v>0</v>
      </c>
      <c r="AD47" s="162">
        <f t="shared" si="20"/>
        <v>0</v>
      </c>
      <c r="AE47" s="162">
        <f t="shared" si="20"/>
        <v>0</v>
      </c>
      <c r="AF47" s="162">
        <f t="shared" si="20"/>
        <v>0</v>
      </c>
    </row>
    <row r="48" spans="1:32" x14ac:dyDescent="0.35">
      <c r="A48" s="150" t="s">
        <v>144</v>
      </c>
      <c r="B48" s="151">
        <f t="shared" si="19"/>
        <v>131352.5</v>
      </c>
      <c r="C48" s="322">
        <v>20940</v>
      </c>
      <c r="D48" s="229">
        <v>14600</v>
      </c>
      <c r="E48" s="229"/>
      <c r="F48" s="230">
        <v>14600</v>
      </c>
      <c r="G48" s="229"/>
      <c r="H48" s="229">
        <v>16060</v>
      </c>
      <c r="I48" s="229">
        <v>16790</v>
      </c>
      <c r="J48" s="229"/>
      <c r="K48" s="230">
        <v>14600</v>
      </c>
      <c r="L48" s="229">
        <v>14600</v>
      </c>
      <c r="M48" s="229">
        <v>19162.5</v>
      </c>
      <c r="N48" s="322"/>
      <c r="O48" s="152"/>
      <c r="P48" s="154"/>
      <c r="Q48" s="152"/>
      <c r="R48" s="152"/>
      <c r="S48" s="154"/>
      <c r="T48" s="154"/>
      <c r="U48" s="154"/>
      <c r="V48" s="154"/>
      <c r="W48" s="154"/>
      <c r="X48" s="154"/>
      <c r="Y48" s="152"/>
      <c r="Z48" s="152"/>
      <c r="AA48" s="152"/>
      <c r="AB48" s="154"/>
      <c r="AC48" s="154"/>
      <c r="AD48" s="154"/>
      <c r="AE48" s="154"/>
      <c r="AF48" s="154"/>
    </row>
    <row r="49" spans="1:32" x14ac:dyDescent="0.35">
      <c r="A49" s="153" t="s">
        <v>145</v>
      </c>
      <c r="B49" s="151">
        <f t="shared" si="19"/>
        <v>22835.040000000001</v>
      </c>
      <c r="C49" s="229">
        <v>3600</v>
      </c>
      <c r="D49" s="229">
        <v>2526.1</v>
      </c>
      <c r="E49" s="229"/>
      <c r="F49" s="229"/>
      <c r="G49" s="229">
        <v>2526.1</v>
      </c>
      <c r="H49" s="229">
        <v>2771.63</v>
      </c>
      <c r="I49" s="229">
        <v>2894.4</v>
      </c>
      <c r="J49" s="229"/>
      <c r="K49" s="229">
        <v>2576.83</v>
      </c>
      <c r="L49" s="229">
        <v>2576.83</v>
      </c>
      <c r="M49" s="229">
        <v>3363.15</v>
      </c>
      <c r="N49" s="229"/>
      <c r="O49" s="152"/>
      <c r="P49" s="152"/>
      <c r="Q49" s="152"/>
      <c r="R49" s="152"/>
      <c r="S49" s="152"/>
      <c r="T49" s="152"/>
      <c r="U49" s="152"/>
      <c r="V49" s="152"/>
      <c r="W49" s="152"/>
      <c r="X49" s="154"/>
      <c r="Y49" s="152"/>
      <c r="Z49" s="152"/>
      <c r="AA49" s="152"/>
      <c r="AB49" s="154"/>
      <c r="AC49" s="154"/>
      <c r="AD49" s="154"/>
      <c r="AE49" s="152"/>
      <c r="AF49" s="152"/>
    </row>
    <row r="50" spans="1:32" x14ac:dyDescent="0.35">
      <c r="A50" s="150" t="s">
        <v>316</v>
      </c>
      <c r="B50" s="151">
        <f t="shared" si="19"/>
        <v>163821</v>
      </c>
      <c r="C50" s="229">
        <v>26900</v>
      </c>
      <c r="D50" s="229">
        <v>18561</v>
      </c>
      <c r="E50" s="229"/>
      <c r="F50" s="229"/>
      <c r="G50" s="229">
        <v>17485</v>
      </c>
      <c r="H50" s="229">
        <v>20175</v>
      </c>
      <c r="I50" s="229"/>
      <c r="J50" s="229">
        <v>20175</v>
      </c>
      <c r="K50" s="229">
        <v>17485</v>
      </c>
      <c r="L50" s="229">
        <v>17485</v>
      </c>
      <c r="M50" s="229">
        <v>25555</v>
      </c>
      <c r="N50" s="229"/>
      <c r="O50" s="152"/>
      <c r="P50" s="152"/>
      <c r="Q50" s="152"/>
      <c r="R50" s="152"/>
      <c r="S50" s="154"/>
      <c r="T50" s="152"/>
      <c r="U50" s="152"/>
      <c r="V50" s="154"/>
      <c r="W50" s="154"/>
      <c r="X50" s="152"/>
      <c r="Y50" s="152"/>
      <c r="Z50" s="152"/>
      <c r="AA50" s="154"/>
      <c r="AB50" s="152"/>
      <c r="AC50" s="152"/>
      <c r="AD50" s="152"/>
      <c r="AE50" s="152"/>
      <c r="AF50" s="152"/>
    </row>
    <row r="51" spans="1:32" x14ac:dyDescent="0.35">
      <c r="A51" s="153" t="s">
        <v>146</v>
      </c>
      <c r="B51" s="151">
        <f t="shared" si="19"/>
        <v>19088.240000000002</v>
      </c>
      <c r="C51" s="229">
        <v>3000</v>
      </c>
      <c r="D51" s="229">
        <v>2206.52</v>
      </c>
      <c r="E51" s="229"/>
      <c r="F51" s="229"/>
      <c r="G51" s="229">
        <v>2083.16</v>
      </c>
      <c r="H51" s="229">
        <v>2365.61</v>
      </c>
      <c r="I51" s="229"/>
      <c r="J51" s="229">
        <v>2365.61</v>
      </c>
      <c r="K51" s="229">
        <v>2078.9499999999998</v>
      </c>
      <c r="L51" s="229">
        <v>2078.9499999999998</v>
      </c>
      <c r="M51" s="229">
        <v>2909.44</v>
      </c>
      <c r="N51" s="230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4"/>
      <c r="AB51" s="152"/>
      <c r="AC51" s="152"/>
      <c r="AD51" s="152"/>
      <c r="AE51" s="152"/>
      <c r="AF51" s="152"/>
    </row>
    <row r="52" spans="1:32" x14ac:dyDescent="0.35">
      <c r="A52" s="587" t="s">
        <v>481</v>
      </c>
      <c r="B52" s="151">
        <f t="shared" si="19"/>
        <v>2300</v>
      </c>
      <c r="C52" s="229">
        <v>2300</v>
      </c>
      <c r="D52" s="229"/>
      <c r="E52" s="229"/>
      <c r="F52" s="229"/>
      <c r="G52" s="229"/>
      <c r="H52" s="230"/>
      <c r="I52" s="229"/>
      <c r="J52" s="229"/>
      <c r="K52" s="229"/>
      <c r="L52" s="229"/>
      <c r="M52" s="229"/>
      <c r="N52" s="230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4"/>
      <c r="AB52" s="152"/>
      <c r="AC52" s="152"/>
      <c r="AD52" s="152"/>
      <c r="AE52" s="152"/>
      <c r="AF52" s="152"/>
    </row>
    <row r="53" spans="1:32" x14ac:dyDescent="0.35">
      <c r="A53" s="153" t="s">
        <v>154</v>
      </c>
      <c r="B53" s="151">
        <f t="shared" si="19"/>
        <v>0</v>
      </c>
      <c r="C53" s="229"/>
      <c r="D53" s="229"/>
      <c r="E53" s="229"/>
      <c r="F53" s="229"/>
      <c r="G53" s="229"/>
      <c r="H53" s="230"/>
      <c r="I53" s="229"/>
      <c r="J53" s="229"/>
      <c r="K53" s="229"/>
      <c r="L53" s="229"/>
      <c r="M53" s="229"/>
      <c r="N53" s="230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4"/>
      <c r="AB53" s="152"/>
      <c r="AC53" s="152"/>
      <c r="AD53" s="152"/>
      <c r="AE53" s="152"/>
      <c r="AF53" s="152"/>
    </row>
    <row r="54" spans="1:32" x14ac:dyDescent="0.35">
      <c r="A54" s="156"/>
      <c r="B54" s="151">
        <f t="shared" si="19"/>
        <v>0</v>
      </c>
      <c r="C54" s="229"/>
      <c r="D54" s="229"/>
      <c r="E54" s="229"/>
      <c r="F54" s="229"/>
      <c r="G54" s="229"/>
      <c r="H54" s="230"/>
      <c r="I54" s="229"/>
      <c r="J54" s="229"/>
      <c r="K54" s="229"/>
      <c r="L54" s="229"/>
      <c r="M54" s="229"/>
      <c r="N54" s="229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</row>
    <row r="55" spans="1:32" ht="15" thickBot="1" x14ac:dyDescent="0.4">
      <c r="A55" s="156"/>
      <c r="B55" s="151">
        <f t="shared" si="19"/>
        <v>0</v>
      </c>
      <c r="C55" s="230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323"/>
      <c r="O55" s="157"/>
      <c r="P55" s="154"/>
      <c r="Q55" s="157"/>
      <c r="R55" s="157"/>
      <c r="S55" s="152"/>
      <c r="T55" s="157"/>
      <c r="U55" s="157"/>
      <c r="V55" s="157"/>
      <c r="W55" s="157"/>
      <c r="X55" s="157"/>
      <c r="Y55" s="152"/>
      <c r="Z55" s="152"/>
      <c r="AA55" s="152"/>
      <c r="AB55" s="152"/>
      <c r="AC55" s="152"/>
      <c r="AD55" s="157"/>
      <c r="AE55" s="157"/>
      <c r="AF55" s="157"/>
    </row>
    <row r="56" spans="1:32" ht="15" thickBot="1" x14ac:dyDescent="0.4">
      <c r="A56" s="161" t="s">
        <v>74</v>
      </c>
      <c r="B56" s="162">
        <f t="shared" si="19"/>
        <v>22156.300000000003</v>
      </c>
      <c r="C56" s="324">
        <f t="shared" ref="C56:AF56" si="21">SUM(C57:C61)</f>
        <v>3720</v>
      </c>
      <c r="D56" s="324">
        <f t="shared" si="21"/>
        <v>2130</v>
      </c>
      <c r="E56" s="324">
        <f t="shared" si="21"/>
        <v>572.04</v>
      </c>
      <c r="F56" s="324">
        <f t="shared" si="21"/>
        <v>2130</v>
      </c>
      <c r="G56" s="324">
        <f t="shared" si="21"/>
        <v>572.04</v>
      </c>
      <c r="H56" s="324">
        <f t="shared" si="21"/>
        <v>2758.06</v>
      </c>
      <c r="I56" s="324">
        <f t="shared" si="21"/>
        <v>2100</v>
      </c>
      <c r="J56" s="324">
        <f t="shared" si="21"/>
        <v>572.04</v>
      </c>
      <c r="K56" s="324">
        <f t="shared" si="21"/>
        <v>2162.04</v>
      </c>
      <c r="L56" s="324">
        <f t="shared" si="21"/>
        <v>2338.04</v>
      </c>
      <c r="M56" s="324">
        <f t="shared" si="21"/>
        <v>2622.04</v>
      </c>
      <c r="N56" s="324">
        <f t="shared" si="21"/>
        <v>480</v>
      </c>
      <c r="O56" s="162">
        <f t="shared" si="21"/>
        <v>0</v>
      </c>
      <c r="P56" s="162">
        <f t="shared" si="21"/>
        <v>0</v>
      </c>
      <c r="Q56" s="162">
        <f t="shared" si="21"/>
        <v>0</v>
      </c>
      <c r="R56" s="162">
        <f t="shared" si="21"/>
        <v>0</v>
      </c>
      <c r="S56" s="162">
        <f t="shared" si="21"/>
        <v>0</v>
      </c>
      <c r="T56" s="162">
        <f t="shared" si="21"/>
        <v>0</v>
      </c>
      <c r="U56" s="162">
        <f t="shared" si="21"/>
        <v>0</v>
      </c>
      <c r="V56" s="162">
        <f t="shared" si="21"/>
        <v>0</v>
      </c>
      <c r="W56" s="162">
        <f t="shared" si="21"/>
        <v>0</v>
      </c>
      <c r="X56" s="162">
        <f t="shared" si="21"/>
        <v>0</v>
      </c>
      <c r="Y56" s="162">
        <f t="shared" si="21"/>
        <v>0</v>
      </c>
      <c r="Z56" s="162">
        <f t="shared" si="21"/>
        <v>0</v>
      </c>
      <c r="AA56" s="162">
        <f t="shared" si="21"/>
        <v>0</v>
      </c>
      <c r="AB56" s="162">
        <f t="shared" si="21"/>
        <v>0</v>
      </c>
      <c r="AC56" s="162">
        <f t="shared" si="21"/>
        <v>0</v>
      </c>
      <c r="AD56" s="162">
        <f t="shared" si="21"/>
        <v>0</v>
      </c>
      <c r="AE56" s="162">
        <f t="shared" si="21"/>
        <v>0</v>
      </c>
      <c r="AF56" s="162">
        <f t="shared" si="21"/>
        <v>0</v>
      </c>
    </row>
    <row r="57" spans="1:32" x14ac:dyDescent="0.35">
      <c r="A57" s="156" t="s">
        <v>18</v>
      </c>
      <c r="B57" s="151">
        <f t="shared" si="19"/>
        <v>17530</v>
      </c>
      <c r="C57" s="229">
        <v>3120</v>
      </c>
      <c r="D57" s="229">
        <v>2130</v>
      </c>
      <c r="E57" s="229"/>
      <c r="F57" s="229">
        <v>2130</v>
      </c>
      <c r="G57" s="229"/>
      <c r="H57" s="229">
        <v>2100</v>
      </c>
      <c r="I57" s="229">
        <v>2100</v>
      </c>
      <c r="J57" s="229"/>
      <c r="K57" s="229">
        <v>1750</v>
      </c>
      <c r="L57" s="229">
        <v>1750</v>
      </c>
      <c r="M57" s="229">
        <v>2450</v>
      </c>
      <c r="N57" s="323"/>
      <c r="O57" s="157"/>
      <c r="P57" s="157"/>
      <c r="Q57" s="157"/>
      <c r="R57" s="157"/>
      <c r="S57" s="152"/>
      <c r="T57" s="157"/>
      <c r="U57" s="157"/>
      <c r="V57" s="157"/>
      <c r="W57" s="157"/>
      <c r="X57" s="157"/>
      <c r="Y57" s="157"/>
      <c r="Z57" s="157"/>
      <c r="AA57" s="169"/>
      <c r="AB57" s="169"/>
      <c r="AC57" s="152"/>
      <c r="AD57" s="157"/>
      <c r="AE57" s="157"/>
      <c r="AF57" s="157"/>
    </row>
    <row r="58" spans="1:32" x14ac:dyDescent="0.35">
      <c r="A58" s="156" t="s">
        <v>67</v>
      </c>
      <c r="B58" s="151">
        <f t="shared" si="19"/>
        <v>1290.3</v>
      </c>
      <c r="C58" s="229"/>
      <c r="D58" s="229"/>
      <c r="E58" s="229">
        <v>172.04</v>
      </c>
      <c r="F58" s="229"/>
      <c r="G58" s="229">
        <v>172.04</v>
      </c>
      <c r="H58" s="229">
        <v>258.06</v>
      </c>
      <c r="I58" s="229"/>
      <c r="J58" s="229">
        <v>172.04</v>
      </c>
      <c r="K58" s="229">
        <v>172.04</v>
      </c>
      <c r="L58" s="229">
        <v>172.04</v>
      </c>
      <c r="M58" s="229">
        <v>172.04</v>
      </c>
      <c r="N58" s="323"/>
      <c r="O58" s="157"/>
      <c r="P58" s="157"/>
      <c r="Q58" s="157"/>
      <c r="R58" s="157"/>
      <c r="S58" s="157"/>
      <c r="T58" s="157"/>
      <c r="U58" s="157"/>
      <c r="V58" s="152"/>
      <c r="W58" s="157"/>
      <c r="X58" s="157"/>
      <c r="Y58" s="157"/>
      <c r="Z58" s="157"/>
      <c r="AA58" s="169"/>
      <c r="AB58" s="169"/>
      <c r="AC58" s="157"/>
      <c r="AD58" s="157"/>
      <c r="AE58" s="157"/>
      <c r="AF58" s="157"/>
    </row>
    <row r="59" spans="1:32" x14ac:dyDescent="0.35">
      <c r="A59" s="156" t="s">
        <v>77</v>
      </c>
      <c r="B59" s="151">
        <f t="shared" si="19"/>
        <v>3336</v>
      </c>
      <c r="C59" s="229">
        <v>600</v>
      </c>
      <c r="D59" s="229"/>
      <c r="E59" s="229">
        <v>400</v>
      </c>
      <c r="F59" s="229"/>
      <c r="G59" s="229">
        <v>400</v>
      </c>
      <c r="H59" s="229">
        <v>400</v>
      </c>
      <c r="I59" s="229"/>
      <c r="J59" s="229">
        <v>400</v>
      </c>
      <c r="K59" s="229">
        <v>240</v>
      </c>
      <c r="L59" s="229">
        <v>416</v>
      </c>
      <c r="M59" s="229"/>
      <c r="N59" s="323">
        <v>480</v>
      </c>
      <c r="O59" s="157"/>
      <c r="P59" s="157"/>
      <c r="Q59" s="157"/>
      <c r="R59" s="157"/>
      <c r="S59" s="157"/>
      <c r="T59" s="157"/>
      <c r="U59" s="157"/>
      <c r="V59" s="152"/>
      <c r="W59" s="157"/>
      <c r="X59" s="157"/>
      <c r="Y59" s="157"/>
      <c r="Z59" s="157"/>
      <c r="AA59" s="169"/>
      <c r="AB59" s="169"/>
      <c r="AC59" s="157"/>
      <c r="AD59" s="157"/>
      <c r="AE59" s="157"/>
      <c r="AF59" s="157"/>
    </row>
    <row r="60" spans="1:32" x14ac:dyDescent="0.35">
      <c r="A60" s="156"/>
      <c r="B60" s="151">
        <f t="shared" si="19"/>
        <v>0</v>
      </c>
      <c r="C60" s="323"/>
      <c r="D60" s="323"/>
      <c r="E60" s="230"/>
      <c r="F60" s="229"/>
      <c r="G60" s="323"/>
      <c r="H60" s="323"/>
      <c r="I60" s="323"/>
      <c r="J60" s="230"/>
      <c r="K60" s="323"/>
      <c r="L60" s="323"/>
      <c r="M60" s="323"/>
      <c r="N60" s="323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</row>
    <row r="61" spans="1:32" ht="15" thickBot="1" x14ac:dyDescent="0.4">
      <c r="A61" s="156"/>
      <c r="B61" s="151">
        <f t="shared" si="19"/>
        <v>0</v>
      </c>
      <c r="C61" s="323"/>
      <c r="D61" s="323"/>
      <c r="E61" s="323"/>
      <c r="F61" s="323"/>
      <c r="G61" s="229"/>
      <c r="H61" s="323"/>
      <c r="I61" s="323"/>
      <c r="J61" s="325"/>
      <c r="K61" s="323"/>
      <c r="L61" s="323"/>
      <c r="M61" s="323"/>
      <c r="N61" s="323"/>
      <c r="O61" s="152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2"/>
      <c r="AB61" s="169"/>
      <c r="AC61" s="157"/>
      <c r="AD61" s="157"/>
      <c r="AE61" s="157"/>
      <c r="AF61" s="157"/>
    </row>
    <row r="62" spans="1:32" ht="15" thickBot="1" x14ac:dyDescent="0.4">
      <c r="A62" s="161" t="s">
        <v>75</v>
      </c>
      <c r="B62" s="162">
        <f t="shared" si="19"/>
        <v>851080.34000000008</v>
      </c>
      <c r="C62" s="324">
        <f>SUM(C63:C73)</f>
        <v>63596.780000000006</v>
      </c>
      <c r="D62" s="324">
        <f>SUM(D63:D73)</f>
        <v>60619.200000000004</v>
      </c>
      <c r="E62" s="324">
        <f t="shared" ref="E62:AF62" si="22">SUM(E63:E73)</f>
        <v>68614.13</v>
      </c>
      <c r="F62" s="324">
        <f>SUM(F63:F73)</f>
        <v>35008.28</v>
      </c>
      <c r="G62" s="324">
        <f t="shared" si="22"/>
        <v>57263.020000000004</v>
      </c>
      <c r="H62" s="324">
        <f t="shared" si="22"/>
        <v>103499.72</v>
      </c>
      <c r="I62" s="324">
        <f t="shared" si="22"/>
        <v>76946.83</v>
      </c>
      <c r="J62" s="324">
        <f t="shared" si="22"/>
        <v>82140.009999999995</v>
      </c>
      <c r="K62" s="324">
        <f t="shared" si="22"/>
        <v>90064.28</v>
      </c>
      <c r="L62" s="324">
        <f t="shared" si="22"/>
        <v>87737.79</v>
      </c>
      <c r="M62" s="324">
        <f t="shared" si="22"/>
        <v>42802.880000000005</v>
      </c>
      <c r="N62" s="324">
        <f t="shared" si="22"/>
        <v>82787.420000000013</v>
      </c>
      <c r="O62" s="162">
        <f t="shared" si="22"/>
        <v>0</v>
      </c>
      <c r="P62" s="162">
        <f t="shared" si="22"/>
        <v>0</v>
      </c>
      <c r="Q62" s="162">
        <f t="shared" si="22"/>
        <v>0</v>
      </c>
      <c r="R62" s="162">
        <f t="shared" si="22"/>
        <v>0</v>
      </c>
      <c r="S62" s="162">
        <f t="shared" si="22"/>
        <v>0</v>
      </c>
      <c r="T62" s="162">
        <f t="shared" si="22"/>
        <v>0</v>
      </c>
      <c r="U62" s="162">
        <f t="shared" si="22"/>
        <v>0</v>
      </c>
      <c r="V62" s="162">
        <f t="shared" si="22"/>
        <v>0</v>
      </c>
      <c r="W62" s="162">
        <f t="shared" si="22"/>
        <v>0</v>
      </c>
      <c r="X62" s="162">
        <f t="shared" si="22"/>
        <v>0</v>
      </c>
      <c r="Y62" s="162">
        <f t="shared" si="22"/>
        <v>0</v>
      </c>
      <c r="Z62" s="162">
        <f t="shared" si="22"/>
        <v>0</v>
      </c>
      <c r="AA62" s="162">
        <f t="shared" si="22"/>
        <v>0</v>
      </c>
      <c r="AB62" s="162">
        <f t="shared" si="22"/>
        <v>0</v>
      </c>
      <c r="AC62" s="162">
        <f t="shared" si="22"/>
        <v>0</v>
      </c>
      <c r="AD62" s="162">
        <f t="shared" si="22"/>
        <v>0</v>
      </c>
      <c r="AE62" s="162">
        <f t="shared" si="22"/>
        <v>0</v>
      </c>
      <c r="AF62" s="162">
        <f t="shared" si="22"/>
        <v>0</v>
      </c>
    </row>
    <row r="63" spans="1:32" x14ac:dyDescent="0.35">
      <c r="A63" s="153" t="s">
        <v>121</v>
      </c>
      <c r="B63" s="151">
        <f t="shared" si="19"/>
        <v>420802.61000000004</v>
      </c>
      <c r="C63" s="229">
        <v>35166.9</v>
      </c>
      <c r="D63" s="229">
        <v>33332.550000000003</v>
      </c>
      <c r="E63" s="229">
        <v>32911.9</v>
      </c>
      <c r="F63" s="229">
        <v>33626.15</v>
      </c>
      <c r="G63" s="229">
        <v>24051.8</v>
      </c>
      <c r="H63" s="229">
        <v>30438.65</v>
      </c>
      <c r="I63" s="229">
        <v>29445.200000000001</v>
      </c>
      <c r="J63" s="229">
        <v>36774.25</v>
      </c>
      <c r="K63" s="229">
        <v>43032.66</v>
      </c>
      <c r="L63" s="229">
        <v>40644.400000000001</v>
      </c>
      <c r="M63" s="229">
        <v>40828.9</v>
      </c>
      <c r="N63" s="229">
        <v>40549.25</v>
      </c>
      <c r="O63" s="229"/>
      <c r="P63" s="152"/>
      <c r="Q63" s="152"/>
      <c r="R63" s="152"/>
      <c r="S63" s="152"/>
      <c r="T63" s="152"/>
      <c r="U63" s="152"/>
      <c r="V63" s="170"/>
      <c r="W63" s="152"/>
      <c r="X63" s="152"/>
      <c r="Y63" s="152"/>
      <c r="Z63" s="152"/>
      <c r="AA63" s="152"/>
      <c r="AB63" s="154"/>
      <c r="AC63" s="152"/>
      <c r="AD63" s="152"/>
      <c r="AE63" s="152"/>
      <c r="AF63" s="152"/>
    </row>
    <row r="64" spans="1:32" x14ac:dyDescent="0.35">
      <c r="A64" s="153" t="s">
        <v>145</v>
      </c>
      <c r="B64" s="151">
        <f t="shared" si="19"/>
        <v>18856.640000000003</v>
      </c>
      <c r="C64" s="229">
        <v>1393.72</v>
      </c>
      <c r="D64" s="326">
        <v>1379.92</v>
      </c>
      <c r="E64" s="230">
        <v>1376.75</v>
      </c>
      <c r="F64" s="229">
        <v>1382.13</v>
      </c>
      <c r="G64" s="229">
        <v>1041.25</v>
      </c>
      <c r="H64" s="326">
        <v>1358.14</v>
      </c>
      <c r="I64" s="326">
        <v>1350.67</v>
      </c>
      <c r="J64" s="229">
        <v>1674.65</v>
      </c>
      <c r="K64" s="229">
        <v>1990.57</v>
      </c>
      <c r="L64" s="229">
        <v>1972.59</v>
      </c>
      <c r="M64" s="229">
        <v>1973.98</v>
      </c>
      <c r="N64" s="229">
        <v>1962.27</v>
      </c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7"/>
      <c r="AA64" s="152"/>
      <c r="AB64" s="152"/>
      <c r="AC64" s="152"/>
      <c r="AD64" s="152"/>
      <c r="AE64" s="152"/>
      <c r="AF64" s="152"/>
    </row>
    <row r="65" spans="1:32" x14ac:dyDescent="0.35">
      <c r="A65" s="153" t="s">
        <v>122</v>
      </c>
      <c r="B65" s="151">
        <f t="shared" si="19"/>
        <v>326625.73</v>
      </c>
      <c r="C65" s="229">
        <v>25980.400000000001</v>
      </c>
      <c r="D65" s="229">
        <v>24859.4</v>
      </c>
      <c r="E65" s="229">
        <v>32948.449999999997</v>
      </c>
      <c r="F65" s="229"/>
      <c r="G65" s="326">
        <v>30809.03</v>
      </c>
      <c r="H65" s="229">
        <v>38483.65</v>
      </c>
      <c r="I65" s="229">
        <v>7333.65</v>
      </c>
      <c r="J65" s="327">
        <v>41710.5</v>
      </c>
      <c r="K65" s="229">
        <v>43050.35</v>
      </c>
      <c r="L65" s="229">
        <v>43129.5</v>
      </c>
      <c r="M65" s="229"/>
      <c r="N65" s="229">
        <v>38320.800000000003</v>
      </c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7"/>
      <c r="AA65" s="152"/>
      <c r="AB65" s="152"/>
      <c r="AC65" s="152"/>
      <c r="AE65" s="152"/>
      <c r="AF65" s="152"/>
    </row>
    <row r="66" spans="1:32" x14ac:dyDescent="0.35">
      <c r="A66" s="153" t="s">
        <v>146</v>
      </c>
      <c r="B66" s="151">
        <f t="shared" si="19"/>
        <v>14824.07</v>
      </c>
      <c r="C66" s="323">
        <v>1055.76</v>
      </c>
      <c r="D66" s="229">
        <v>1047.33</v>
      </c>
      <c r="E66" s="229">
        <v>1377.03</v>
      </c>
      <c r="F66" s="229"/>
      <c r="G66" s="229">
        <v>1360.94</v>
      </c>
      <c r="H66" s="229">
        <v>1687.52</v>
      </c>
      <c r="I66" s="230">
        <v>377.78</v>
      </c>
      <c r="J66" s="328">
        <v>1980.61</v>
      </c>
      <c r="K66" s="229">
        <v>1990.7</v>
      </c>
      <c r="L66" s="229">
        <v>1991.3</v>
      </c>
      <c r="M66" s="229"/>
      <c r="N66" s="229">
        <v>1955.1</v>
      </c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7"/>
      <c r="AA66" s="157"/>
      <c r="AB66" s="157"/>
      <c r="AC66" s="157"/>
      <c r="AE66" s="152"/>
      <c r="AF66" s="152"/>
    </row>
    <row r="67" spans="1:32" x14ac:dyDescent="0.35">
      <c r="A67" s="153" t="s">
        <v>157</v>
      </c>
      <c r="B67" s="151">
        <f t="shared" si="19"/>
        <v>66940.549999999988</v>
      </c>
      <c r="C67" s="229"/>
      <c r="D67" s="229"/>
      <c r="E67" s="229"/>
      <c r="F67" s="229"/>
      <c r="G67" s="229"/>
      <c r="H67" s="229">
        <v>30175.599999999999</v>
      </c>
      <c r="I67" s="230">
        <v>36764.949999999997</v>
      </c>
      <c r="J67" s="230"/>
      <c r="K67" s="229"/>
      <c r="L67" s="229"/>
      <c r="M67" s="229"/>
      <c r="N67" s="229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7"/>
      <c r="AA67" s="157"/>
      <c r="AB67" s="157"/>
      <c r="AC67" s="157"/>
      <c r="AE67" s="152"/>
      <c r="AF67" s="152"/>
    </row>
    <row r="68" spans="1:32" x14ac:dyDescent="0.35">
      <c r="A68" s="153" t="s">
        <v>154</v>
      </c>
      <c r="B68" s="151">
        <f t="shared" si="19"/>
        <v>3030.74</v>
      </c>
      <c r="C68" s="229"/>
      <c r="D68" s="230"/>
      <c r="E68" s="323"/>
      <c r="F68" s="323"/>
      <c r="G68" s="323"/>
      <c r="H68" s="323">
        <v>1356.16</v>
      </c>
      <c r="I68" s="229">
        <v>1674.58</v>
      </c>
      <c r="J68" s="328"/>
      <c r="K68" s="229"/>
      <c r="L68" s="229"/>
      <c r="M68" s="229"/>
      <c r="N68" s="229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7"/>
      <c r="AA68" s="157"/>
      <c r="AB68" s="157"/>
      <c r="AC68" s="157"/>
      <c r="AE68" s="152"/>
      <c r="AF68" s="152"/>
    </row>
    <row r="69" spans="1:32" x14ac:dyDescent="0.35">
      <c r="A69" s="153" t="s">
        <v>155</v>
      </c>
      <c r="B69" s="151">
        <f t="shared" si="19"/>
        <v>0</v>
      </c>
      <c r="C69" s="323"/>
      <c r="D69" s="229"/>
      <c r="E69" s="229"/>
      <c r="F69" s="229"/>
      <c r="G69" s="229"/>
      <c r="H69" s="229"/>
      <c r="I69" s="230"/>
      <c r="J69" s="230"/>
      <c r="K69" s="230"/>
      <c r="L69" s="229"/>
      <c r="M69" s="229"/>
      <c r="N69" s="229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7"/>
      <c r="AA69" s="157"/>
      <c r="AB69" s="157"/>
      <c r="AC69" s="157"/>
      <c r="AD69" s="152"/>
      <c r="AE69" s="152"/>
      <c r="AF69" s="152"/>
    </row>
    <row r="70" spans="1:32" x14ac:dyDescent="0.35">
      <c r="A70" s="153" t="s">
        <v>156</v>
      </c>
      <c r="B70" s="151">
        <f t="shared" si="19"/>
        <v>0</v>
      </c>
      <c r="C70" s="323"/>
      <c r="D70" s="229"/>
      <c r="E70" s="229"/>
      <c r="F70" s="229"/>
      <c r="G70" s="229"/>
      <c r="H70" s="230"/>
      <c r="I70" s="230"/>
      <c r="J70" s="230"/>
      <c r="K70" s="229"/>
      <c r="L70" s="229"/>
      <c r="M70" s="229"/>
      <c r="N70" s="229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7"/>
      <c r="Z70" s="157"/>
      <c r="AA70" s="157"/>
      <c r="AB70" s="157"/>
      <c r="AC70" s="157"/>
      <c r="AD70" s="152"/>
      <c r="AE70" s="152"/>
      <c r="AF70" s="152"/>
    </row>
    <row r="71" spans="1:32" x14ac:dyDescent="0.35">
      <c r="A71" s="153" t="s">
        <v>159</v>
      </c>
      <c r="B71" s="151">
        <f t="shared" si="19"/>
        <v>0</v>
      </c>
      <c r="C71" s="323"/>
      <c r="D71" s="230"/>
      <c r="E71" s="323"/>
      <c r="F71" s="323"/>
      <c r="G71" s="323"/>
      <c r="H71" s="229"/>
      <c r="I71" s="229"/>
      <c r="J71" s="229"/>
      <c r="K71" s="229"/>
      <c r="L71" s="229"/>
      <c r="M71" s="229"/>
      <c r="N71" s="229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7"/>
      <c r="Z71" s="157"/>
      <c r="AA71" s="157"/>
      <c r="AB71" s="157"/>
      <c r="AC71" s="157"/>
      <c r="AD71" s="157"/>
      <c r="AE71" s="157"/>
      <c r="AF71" s="157"/>
    </row>
    <row r="72" spans="1:32" x14ac:dyDescent="0.35">
      <c r="A72" s="153" t="s">
        <v>160</v>
      </c>
      <c r="B72" s="151">
        <f t="shared" si="19"/>
        <v>0</v>
      </c>
      <c r="C72" s="323"/>
      <c r="D72" s="230"/>
      <c r="E72" s="323"/>
      <c r="F72" s="323"/>
      <c r="G72" s="323"/>
      <c r="H72" s="229"/>
      <c r="I72" s="229"/>
      <c r="J72" s="229"/>
      <c r="K72" s="229"/>
      <c r="L72" s="229"/>
      <c r="M72" s="229"/>
      <c r="N72" s="229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7"/>
      <c r="Z72" s="157"/>
      <c r="AA72" s="157"/>
      <c r="AB72" s="157"/>
      <c r="AC72" s="157"/>
      <c r="AD72" s="157"/>
      <c r="AE72" s="157"/>
      <c r="AF72" s="157"/>
    </row>
    <row r="73" spans="1:32" ht="15" thickBot="1" x14ac:dyDescent="0.4">
      <c r="A73" s="153" t="s">
        <v>255</v>
      </c>
      <c r="B73" s="151">
        <f t="shared" si="19"/>
        <v>0</v>
      </c>
      <c r="C73" s="323"/>
      <c r="D73" s="230"/>
      <c r="E73" s="323"/>
      <c r="F73" s="323"/>
      <c r="G73" s="323"/>
      <c r="H73" s="323"/>
      <c r="I73" s="323"/>
      <c r="J73" s="325"/>
      <c r="K73" s="229"/>
      <c r="L73" s="229"/>
      <c r="M73" s="229"/>
      <c r="N73" s="229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7"/>
      <c r="AB73" s="157"/>
      <c r="AC73" s="157"/>
      <c r="AD73" s="157"/>
      <c r="AE73" s="157"/>
      <c r="AF73" s="157"/>
    </row>
    <row r="74" spans="1:32" ht="15" thickBot="1" x14ac:dyDescent="0.4">
      <c r="A74" s="161" t="s">
        <v>76</v>
      </c>
      <c r="B74" s="162">
        <f t="shared" si="19"/>
        <v>418000</v>
      </c>
      <c r="C74" s="324">
        <f t="shared" ref="C74:AF74" si="23">SUM(C75:C77)</f>
        <v>28000</v>
      </c>
      <c r="D74" s="324">
        <f t="shared" si="23"/>
        <v>24000</v>
      </c>
      <c r="E74" s="324">
        <f t="shared" si="23"/>
        <v>29000</v>
      </c>
      <c r="F74" s="324">
        <f t="shared" si="23"/>
        <v>25000</v>
      </c>
      <c r="G74" s="324">
        <f t="shared" si="23"/>
        <v>36000</v>
      </c>
      <c r="H74" s="324">
        <f t="shared" si="23"/>
        <v>37000</v>
      </c>
      <c r="I74" s="324">
        <f t="shared" si="23"/>
        <v>44000</v>
      </c>
      <c r="J74" s="324">
        <f t="shared" si="23"/>
        <v>49000</v>
      </c>
      <c r="K74" s="324">
        <f t="shared" si="23"/>
        <v>30000</v>
      </c>
      <c r="L74" s="324">
        <f t="shared" si="23"/>
        <v>38000</v>
      </c>
      <c r="M74" s="324">
        <f t="shared" si="23"/>
        <v>42000</v>
      </c>
      <c r="N74" s="324">
        <f t="shared" si="23"/>
        <v>36000</v>
      </c>
      <c r="O74" s="162">
        <f t="shared" si="23"/>
        <v>0</v>
      </c>
      <c r="P74" s="162">
        <f t="shared" si="23"/>
        <v>0</v>
      </c>
      <c r="Q74" s="162">
        <f t="shared" si="23"/>
        <v>0</v>
      </c>
      <c r="R74" s="162">
        <f t="shared" si="23"/>
        <v>0</v>
      </c>
      <c r="S74" s="162">
        <f t="shared" si="23"/>
        <v>0</v>
      </c>
      <c r="T74" s="162">
        <f t="shared" si="23"/>
        <v>0</v>
      </c>
      <c r="U74" s="162">
        <f t="shared" si="23"/>
        <v>0</v>
      </c>
      <c r="V74" s="162">
        <f t="shared" si="23"/>
        <v>0</v>
      </c>
      <c r="W74" s="162">
        <f t="shared" si="23"/>
        <v>0</v>
      </c>
      <c r="X74" s="162">
        <f t="shared" si="23"/>
        <v>0</v>
      </c>
      <c r="Y74" s="162">
        <f t="shared" si="23"/>
        <v>0</v>
      </c>
      <c r="Z74" s="162">
        <f t="shared" si="23"/>
        <v>0</v>
      </c>
      <c r="AA74" s="162">
        <f t="shared" si="23"/>
        <v>0</v>
      </c>
      <c r="AB74" s="162">
        <f t="shared" si="23"/>
        <v>0</v>
      </c>
      <c r="AC74" s="162">
        <f t="shared" si="23"/>
        <v>0</v>
      </c>
      <c r="AD74" s="162">
        <f t="shared" si="23"/>
        <v>0</v>
      </c>
      <c r="AE74" s="162">
        <f t="shared" si="23"/>
        <v>0</v>
      </c>
      <c r="AF74" s="162">
        <f t="shared" si="23"/>
        <v>0</v>
      </c>
    </row>
    <row r="75" spans="1:32" x14ac:dyDescent="0.35">
      <c r="A75" s="150" t="s">
        <v>78</v>
      </c>
      <c r="B75" s="151">
        <f t="shared" si="19"/>
        <v>209000</v>
      </c>
      <c r="C75" s="229">
        <v>14000</v>
      </c>
      <c r="D75" s="230">
        <v>12000</v>
      </c>
      <c r="E75" s="230">
        <v>14500</v>
      </c>
      <c r="F75" s="230">
        <v>12500</v>
      </c>
      <c r="G75" s="230">
        <v>18000</v>
      </c>
      <c r="H75" s="229">
        <v>18500</v>
      </c>
      <c r="I75" s="229">
        <v>22000</v>
      </c>
      <c r="J75" s="229">
        <v>24500</v>
      </c>
      <c r="K75" s="229">
        <v>15000</v>
      </c>
      <c r="L75" s="229">
        <v>19000</v>
      </c>
      <c r="M75" s="230">
        <v>21000</v>
      </c>
      <c r="N75" s="230">
        <v>18000</v>
      </c>
      <c r="O75" s="154"/>
      <c r="P75" s="230"/>
      <c r="Q75" s="154"/>
      <c r="R75" s="154"/>
      <c r="S75" s="154"/>
      <c r="T75" s="214"/>
      <c r="U75" s="214"/>
      <c r="V75" s="214"/>
      <c r="W75" s="154"/>
      <c r="X75" s="214"/>
      <c r="Y75" s="154"/>
      <c r="Z75" s="152"/>
      <c r="AA75" s="152"/>
      <c r="AB75" s="154"/>
      <c r="AC75" s="154"/>
      <c r="AD75" s="170"/>
      <c r="AE75" s="154"/>
      <c r="AF75" s="154"/>
    </row>
    <row r="76" spans="1:32" x14ac:dyDescent="0.35">
      <c r="A76" s="153" t="s">
        <v>79</v>
      </c>
      <c r="B76" s="151">
        <f t="shared" si="19"/>
        <v>209000</v>
      </c>
      <c r="C76" s="229">
        <v>14000</v>
      </c>
      <c r="D76" s="230">
        <v>12000</v>
      </c>
      <c r="E76" s="230">
        <v>14500</v>
      </c>
      <c r="F76" s="327">
        <v>12500</v>
      </c>
      <c r="G76" s="230">
        <v>18000</v>
      </c>
      <c r="H76" s="230">
        <v>18500</v>
      </c>
      <c r="I76" s="230">
        <v>22000</v>
      </c>
      <c r="J76" s="327">
        <v>24500</v>
      </c>
      <c r="K76" s="230">
        <v>15000</v>
      </c>
      <c r="L76" s="229">
        <v>19000</v>
      </c>
      <c r="M76" s="229">
        <v>21000</v>
      </c>
      <c r="N76" s="229">
        <v>18000</v>
      </c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</row>
    <row r="77" spans="1:32" ht="15" thickBot="1" x14ac:dyDescent="0.4">
      <c r="A77" s="153"/>
      <c r="B77" s="151">
        <f t="shared" ref="B77" si="24">SUM(C77:AF77)</f>
        <v>0</v>
      </c>
      <c r="C77" s="229"/>
      <c r="D77" s="230"/>
      <c r="E77" s="327"/>
      <c r="F77" s="327"/>
      <c r="G77" s="327"/>
      <c r="H77" s="327"/>
      <c r="I77" s="327"/>
      <c r="J77" s="327"/>
      <c r="K77" s="229"/>
      <c r="L77" s="229"/>
      <c r="M77" s="229"/>
      <c r="N77" s="229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</row>
    <row r="78" spans="1:32" ht="15" thickBot="1" x14ac:dyDescent="0.4">
      <c r="A78" s="161" t="s">
        <v>98</v>
      </c>
      <c r="B78" s="162">
        <f t="shared" ref="B78:B115" si="25">SUM(C78:AF78)</f>
        <v>95172.2</v>
      </c>
      <c r="C78" s="162">
        <f t="shared" ref="C78:AF78" si="26">SUM(C79:C109)</f>
        <v>6640.0000000000009</v>
      </c>
      <c r="D78" s="162">
        <f t="shared" si="26"/>
        <v>7790</v>
      </c>
      <c r="E78" s="162">
        <f t="shared" si="26"/>
        <v>8560</v>
      </c>
      <c r="F78" s="162">
        <f t="shared" si="26"/>
        <v>6935</v>
      </c>
      <c r="G78" s="162">
        <f t="shared" si="26"/>
        <v>6997.2000000000007</v>
      </c>
      <c r="H78" s="162">
        <f t="shared" si="26"/>
        <v>7150.0000000000009</v>
      </c>
      <c r="I78" s="162">
        <f t="shared" si="26"/>
        <v>7720</v>
      </c>
      <c r="J78" s="162">
        <f t="shared" si="26"/>
        <v>8710</v>
      </c>
      <c r="K78" s="162">
        <f t="shared" si="26"/>
        <v>8150</v>
      </c>
      <c r="L78" s="162">
        <f t="shared" si="26"/>
        <v>8120.0000000000009</v>
      </c>
      <c r="M78" s="162">
        <f t="shared" si="26"/>
        <v>7190.0000000000009</v>
      </c>
      <c r="N78" s="162">
        <f t="shared" si="26"/>
        <v>11210</v>
      </c>
      <c r="O78" s="162">
        <f t="shared" si="26"/>
        <v>0</v>
      </c>
      <c r="P78" s="162">
        <f t="shared" si="26"/>
        <v>0</v>
      </c>
      <c r="Q78" s="162">
        <f t="shared" si="26"/>
        <v>0</v>
      </c>
      <c r="R78" s="162">
        <f t="shared" si="26"/>
        <v>0</v>
      </c>
      <c r="S78" s="162">
        <f t="shared" si="26"/>
        <v>0</v>
      </c>
      <c r="T78" s="162">
        <f t="shared" si="26"/>
        <v>0</v>
      </c>
      <c r="U78" s="162">
        <f t="shared" si="26"/>
        <v>0</v>
      </c>
      <c r="V78" s="162">
        <f t="shared" si="26"/>
        <v>0</v>
      </c>
      <c r="W78" s="162">
        <f t="shared" si="26"/>
        <v>0</v>
      </c>
      <c r="X78" s="162">
        <f t="shared" si="26"/>
        <v>0</v>
      </c>
      <c r="Y78" s="162">
        <f t="shared" si="26"/>
        <v>0</v>
      </c>
      <c r="Z78" s="162">
        <f t="shared" si="26"/>
        <v>0</v>
      </c>
      <c r="AA78" s="162">
        <f t="shared" si="26"/>
        <v>0</v>
      </c>
      <c r="AB78" s="162">
        <f t="shared" si="26"/>
        <v>0</v>
      </c>
      <c r="AC78" s="162">
        <f t="shared" si="26"/>
        <v>0</v>
      </c>
      <c r="AD78" s="162">
        <f t="shared" si="26"/>
        <v>0</v>
      </c>
      <c r="AE78" s="162">
        <f t="shared" si="26"/>
        <v>0</v>
      </c>
      <c r="AF78" s="162">
        <f t="shared" si="26"/>
        <v>0</v>
      </c>
    </row>
    <row r="79" spans="1:32" x14ac:dyDescent="0.35">
      <c r="A79" s="150" t="s">
        <v>80</v>
      </c>
      <c r="B79" s="151">
        <f t="shared" si="25"/>
        <v>417.75</v>
      </c>
      <c r="C79" s="152">
        <v>38.700000000000003</v>
      </c>
      <c r="D79" s="154">
        <v>26.5</v>
      </c>
      <c r="E79" s="154">
        <v>22.62</v>
      </c>
      <c r="F79" s="154">
        <v>33.950000000000003</v>
      </c>
      <c r="G79" s="154">
        <v>66.34</v>
      </c>
      <c r="H79" s="154">
        <v>17.84</v>
      </c>
      <c r="I79" s="154">
        <v>44.5</v>
      </c>
      <c r="J79" s="154">
        <v>32.229999999999997</v>
      </c>
      <c r="K79" s="154">
        <v>27.03</v>
      </c>
      <c r="L79" s="154">
        <v>38.51</v>
      </c>
      <c r="M79" s="152">
        <v>9.09</v>
      </c>
      <c r="N79" s="152">
        <v>60.44</v>
      </c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</row>
    <row r="80" spans="1:32" x14ac:dyDescent="0.35">
      <c r="A80" s="153" t="s">
        <v>127</v>
      </c>
      <c r="B80" s="151">
        <f>SUM(C80:AF80)</f>
        <v>34.799999999999997</v>
      </c>
      <c r="C80" s="152">
        <v>34.799999999999997</v>
      </c>
      <c r="D80" s="154"/>
      <c r="E80" s="154"/>
      <c r="F80" s="154"/>
      <c r="G80" s="154"/>
      <c r="H80" s="154"/>
      <c r="I80" s="154"/>
      <c r="J80" s="154"/>
      <c r="K80" s="154"/>
      <c r="L80" s="154"/>
      <c r="M80" s="152"/>
      <c r="N80" s="152"/>
      <c r="O80" s="152"/>
      <c r="P80" s="152"/>
      <c r="Q80" s="154"/>
      <c r="R80" s="154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</row>
    <row r="81" spans="1:32" x14ac:dyDescent="0.35">
      <c r="A81" s="153" t="s">
        <v>116</v>
      </c>
      <c r="B81" s="151">
        <f>SUM(C81:AF81)</f>
        <v>13498.589999999998</v>
      </c>
      <c r="C81" s="154">
        <v>860.07</v>
      </c>
      <c r="D81" s="154">
        <v>829.8</v>
      </c>
      <c r="E81" s="154">
        <v>758.48</v>
      </c>
      <c r="F81" s="154">
        <v>552.09</v>
      </c>
      <c r="G81" s="154">
        <v>935.14</v>
      </c>
      <c r="H81" s="154">
        <v>1001.23</v>
      </c>
      <c r="I81" s="154">
        <v>926.08</v>
      </c>
      <c r="J81" s="154">
        <v>1186.5999999999999</v>
      </c>
      <c r="K81" s="154">
        <v>1432.22</v>
      </c>
      <c r="L81" s="154">
        <v>2111.41</v>
      </c>
      <c r="M81" s="152">
        <v>1198.21</v>
      </c>
      <c r="N81" s="152">
        <v>1707.26</v>
      </c>
      <c r="O81" s="152"/>
      <c r="P81" s="152"/>
      <c r="Q81" s="154"/>
      <c r="R81" s="154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</row>
    <row r="82" spans="1:32" x14ac:dyDescent="0.35">
      <c r="A82" s="153" t="s">
        <v>347</v>
      </c>
      <c r="B82" s="151">
        <f t="shared" ref="B82:B84" si="27">SUM(C82:AF82)</f>
        <v>0</v>
      </c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2"/>
      <c r="N82" s="152"/>
      <c r="O82" s="152"/>
      <c r="P82" s="152"/>
      <c r="Q82" s="154"/>
      <c r="R82" s="154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</row>
    <row r="83" spans="1:32" x14ac:dyDescent="0.35">
      <c r="A83" s="153" t="s">
        <v>348</v>
      </c>
      <c r="B83" s="151">
        <f t="shared" si="27"/>
        <v>1980</v>
      </c>
      <c r="C83" s="154"/>
      <c r="D83" s="154"/>
      <c r="E83" s="154"/>
      <c r="F83" s="154">
        <v>380</v>
      </c>
      <c r="G83" s="154">
        <v>200</v>
      </c>
      <c r="H83" s="154">
        <v>200</v>
      </c>
      <c r="I83" s="154">
        <v>200</v>
      </c>
      <c r="J83" s="154">
        <v>200</v>
      </c>
      <c r="K83" s="154">
        <v>200</v>
      </c>
      <c r="L83" s="154">
        <v>200</v>
      </c>
      <c r="M83" s="152">
        <v>200</v>
      </c>
      <c r="N83" s="152">
        <v>200</v>
      </c>
      <c r="O83" s="152"/>
      <c r="P83" s="152"/>
      <c r="Q83" s="154"/>
      <c r="R83" s="154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</row>
    <row r="84" spans="1:32" x14ac:dyDescent="0.35">
      <c r="A84" s="153" t="s">
        <v>113</v>
      </c>
      <c r="B84" s="151">
        <f t="shared" si="27"/>
        <v>8560</v>
      </c>
      <c r="C84" s="152">
        <v>480</v>
      </c>
      <c r="D84" s="154">
        <v>610</v>
      </c>
      <c r="E84" s="154">
        <v>460</v>
      </c>
      <c r="F84" s="154">
        <v>460</v>
      </c>
      <c r="G84" s="154">
        <v>530</v>
      </c>
      <c r="H84" s="154">
        <v>710</v>
      </c>
      <c r="I84" s="154">
        <v>700</v>
      </c>
      <c r="J84" s="154">
        <v>740</v>
      </c>
      <c r="K84" s="154">
        <v>900</v>
      </c>
      <c r="L84" s="154">
        <v>900</v>
      </c>
      <c r="M84" s="152">
        <v>770</v>
      </c>
      <c r="N84" s="152">
        <v>1300</v>
      </c>
      <c r="O84" s="152"/>
      <c r="P84" s="152"/>
      <c r="Q84" s="154"/>
      <c r="R84" s="154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</row>
    <row r="85" spans="1:32" x14ac:dyDescent="0.35">
      <c r="A85" s="153" t="s">
        <v>158</v>
      </c>
      <c r="B85" s="151">
        <f>SUM(C85:AF85)</f>
        <v>0</v>
      </c>
      <c r="C85" s="152"/>
      <c r="D85" s="154"/>
      <c r="E85" s="154"/>
      <c r="F85" s="154"/>
      <c r="G85" s="154"/>
      <c r="H85" s="154"/>
      <c r="I85" s="154"/>
      <c r="J85" s="154"/>
      <c r="K85" s="154"/>
      <c r="L85" s="154"/>
      <c r="M85" s="152"/>
      <c r="N85" s="152"/>
      <c r="O85" s="152"/>
      <c r="P85" s="152"/>
      <c r="Q85" s="154"/>
      <c r="R85" s="154"/>
      <c r="S85" s="154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</row>
    <row r="86" spans="1:32" x14ac:dyDescent="0.35">
      <c r="A86" s="153" t="s">
        <v>445</v>
      </c>
      <c r="B86" s="151">
        <f t="shared" si="25"/>
        <v>1476</v>
      </c>
      <c r="C86" s="152"/>
      <c r="D86" s="154">
        <v>136</v>
      </c>
      <c r="E86" s="154"/>
      <c r="F86" s="154">
        <v>50</v>
      </c>
      <c r="G86" s="154"/>
      <c r="H86" s="154">
        <v>20</v>
      </c>
      <c r="I86" s="154"/>
      <c r="J86" s="154">
        <v>700</v>
      </c>
      <c r="K86" s="154">
        <v>80</v>
      </c>
      <c r="L86" s="154"/>
      <c r="M86" s="152">
        <v>150</v>
      </c>
      <c r="N86" s="152">
        <v>340</v>
      </c>
      <c r="O86" s="152"/>
      <c r="P86" s="152"/>
      <c r="Q86" s="154"/>
      <c r="R86" s="154"/>
      <c r="S86" s="154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</row>
    <row r="87" spans="1:32" x14ac:dyDescent="0.35">
      <c r="A87" s="153" t="s">
        <v>357</v>
      </c>
      <c r="B87" s="151">
        <f t="shared" si="25"/>
        <v>5900</v>
      </c>
      <c r="C87" s="152">
        <v>1200</v>
      </c>
      <c r="D87" s="152">
        <v>1200</v>
      </c>
      <c r="E87" s="154">
        <v>1200</v>
      </c>
      <c r="F87" s="154">
        <v>1200</v>
      </c>
      <c r="G87" s="550">
        <v>1100</v>
      </c>
      <c r="H87" s="154"/>
      <c r="I87" s="154"/>
      <c r="J87" s="154"/>
      <c r="K87" s="154"/>
      <c r="L87" s="154"/>
      <c r="M87" s="154"/>
      <c r="N87" s="154"/>
      <c r="O87" s="152"/>
      <c r="P87" s="154"/>
      <c r="Q87" s="154"/>
      <c r="R87" s="154"/>
      <c r="S87" s="154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</row>
    <row r="88" spans="1:32" x14ac:dyDescent="0.35">
      <c r="A88" s="153" t="s">
        <v>424</v>
      </c>
      <c r="B88" s="151">
        <f t="shared" ref="B88" si="28">SUM(C88:AF88)</f>
        <v>7350</v>
      </c>
      <c r="C88" s="152"/>
      <c r="D88" s="152"/>
      <c r="E88" s="154"/>
      <c r="F88" s="154"/>
      <c r="G88" s="154"/>
      <c r="H88" s="550">
        <v>1050</v>
      </c>
      <c r="I88" s="154">
        <v>1050</v>
      </c>
      <c r="J88" s="154">
        <v>1050</v>
      </c>
      <c r="K88" s="154">
        <v>1050</v>
      </c>
      <c r="L88" s="154">
        <v>1050</v>
      </c>
      <c r="M88" s="154">
        <v>1050</v>
      </c>
      <c r="N88" s="154">
        <v>1050</v>
      </c>
      <c r="O88" s="152"/>
      <c r="P88" s="154"/>
      <c r="Q88" s="154"/>
      <c r="R88" s="154"/>
      <c r="S88" s="154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</row>
    <row r="89" spans="1:32" x14ac:dyDescent="0.35">
      <c r="A89" s="153" t="s">
        <v>317</v>
      </c>
      <c r="B89" s="151">
        <f t="shared" si="25"/>
        <v>13847.219999999998</v>
      </c>
      <c r="C89" s="152">
        <v>1133.99</v>
      </c>
      <c r="D89" s="152">
        <v>1133.99</v>
      </c>
      <c r="E89" s="154">
        <v>1204.1300000000001</v>
      </c>
      <c r="F89" s="154">
        <v>1133.99</v>
      </c>
      <c r="G89" s="154">
        <v>1133.99</v>
      </c>
      <c r="H89" s="154">
        <v>1133.99</v>
      </c>
      <c r="I89" s="154">
        <v>1133.99</v>
      </c>
      <c r="J89" s="154">
        <v>1133.99</v>
      </c>
      <c r="K89" s="154">
        <v>1133.99</v>
      </c>
      <c r="L89" s="154">
        <v>1190.3900000000001</v>
      </c>
      <c r="M89" s="154">
        <v>1190.3900000000001</v>
      </c>
      <c r="N89" s="154">
        <v>1190.3900000000001</v>
      </c>
      <c r="O89" s="152"/>
      <c r="P89" s="154"/>
      <c r="Q89" s="154"/>
      <c r="R89" s="154"/>
      <c r="S89" s="154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</row>
    <row r="90" spans="1:32" x14ac:dyDescent="0.35">
      <c r="A90" s="153" t="s">
        <v>343</v>
      </c>
      <c r="B90" s="151">
        <f t="shared" si="25"/>
        <v>1796.9</v>
      </c>
      <c r="C90" s="152"/>
      <c r="D90" s="152"/>
      <c r="E90" s="154">
        <v>216.9</v>
      </c>
      <c r="F90" s="154">
        <v>300</v>
      </c>
      <c r="G90" s="154">
        <v>300</v>
      </c>
      <c r="H90" s="154">
        <v>300</v>
      </c>
      <c r="I90" s="154">
        <v>380</v>
      </c>
      <c r="J90" s="154">
        <v>300</v>
      </c>
      <c r="K90" s="154"/>
      <c r="L90" s="154"/>
      <c r="M90" s="152"/>
      <c r="N90" s="152"/>
      <c r="O90" s="152"/>
      <c r="P90" s="152"/>
      <c r="Q90" s="154"/>
      <c r="R90" s="154"/>
      <c r="S90" s="154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</row>
    <row r="91" spans="1:32" x14ac:dyDescent="0.35">
      <c r="A91" s="441" t="s">
        <v>354</v>
      </c>
      <c r="B91" s="151">
        <f t="shared" si="25"/>
        <v>2660.01</v>
      </c>
      <c r="C91" s="152">
        <v>99</v>
      </c>
      <c r="D91" s="152">
        <v>225.01</v>
      </c>
      <c r="E91" s="154">
        <v>619.1</v>
      </c>
      <c r="F91" s="154">
        <v>135</v>
      </c>
      <c r="G91" s="154">
        <v>144</v>
      </c>
      <c r="H91" s="154">
        <v>185.85</v>
      </c>
      <c r="I91" s="154">
        <v>147.91999999999999</v>
      </c>
      <c r="J91" s="154">
        <v>203.67</v>
      </c>
      <c r="K91" s="154">
        <v>167.93</v>
      </c>
      <c r="L91" s="154">
        <v>185.85</v>
      </c>
      <c r="M91" s="152">
        <v>165.47</v>
      </c>
      <c r="N91" s="152">
        <v>381.21</v>
      </c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</row>
    <row r="92" spans="1:32" x14ac:dyDescent="0.35">
      <c r="A92" s="441" t="s">
        <v>355</v>
      </c>
      <c r="B92" s="151">
        <f t="shared" ref="B92" si="29">SUM(C92:AF92)</f>
        <v>4119.03</v>
      </c>
      <c r="C92" s="152">
        <v>325.33999999999997</v>
      </c>
      <c r="D92" s="154">
        <v>328.7</v>
      </c>
      <c r="E92" s="154">
        <v>334.97</v>
      </c>
      <c r="F92" s="154">
        <v>334.97</v>
      </c>
      <c r="G92" s="154">
        <v>337.73</v>
      </c>
      <c r="H92" s="154">
        <v>341.09</v>
      </c>
      <c r="I92" s="154">
        <v>347.51</v>
      </c>
      <c r="J92" s="154">
        <v>347.51</v>
      </c>
      <c r="K92" s="154">
        <v>350.93</v>
      </c>
      <c r="L92" s="154">
        <v>353.84</v>
      </c>
      <c r="M92" s="152">
        <v>356.84</v>
      </c>
      <c r="N92" s="152">
        <v>359.6</v>
      </c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</row>
    <row r="93" spans="1:32" x14ac:dyDescent="0.35">
      <c r="A93" s="153" t="s">
        <v>151</v>
      </c>
      <c r="B93" s="151">
        <f t="shared" ref="B93:B107" si="30">SUM(C93:AF93)</f>
        <v>3087.8</v>
      </c>
      <c r="C93" s="152"/>
      <c r="D93" s="154"/>
      <c r="E93" s="154">
        <v>143.80000000000001</v>
      </c>
      <c r="F93" s="154"/>
      <c r="G93" s="154"/>
      <c r="H93" s="154"/>
      <c r="I93" s="154"/>
      <c r="J93" s="154">
        <v>200</v>
      </c>
      <c r="K93" s="154">
        <v>82.9</v>
      </c>
      <c r="L93" s="154"/>
      <c r="M93" s="152">
        <v>100</v>
      </c>
      <c r="N93" s="152">
        <v>2561.1</v>
      </c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</row>
    <row r="94" spans="1:32" x14ac:dyDescent="0.35">
      <c r="A94" s="153" t="s">
        <v>256</v>
      </c>
      <c r="B94" s="151">
        <f t="shared" si="30"/>
        <v>1663.1</v>
      </c>
      <c r="C94" s="152">
        <v>468.1</v>
      </c>
      <c r="D94" s="154">
        <v>240</v>
      </c>
      <c r="E94" s="154">
        <v>85</v>
      </c>
      <c r="F94" s="154">
        <v>80</v>
      </c>
      <c r="G94" s="154"/>
      <c r="H94" s="154">
        <v>40</v>
      </c>
      <c r="I94" s="154">
        <v>420</v>
      </c>
      <c r="J94" s="154">
        <v>100</v>
      </c>
      <c r="K94" s="154">
        <v>140</v>
      </c>
      <c r="L94" s="154">
        <v>90</v>
      </c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</row>
    <row r="95" spans="1:32" x14ac:dyDescent="0.35">
      <c r="A95" s="153" t="s">
        <v>264</v>
      </c>
      <c r="B95" s="151">
        <f t="shared" si="30"/>
        <v>800</v>
      </c>
      <c r="C95" s="152"/>
      <c r="D95" s="154"/>
      <c r="E95" s="154"/>
      <c r="F95" s="154"/>
      <c r="G95" s="154"/>
      <c r="H95" s="154"/>
      <c r="I95" s="154"/>
      <c r="J95" s="154">
        <v>200</v>
      </c>
      <c r="K95" s="154">
        <v>540</v>
      </c>
      <c r="L95" s="154"/>
      <c r="M95" s="152"/>
      <c r="N95" s="152">
        <v>60</v>
      </c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</row>
    <row r="96" spans="1:32" x14ac:dyDescent="0.35">
      <c r="A96" s="153" t="s">
        <v>344</v>
      </c>
      <c r="B96" s="151">
        <f t="shared" ref="B96" si="31">SUM(C96:AF96)</f>
        <v>3130</v>
      </c>
      <c r="C96" s="152"/>
      <c r="D96" s="230">
        <v>1000</v>
      </c>
      <c r="E96" s="327">
        <v>1495</v>
      </c>
      <c r="F96" s="327">
        <v>255</v>
      </c>
      <c r="G96" s="327">
        <v>250</v>
      </c>
      <c r="H96" s="327">
        <v>130</v>
      </c>
      <c r="I96" s="154"/>
      <c r="J96" s="154"/>
      <c r="K96" s="154"/>
      <c r="L96" s="154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</row>
    <row r="97" spans="1:32" x14ac:dyDescent="0.35">
      <c r="A97" s="153"/>
      <c r="B97" s="151">
        <f t="shared" si="30"/>
        <v>0</v>
      </c>
      <c r="C97" s="152"/>
      <c r="D97" s="230"/>
      <c r="E97" s="327"/>
      <c r="F97" s="327"/>
      <c r="G97" s="327"/>
      <c r="H97" s="327"/>
      <c r="I97" s="154"/>
      <c r="J97" s="154"/>
      <c r="K97" s="154"/>
      <c r="L97" s="154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</row>
    <row r="98" spans="1:32" x14ac:dyDescent="0.35">
      <c r="A98" s="153" t="s">
        <v>257</v>
      </c>
      <c r="B98" s="151">
        <f t="shared" si="30"/>
        <v>425.5</v>
      </c>
      <c r="C98" s="229"/>
      <c r="D98" s="230">
        <v>30</v>
      </c>
      <c r="E98" s="327">
        <v>10</v>
      </c>
      <c r="F98" s="327">
        <v>10</v>
      </c>
      <c r="G98" s="327"/>
      <c r="H98" s="230">
        <v>10</v>
      </c>
      <c r="I98" s="154">
        <v>185</v>
      </c>
      <c r="J98" s="154">
        <v>158</v>
      </c>
      <c r="K98" s="154">
        <v>22.5</v>
      </c>
      <c r="L98" s="154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</row>
    <row r="99" spans="1:32" x14ac:dyDescent="0.35">
      <c r="A99" s="153" t="s">
        <v>258</v>
      </c>
      <c r="B99" s="151">
        <f t="shared" si="30"/>
        <v>425.5</v>
      </c>
      <c r="C99" s="229"/>
      <c r="D99" s="230">
        <v>30</v>
      </c>
      <c r="E99" s="327">
        <v>10</v>
      </c>
      <c r="F99" s="327">
        <v>10</v>
      </c>
      <c r="G99" s="327"/>
      <c r="H99" s="152">
        <v>10</v>
      </c>
      <c r="I99" s="154">
        <v>185</v>
      </c>
      <c r="J99" s="154">
        <v>158</v>
      </c>
      <c r="K99" s="154">
        <v>22.5</v>
      </c>
      <c r="L99" s="154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</row>
    <row r="100" spans="1:32" x14ac:dyDescent="0.35">
      <c r="A100" s="153"/>
      <c r="B100" s="151">
        <f t="shared" si="30"/>
        <v>0</v>
      </c>
      <c r="C100" s="229"/>
      <c r="D100" s="230"/>
      <c r="E100" s="327"/>
      <c r="F100" s="327"/>
      <c r="G100" s="327"/>
      <c r="H100" s="327"/>
      <c r="I100" s="154"/>
      <c r="J100" s="154"/>
      <c r="K100" s="154"/>
      <c r="L100" s="154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</row>
    <row r="101" spans="1:32" x14ac:dyDescent="0.35">
      <c r="A101" s="153" t="s">
        <v>123</v>
      </c>
      <c r="B101" s="151">
        <f t="shared" si="30"/>
        <v>0</v>
      </c>
      <c r="C101" s="229"/>
      <c r="D101" s="230"/>
      <c r="E101" s="327"/>
      <c r="F101" s="229"/>
      <c r="G101" s="230"/>
      <c r="H101" s="327"/>
      <c r="I101" s="229"/>
      <c r="J101" s="230"/>
      <c r="K101" s="327"/>
      <c r="L101" s="229"/>
      <c r="M101" s="230"/>
      <c r="N101" s="327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</row>
    <row r="102" spans="1:32" x14ac:dyDescent="0.35">
      <c r="A102" s="153" t="s">
        <v>124</v>
      </c>
      <c r="B102" s="151">
        <f t="shared" si="30"/>
        <v>0</v>
      </c>
      <c r="C102" s="229"/>
      <c r="D102" s="230"/>
      <c r="E102" s="327"/>
      <c r="F102" s="327"/>
      <c r="G102" s="327"/>
      <c r="H102" s="327"/>
      <c r="I102" s="154"/>
      <c r="J102" s="154"/>
      <c r="K102" s="154"/>
      <c r="L102" s="154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</row>
    <row r="103" spans="1:32" x14ac:dyDescent="0.35">
      <c r="A103" s="153"/>
      <c r="B103" s="151">
        <f t="shared" si="30"/>
        <v>0</v>
      </c>
      <c r="C103" s="229"/>
      <c r="D103" s="230"/>
      <c r="E103" s="230"/>
      <c r="F103" s="230"/>
      <c r="G103" s="327"/>
      <c r="H103" s="327"/>
      <c r="I103" s="154"/>
      <c r="J103" s="154"/>
      <c r="K103" s="154"/>
      <c r="L103" s="154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</row>
    <row r="104" spans="1:32" x14ac:dyDescent="0.35">
      <c r="A104" s="150" t="s">
        <v>128</v>
      </c>
      <c r="B104" s="151">
        <f t="shared" si="30"/>
        <v>0</v>
      </c>
      <c r="C104" s="230"/>
      <c r="D104" s="230"/>
      <c r="E104" s="230"/>
      <c r="F104" s="230"/>
      <c r="G104" s="230"/>
      <c r="H104" s="230"/>
      <c r="I104" s="154"/>
      <c r="J104" s="154"/>
      <c r="K104" s="154"/>
      <c r="L104" s="154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</row>
    <row r="105" spans="1:32" x14ac:dyDescent="0.35">
      <c r="A105" s="153" t="s">
        <v>129</v>
      </c>
      <c r="B105" s="151">
        <f t="shared" si="30"/>
        <v>0</v>
      </c>
      <c r="C105" s="229"/>
      <c r="D105" s="152"/>
      <c r="E105" s="152"/>
      <c r="F105" s="152"/>
      <c r="G105" s="152"/>
      <c r="H105" s="152"/>
      <c r="I105" s="154"/>
      <c r="J105" s="154"/>
      <c r="K105" s="154"/>
      <c r="L105" s="154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</row>
    <row r="106" spans="1:32" x14ac:dyDescent="0.35">
      <c r="A106" s="153" t="s">
        <v>367</v>
      </c>
      <c r="B106" s="151">
        <f t="shared" si="30"/>
        <v>24000</v>
      </c>
      <c r="C106" s="154">
        <v>2000</v>
      </c>
      <c r="D106" s="154">
        <v>2000</v>
      </c>
      <c r="E106" s="154">
        <v>2000</v>
      </c>
      <c r="F106" s="154">
        <v>2000</v>
      </c>
      <c r="G106" s="154">
        <v>2000</v>
      </c>
      <c r="H106" s="154">
        <v>2000</v>
      </c>
      <c r="I106" s="154">
        <v>2000</v>
      </c>
      <c r="J106" s="154">
        <v>2000</v>
      </c>
      <c r="K106" s="154">
        <v>2000</v>
      </c>
      <c r="L106" s="154">
        <v>2000</v>
      </c>
      <c r="M106" s="154">
        <v>2000</v>
      </c>
      <c r="N106" s="154">
        <v>2000</v>
      </c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</row>
    <row r="107" spans="1:32" x14ac:dyDescent="0.35">
      <c r="A107" s="153"/>
      <c r="B107" s="151">
        <f t="shared" si="30"/>
        <v>0</v>
      </c>
      <c r="C107" s="152"/>
      <c r="D107" s="154"/>
      <c r="E107" s="154"/>
      <c r="F107" s="154"/>
      <c r="G107" s="154"/>
      <c r="H107" s="154"/>
      <c r="I107" s="154"/>
      <c r="J107" s="154"/>
      <c r="K107" s="154"/>
      <c r="L107" s="154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</row>
    <row r="108" spans="1:32" x14ac:dyDescent="0.35">
      <c r="A108" s="153" t="s">
        <v>265</v>
      </c>
      <c r="B108" s="151">
        <f>SUM(C108:AF108)</f>
        <v>0</v>
      </c>
      <c r="C108" s="152"/>
      <c r="D108" s="154"/>
      <c r="E108" s="154"/>
      <c r="F108" s="154"/>
      <c r="G108" s="154"/>
      <c r="H108" s="154"/>
      <c r="I108" s="154"/>
      <c r="J108" s="154"/>
      <c r="K108" s="154"/>
      <c r="L108" s="154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</row>
    <row r="109" spans="1:32" ht="15" thickBot="1" x14ac:dyDescent="0.4">
      <c r="A109" s="153"/>
      <c r="B109" s="151">
        <f t="shared" si="25"/>
        <v>0</v>
      </c>
      <c r="C109" s="152"/>
      <c r="D109" s="154"/>
      <c r="E109" s="154"/>
      <c r="F109" s="154"/>
      <c r="G109" s="154"/>
      <c r="H109" s="154"/>
      <c r="I109" s="154"/>
      <c r="J109" s="154"/>
      <c r="K109" s="154"/>
      <c r="L109" s="154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</row>
    <row r="110" spans="1:32" ht="15" thickBot="1" x14ac:dyDescent="0.4">
      <c r="A110" s="161" t="s">
        <v>436</v>
      </c>
      <c r="B110" s="162">
        <f t="shared" si="25"/>
        <v>18351.060000000001</v>
      </c>
      <c r="C110" s="162">
        <f>SUM(C111:C115)</f>
        <v>0</v>
      </c>
      <c r="D110" s="162">
        <f t="shared" ref="D110:AF110" si="32">SUM(D111:D115)</f>
        <v>0</v>
      </c>
      <c r="E110" s="162">
        <f t="shared" si="32"/>
        <v>0</v>
      </c>
      <c r="F110" s="162">
        <f t="shared" si="32"/>
        <v>1850</v>
      </c>
      <c r="G110" s="162">
        <f t="shared" si="32"/>
        <v>1433</v>
      </c>
      <c r="H110" s="162">
        <f t="shared" si="32"/>
        <v>2310.84</v>
      </c>
      <c r="I110" s="162">
        <f t="shared" si="32"/>
        <v>2427.71</v>
      </c>
      <c r="J110" s="162">
        <f t="shared" si="32"/>
        <v>3448.36</v>
      </c>
      <c r="K110" s="162">
        <f t="shared" si="32"/>
        <v>852.34</v>
      </c>
      <c r="L110" s="162">
        <f t="shared" si="32"/>
        <v>1675.67</v>
      </c>
      <c r="M110" s="162">
        <f t="shared" si="32"/>
        <v>2343.52</v>
      </c>
      <c r="N110" s="162">
        <f t="shared" si="32"/>
        <v>2009.62</v>
      </c>
      <c r="O110" s="162">
        <f t="shared" si="32"/>
        <v>0</v>
      </c>
      <c r="P110" s="162">
        <f t="shared" si="32"/>
        <v>0</v>
      </c>
      <c r="Q110" s="162">
        <f t="shared" si="32"/>
        <v>0</v>
      </c>
      <c r="R110" s="162">
        <f t="shared" si="32"/>
        <v>0</v>
      </c>
      <c r="S110" s="162">
        <f t="shared" si="32"/>
        <v>0</v>
      </c>
      <c r="T110" s="162">
        <f t="shared" si="32"/>
        <v>0</v>
      </c>
      <c r="U110" s="162">
        <f t="shared" si="32"/>
        <v>0</v>
      </c>
      <c r="V110" s="162">
        <f t="shared" si="32"/>
        <v>0</v>
      </c>
      <c r="W110" s="162">
        <f t="shared" si="32"/>
        <v>0</v>
      </c>
      <c r="X110" s="162">
        <f t="shared" si="32"/>
        <v>0</v>
      </c>
      <c r="Y110" s="162">
        <f t="shared" si="32"/>
        <v>0</v>
      </c>
      <c r="Z110" s="162">
        <f t="shared" si="32"/>
        <v>0</v>
      </c>
      <c r="AA110" s="162">
        <f t="shared" si="32"/>
        <v>0</v>
      </c>
      <c r="AB110" s="162">
        <f t="shared" si="32"/>
        <v>0</v>
      </c>
      <c r="AC110" s="162">
        <f t="shared" si="32"/>
        <v>0</v>
      </c>
      <c r="AD110" s="162">
        <f t="shared" si="32"/>
        <v>0</v>
      </c>
      <c r="AE110" s="162">
        <f t="shared" si="32"/>
        <v>0</v>
      </c>
      <c r="AF110" s="162">
        <f t="shared" si="32"/>
        <v>0</v>
      </c>
    </row>
    <row r="111" spans="1:32" x14ac:dyDescent="0.35">
      <c r="A111" s="153" t="s">
        <v>436</v>
      </c>
      <c r="B111" s="151">
        <f t="shared" si="25"/>
        <v>18351.060000000001</v>
      </c>
      <c r="C111" s="152"/>
      <c r="D111" s="152"/>
      <c r="E111" s="152"/>
      <c r="F111" s="154">
        <v>1850</v>
      </c>
      <c r="G111" s="154">
        <v>1433</v>
      </c>
      <c r="H111" s="154">
        <v>2310.84</v>
      </c>
      <c r="I111" s="152">
        <v>2427.71</v>
      </c>
      <c r="J111" s="152">
        <v>3448.36</v>
      </c>
      <c r="K111" s="152">
        <v>852.34</v>
      </c>
      <c r="L111" s="154">
        <v>1675.67</v>
      </c>
      <c r="M111" s="152">
        <v>2343.52</v>
      </c>
      <c r="N111" s="170">
        <v>2009.62</v>
      </c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</row>
    <row r="112" spans="1:32" x14ac:dyDescent="0.35">
      <c r="A112" s="156"/>
      <c r="B112" s="151">
        <f t="shared" si="25"/>
        <v>0</v>
      </c>
      <c r="C112" s="152"/>
      <c r="D112" s="152"/>
      <c r="E112" s="152"/>
      <c r="F112" s="154"/>
      <c r="G112" s="154"/>
      <c r="H112" s="154"/>
      <c r="I112" s="152"/>
      <c r="J112" s="152"/>
      <c r="K112" s="152"/>
      <c r="L112" s="154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</row>
    <row r="113" spans="1:32" x14ac:dyDescent="0.35">
      <c r="A113" s="156"/>
      <c r="B113" s="151">
        <f t="shared" si="25"/>
        <v>0</v>
      </c>
      <c r="C113" s="152"/>
      <c r="D113" s="152"/>
      <c r="E113" s="152"/>
      <c r="F113" s="154"/>
      <c r="G113" s="154"/>
      <c r="H113" s="154"/>
      <c r="I113" s="157"/>
      <c r="J113" s="158"/>
      <c r="K113" s="157"/>
      <c r="L113" s="154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2"/>
      <c r="AB113" s="157"/>
      <c r="AC113" s="157"/>
      <c r="AD113" s="157"/>
      <c r="AE113" s="157"/>
      <c r="AF113" s="157"/>
    </row>
    <row r="114" spans="1:32" x14ac:dyDescent="0.35">
      <c r="A114" s="153"/>
      <c r="B114" s="151">
        <f t="shared" si="25"/>
        <v>0</v>
      </c>
      <c r="C114" s="152"/>
      <c r="D114" s="152"/>
      <c r="E114" s="154"/>
      <c r="F114" s="154"/>
      <c r="G114" s="154"/>
      <c r="H114" s="154"/>
      <c r="I114" s="152"/>
      <c r="J114" s="155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</row>
    <row r="115" spans="1:32" ht="15" thickBot="1" x14ac:dyDescent="0.4">
      <c r="A115" s="173"/>
      <c r="B115" s="184">
        <f t="shared" si="25"/>
        <v>0</v>
      </c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</row>
    <row r="117" spans="1:32" ht="15" thickBot="1" x14ac:dyDescent="0.4">
      <c r="A117" s="167"/>
      <c r="B117" s="167"/>
      <c r="C117" s="167"/>
      <c r="D117" s="167"/>
    </row>
    <row r="118" spans="1:32" ht="15" thickBot="1" x14ac:dyDescent="0.4">
      <c r="A118" s="716" t="s">
        <v>134</v>
      </c>
      <c r="B118" s="716"/>
      <c r="C118" s="716"/>
      <c r="D118" s="716"/>
      <c r="E118" s="716"/>
      <c r="F118" s="716"/>
      <c r="G118" s="716"/>
      <c r="H118" s="716"/>
      <c r="I118" s="716"/>
      <c r="J118" s="716"/>
      <c r="K118" s="716"/>
      <c r="L118" s="716"/>
      <c r="M118" s="716"/>
      <c r="N118" s="716"/>
      <c r="O118" s="716"/>
    </row>
    <row r="119" spans="1:32" ht="15" thickBot="1" x14ac:dyDescent="0.4">
      <c r="A119" s="712" t="s">
        <v>68</v>
      </c>
      <c r="B119" s="713"/>
      <c r="C119" s="148">
        <v>43831</v>
      </c>
      <c r="D119" s="148">
        <v>43862</v>
      </c>
      <c r="E119" s="148">
        <v>43891</v>
      </c>
      <c r="F119" s="148">
        <v>43922</v>
      </c>
      <c r="G119" s="148">
        <v>43952</v>
      </c>
      <c r="H119" s="148">
        <v>43983</v>
      </c>
      <c r="I119" s="148">
        <v>44013</v>
      </c>
      <c r="J119" s="148">
        <v>44044</v>
      </c>
      <c r="K119" s="148">
        <v>44075</v>
      </c>
      <c r="L119" s="148">
        <v>44105</v>
      </c>
      <c r="M119" s="148">
        <v>44136</v>
      </c>
      <c r="N119" s="148">
        <v>44166</v>
      </c>
      <c r="O119" s="174" t="s">
        <v>49</v>
      </c>
      <c r="W119" s="171"/>
      <c r="X119" s="171"/>
    </row>
    <row r="120" spans="1:32" ht="15" thickBot="1" x14ac:dyDescent="0.4">
      <c r="A120" s="161" t="str">
        <f t="shared" ref="A120:N120" si="33">A4</f>
        <v>SALDO ANO 2021</v>
      </c>
      <c r="B120" s="175">
        <f t="shared" si="33"/>
        <v>82250</v>
      </c>
      <c r="C120" s="175">
        <f t="shared" si="33"/>
        <v>67650</v>
      </c>
      <c r="D120" s="175">
        <f t="shared" si="33"/>
        <v>0</v>
      </c>
      <c r="E120" s="175">
        <f t="shared" si="33"/>
        <v>0</v>
      </c>
      <c r="F120" s="175">
        <f t="shared" si="33"/>
        <v>0</v>
      </c>
      <c r="G120" s="175">
        <f t="shared" si="33"/>
        <v>14600</v>
      </c>
      <c r="H120" s="175">
        <f t="shared" si="33"/>
        <v>0</v>
      </c>
      <c r="I120" s="175">
        <f t="shared" si="33"/>
        <v>0</v>
      </c>
      <c r="J120" s="175">
        <f t="shared" si="33"/>
        <v>0</v>
      </c>
      <c r="K120" s="175">
        <f t="shared" si="33"/>
        <v>0</v>
      </c>
      <c r="L120" s="175">
        <f t="shared" si="33"/>
        <v>0</v>
      </c>
      <c r="M120" s="175">
        <f t="shared" si="33"/>
        <v>0</v>
      </c>
      <c r="N120" s="175">
        <f t="shared" si="33"/>
        <v>0</v>
      </c>
      <c r="O120" s="176">
        <f t="shared" ref="O120:O128" si="34">B120/$B$128</f>
        <v>4.4833638583638584E-2</v>
      </c>
      <c r="W120" s="171"/>
      <c r="X120" s="171"/>
    </row>
    <row r="121" spans="1:32" ht="15" thickBot="1" x14ac:dyDescent="0.4">
      <c r="A121" s="161" t="str">
        <f t="shared" ref="A121:N121" si="35">A5</f>
        <v>Vendas A Vista</v>
      </c>
      <c r="B121" s="175">
        <f t="shared" si="35"/>
        <v>1752310</v>
      </c>
      <c r="C121" s="175">
        <f t="shared" si="35"/>
        <v>121930</v>
      </c>
      <c r="D121" s="175">
        <f t="shared" si="35"/>
        <v>104150</v>
      </c>
      <c r="E121" s="175">
        <f t="shared" si="35"/>
        <v>126290</v>
      </c>
      <c r="F121" s="175">
        <f t="shared" si="35"/>
        <v>107660</v>
      </c>
      <c r="G121" s="175">
        <f t="shared" si="35"/>
        <v>154430</v>
      </c>
      <c r="H121" s="175">
        <f t="shared" si="35"/>
        <v>154510</v>
      </c>
      <c r="I121" s="175">
        <f t="shared" si="35"/>
        <v>181620</v>
      </c>
      <c r="J121" s="175">
        <f t="shared" si="35"/>
        <v>202040</v>
      </c>
      <c r="K121" s="175">
        <f t="shared" si="35"/>
        <v>123550</v>
      </c>
      <c r="L121" s="175">
        <f t="shared" si="35"/>
        <v>156160</v>
      </c>
      <c r="M121" s="175">
        <f t="shared" si="35"/>
        <v>172610</v>
      </c>
      <c r="N121" s="175">
        <f t="shared" si="35"/>
        <v>147360</v>
      </c>
      <c r="O121" s="176">
        <f t="shared" si="34"/>
        <v>0.95516636141636146</v>
      </c>
      <c r="W121" s="171"/>
      <c r="X121" s="171"/>
    </row>
    <row r="122" spans="1:32" ht="15" thickBot="1" x14ac:dyDescent="0.4">
      <c r="A122" s="161" t="str">
        <f t="shared" ref="A122:N122" si="36">A6</f>
        <v>Saco Extra</v>
      </c>
      <c r="B122" s="175">
        <f t="shared" si="36"/>
        <v>0</v>
      </c>
      <c r="C122" s="175">
        <f t="shared" si="36"/>
        <v>0</v>
      </c>
      <c r="D122" s="175">
        <f t="shared" si="36"/>
        <v>0</v>
      </c>
      <c r="E122" s="175">
        <f t="shared" si="36"/>
        <v>0</v>
      </c>
      <c r="F122" s="175">
        <f t="shared" si="36"/>
        <v>0</v>
      </c>
      <c r="G122" s="175">
        <f t="shared" si="36"/>
        <v>0</v>
      </c>
      <c r="H122" s="175">
        <f t="shared" si="36"/>
        <v>0</v>
      </c>
      <c r="I122" s="175">
        <f t="shared" si="36"/>
        <v>0</v>
      </c>
      <c r="J122" s="175">
        <f t="shared" si="36"/>
        <v>0</v>
      </c>
      <c r="K122" s="175">
        <f t="shared" si="36"/>
        <v>0</v>
      </c>
      <c r="L122" s="175">
        <f t="shared" si="36"/>
        <v>0</v>
      </c>
      <c r="M122" s="175">
        <f t="shared" si="36"/>
        <v>0</v>
      </c>
      <c r="N122" s="175">
        <f t="shared" si="36"/>
        <v>0</v>
      </c>
      <c r="O122" s="176">
        <f t="shared" si="34"/>
        <v>0</v>
      </c>
      <c r="W122" s="171"/>
      <c r="X122" s="171"/>
    </row>
    <row r="123" spans="1:32" ht="15" thickBot="1" x14ac:dyDescent="0.4">
      <c r="A123" s="161" t="str">
        <f t="shared" ref="A123:N123" si="37">A7</f>
        <v>Capital</v>
      </c>
      <c r="B123" s="175">
        <f t="shared" si="37"/>
        <v>0</v>
      </c>
      <c r="C123" s="175">
        <f t="shared" si="37"/>
        <v>0</v>
      </c>
      <c r="D123" s="175">
        <f t="shared" si="37"/>
        <v>0</v>
      </c>
      <c r="E123" s="175">
        <f t="shared" si="37"/>
        <v>0</v>
      </c>
      <c r="F123" s="175">
        <f t="shared" si="37"/>
        <v>0</v>
      </c>
      <c r="G123" s="175">
        <f t="shared" si="37"/>
        <v>0</v>
      </c>
      <c r="H123" s="175">
        <f t="shared" si="37"/>
        <v>0</v>
      </c>
      <c r="I123" s="175">
        <f t="shared" si="37"/>
        <v>0</v>
      </c>
      <c r="J123" s="175">
        <f t="shared" si="37"/>
        <v>0</v>
      </c>
      <c r="K123" s="175">
        <f t="shared" si="37"/>
        <v>0</v>
      </c>
      <c r="L123" s="175">
        <f t="shared" si="37"/>
        <v>0</v>
      </c>
      <c r="M123" s="175">
        <f t="shared" si="37"/>
        <v>0</v>
      </c>
      <c r="N123" s="175">
        <f t="shared" si="37"/>
        <v>0</v>
      </c>
      <c r="O123" s="176">
        <f t="shared" si="34"/>
        <v>0</v>
      </c>
      <c r="W123" s="171"/>
      <c r="X123" s="171"/>
    </row>
    <row r="124" spans="1:32" ht="15" thickBot="1" x14ac:dyDescent="0.4">
      <c r="A124" s="161" t="str">
        <f t="shared" ref="A124:N124" si="38">A8</f>
        <v>Emprestimo</v>
      </c>
      <c r="B124" s="175">
        <f t="shared" si="38"/>
        <v>0</v>
      </c>
      <c r="C124" s="175">
        <f t="shared" si="38"/>
        <v>0</v>
      </c>
      <c r="D124" s="175">
        <f t="shared" si="38"/>
        <v>0</v>
      </c>
      <c r="E124" s="175">
        <f t="shared" si="38"/>
        <v>0</v>
      </c>
      <c r="F124" s="175">
        <f t="shared" si="38"/>
        <v>0</v>
      </c>
      <c r="G124" s="175">
        <f t="shared" si="38"/>
        <v>0</v>
      </c>
      <c r="H124" s="175">
        <f t="shared" si="38"/>
        <v>0</v>
      </c>
      <c r="I124" s="175">
        <f t="shared" si="38"/>
        <v>0</v>
      </c>
      <c r="J124" s="175">
        <f t="shared" si="38"/>
        <v>0</v>
      </c>
      <c r="K124" s="175">
        <f t="shared" si="38"/>
        <v>0</v>
      </c>
      <c r="L124" s="175">
        <f t="shared" si="38"/>
        <v>0</v>
      </c>
      <c r="M124" s="175">
        <f t="shared" si="38"/>
        <v>0</v>
      </c>
      <c r="N124" s="175">
        <f t="shared" si="38"/>
        <v>0</v>
      </c>
      <c r="O124" s="176">
        <f t="shared" si="34"/>
        <v>0</v>
      </c>
      <c r="W124" s="171"/>
      <c r="X124" s="171"/>
    </row>
    <row r="125" spans="1:32" ht="15" thickBot="1" x14ac:dyDescent="0.4">
      <c r="A125" s="161">
        <f t="shared" ref="A125:N125" si="39">A9</f>
        <v>0</v>
      </c>
      <c r="B125" s="175">
        <f t="shared" si="39"/>
        <v>0</v>
      </c>
      <c r="C125" s="175">
        <f t="shared" si="39"/>
        <v>0</v>
      </c>
      <c r="D125" s="175">
        <f t="shared" si="39"/>
        <v>0</v>
      </c>
      <c r="E125" s="175">
        <f t="shared" si="39"/>
        <v>0</v>
      </c>
      <c r="F125" s="175">
        <f t="shared" si="39"/>
        <v>0</v>
      </c>
      <c r="G125" s="175">
        <f t="shared" si="39"/>
        <v>0</v>
      </c>
      <c r="H125" s="175">
        <f t="shared" si="39"/>
        <v>0</v>
      </c>
      <c r="I125" s="175">
        <f t="shared" si="39"/>
        <v>0</v>
      </c>
      <c r="J125" s="175">
        <f t="shared" si="39"/>
        <v>0</v>
      </c>
      <c r="K125" s="175">
        <f t="shared" si="39"/>
        <v>0</v>
      </c>
      <c r="L125" s="175">
        <f t="shared" si="39"/>
        <v>0</v>
      </c>
      <c r="M125" s="175">
        <f t="shared" si="39"/>
        <v>0</v>
      </c>
      <c r="N125" s="175">
        <f t="shared" si="39"/>
        <v>0</v>
      </c>
      <c r="O125" s="176">
        <f t="shared" si="34"/>
        <v>0</v>
      </c>
      <c r="W125" s="171"/>
      <c r="X125" s="171"/>
    </row>
    <row r="126" spans="1:32" ht="15" thickBot="1" x14ac:dyDescent="0.4">
      <c r="A126" s="161">
        <f t="shared" ref="A126:N126" si="40">A10</f>
        <v>0</v>
      </c>
      <c r="B126" s="175">
        <f t="shared" si="40"/>
        <v>0</v>
      </c>
      <c r="C126" s="175">
        <f t="shared" si="40"/>
        <v>0</v>
      </c>
      <c r="D126" s="175">
        <f t="shared" si="40"/>
        <v>0</v>
      </c>
      <c r="E126" s="175">
        <f t="shared" si="40"/>
        <v>0</v>
      </c>
      <c r="F126" s="175">
        <f t="shared" si="40"/>
        <v>0</v>
      </c>
      <c r="G126" s="175">
        <f t="shared" si="40"/>
        <v>0</v>
      </c>
      <c r="H126" s="175">
        <f t="shared" si="40"/>
        <v>0</v>
      </c>
      <c r="I126" s="175">
        <f t="shared" si="40"/>
        <v>0</v>
      </c>
      <c r="J126" s="175">
        <f t="shared" si="40"/>
        <v>0</v>
      </c>
      <c r="K126" s="175">
        <f t="shared" si="40"/>
        <v>0</v>
      </c>
      <c r="L126" s="175">
        <f t="shared" si="40"/>
        <v>0</v>
      </c>
      <c r="M126" s="175">
        <f t="shared" si="40"/>
        <v>0</v>
      </c>
      <c r="N126" s="175">
        <f t="shared" si="40"/>
        <v>0</v>
      </c>
      <c r="O126" s="176">
        <f t="shared" si="34"/>
        <v>0</v>
      </c>
      <c r="W126" s="171"/>
      <c r="X126" s="171"/>
    </row>
    <row r="127" spans="1:32" ht="15" thickBot="1" x14ac:dyDescent="0.4">
      <c r="A127" s="161">
        <f t="shared" ref="A127:N127" si="41">A11</f>
        <v>0</v>
      </c>
      <c r="B127" s="175">
        <f t="shared" si="41"/>
        <v>0</v>
      </c>
      <c r="C127" s="175">
        <f t="shared" si="41"/>
        <v>0</v>
      </c>
      <c r="D127" s="175">
        <f t="shared" si="41"/>
        <v>0</v>
      </c>
      <c r="E127" s="175">
        <f t="shared" si="41"/>
        <v>0</v>
      </c>
      <c r="F127" s="175">
        <f t="shared" si="41"/>
        <v>0</v>
      </c>
      <c r="G127" s="175">
        <f t="shared" si="41"/>
        <v>0</v>
      </c>
      <c r="H127" s="175">
        <f t="shared" si="41"/>
        <v>0</v>
      </c>
      <c r="I127" s="175">
        <f t="shared" si="41"/>
        <v>0</v>
      </c>
      <c r="J127" s="175">
        <f t="shared" si="41"/>
        <v>0</v>
      </c>
      <c r="K127" s="175">
        <f t="shared" si="41"/>
        <v>0</v>
      </c>
      <c r="L127" s="175">
        <f t="shared" si="41"/>
        <v>0</v>
      </c>
      <c r="M127" s="175">
        <f t="shared" si="41"/>
        <v>0</v>
      </c>
      <c r="N127" s="175">
        <f t="shared" si="41"/>
        <v>0</v>
      </c>
      <c r="O127" s="176">
        <f t="shared" si="34"/>
        <v>0</v>
      </c>
      <c r="W127" s="171"/>
      <c r="X127" s="171"/>
    </row>
    <row r="128" spans="1:32" ht="15" thickBot="1" x14ac:dyDescent="0.4">
      <c r="A128" s="161" t="s">
        <v>4</v>
      </c>
      <c r="B128" s="255">
        <f t="shared" ref="B128:N128" si="42">B3</f>
        <v>1834560</v>
      </c>
      <c r="C128" s="255">
        <f t="shared" si="42"/>
        <v>189580</v>
      </c>
      <c r="D128" s="255">
        <f t="shared" si="42"/>
        <v>104150</v>
      </c>
      <c r="E128" s="255">
        <f t="shared" si="42"/>
        <v>126290</v>
      </c>
      <c r="F128" s="255">
        <f t="shared" si="42"/>
        <v>107660</v>
      </c>
      <c r="G128" s="255">
        <f t="shared" si="42"/>
        <v>169030</v>
      </c>
      <c r="H128" s="255">
        <f t="shared" si="42"/>
        <v>154510</v>
      </c>
      <c r="I128" s="255">
        <f t="shared" si="42"/>
        <v>181620</v>
      </c>
      <c r="J128" s="255">
        <f t="shared" si="42"/>
        <v>202040</v>
      </c>
      <c r="K128" s="255">
        <f t="shared" si="42"/>
        <v>123550</v>
      </c>
      <c r="L128" s="255">
        <f t="shared" si="42"/>
        <v>156160</v>
      </c>
      <c r="M128" s="255">
        <f t="shared" si="42"/>
        <v>172610</v>
      </c>
      <c r="N128" s="255">
        <f t="shared" si="42"/>
        <v>147360</v>
      </c>
      <c r="O128" s="176">
        <f t="shared" si="34"/>
        <v>1</v>
      </c>
      <c r="W128" s="171"/>
      <c r="X128" s="171"/>
    </row>
    <row r="129" spans="1:15" ht="15" thickBot="1" x14ac:dyDescent="0.4">
      <c r="A129" s="177" t="s">
        <v>70</v>
      </c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4" t="s">
        <v>49</v>
      </c>
    </row>
    <row r="130" spans="1:15" ht="15" thickBot="1" x14ac:dyDescent="0.4">
      <c r="A130" s="161" t="str">
        <f t="shared" ref="A130" si="43">A13</f>
        <v>Caixa</v>
      </c>
      <c r="B130" s="257"/>
      <c r="C130" s="257"/>
      <c r="D130" s="257"/>
      <c r="E130" s="257"/>
      <c r="F130" s="257"/>
      <c r="G130" s="257"/>
      <c r="H130" s="257"/>
      <c r="I130" s="257"/>
      <c r="J130" s="257"/>
      <c r="K130" s="257"/>
      <c r="L130" s="257"/>
      <c r="M130" s="257"/>
      <c r="N130" s="257"/>
      <c r="O130" s="176">
        <f t="shared" ref="O130:O137" si="44">B130/$B$137</f>
        <v>0</v>
      </c>
    </row>
    <row r="131" spans="1:15" ht="15" thickBot="1" x14ac:dyDescent="0.4">
      <c r="A131" s="161" t="str">
        <f t="shared" ref="A131:N131" si="45">A47</f>
        <v>Vale do Juquia</v>
      </c>
      <c r="B131" s="179">
        <f t="shared" si="45"/>
        <v>339396.78</v>
      </c>
      <c r="C131" s="179">
        <f t="shared" si="45"/>
        <v>56740</v>
      </c>
      <c r="D131" s="179">
        <f t="shared" si="45"/>
        <v>37893.619999999995</v>
      </c>
      <c r="E131" s="179">
        <f t="shared" si="45"/>
        <v>0</v>
      </c>
      <c r="F131" s="179">
        <f t="shared" si="45"/>
        <v>14600</v>
      </c>
      <c r="G131" s="179">
        <f t="shared" si="45"/>
        <v>22094.26</v>
      </c>
      <c r="H131" s="179">
        <f t="shared" si="45"/>
        <v>41372.240000000005</v>
      </c>
      <c r="I131" s="179">
        <f t="shared" si="45"/>
        <v>19684.400000000001</v>
      </c>
      <c r="J131" s="179">
        <f t="shared" si="45"/>
        <v>22540.61</v>
      </c>
      <c r="K131" s="179">
        <f t="shared" si="45"/>
        <v>36740.78</v>
      </c>
      <c r="L131" s="179">
        <f t="shared" si="45"/>
        <v>36740.78</v>
      </c>
      <c r="M131" s="179">
        <f t="shared" si="45"/>
        <v>50990.090000000004</v>
      </c>
      <c r="N131" s="179">
        <f t="shared" si="45"/>
        <v>0</v>
      </c>
      <c r="O131" s="176">
        <f t="shared" si="44"/>
        <v>0.19459076348576665</v>
      </c>
    </row>
    <row r="132" spans="1:15" ht="15" thickBot="1" x14ac:dyDescent="0.4">
      <c r="A132" s="161" t="str">
        <f t="shared" ref="A132:N132" si="46">A56</f>
        <v>Vipel</v>
      </c>
      <c r="B132" s="175">
        <f t="shared" si="46"/>
        <v>22156.300000000003</v>
      </c>
      <c r="C132" s="175">
        <f t="shared" si="46"/>
        <v>3720</v>
      </c>
      <c r="D132" s="175">
        <f t="shared" si="46"/>
        <v>2130</v>
      </c>
      <c r="E132" s="175">
        <f t="shared" si="46"/>
        <v>572.04</v>
      </c>
      <c r="F132" s="175">
        <f t="shared" si="46"/>
        <v>2130</v>
      </c>
      <c r="G132" s="175">
        <f t="shared" si="46"/>
        <v>572.04</v>
      </c>
      <c r="H132" s="175">
        <f t="shared" si="46"/>
        <v>2758.06</v>
      </c>
      <c r="I132" s="175">
        <f t="shared" si="46"/>
        <v>2100</v>
      </c>
      <c r="J132" s="175">
        <f t="shared" si="46"/>
        <v>572.04</v>
      </c>
      <c r="K132" s="175">
        <f t="shared" si="46"/>
        <v>2162.04</v>
      </c>
      <c r="L132" s="175">
        <f t="shared" si="46"/>
        <v>2338.04</v>
      </c>
      <c r="M132" s="175">
        <f t="shared" si="46"/>
        <v>2622.04</v>
      </c>
      <c r="N132" s="175">
        <f t="shared" si="46"/>
        <v>480</v>
      </c>
      <c r="O132" s="176">
        <f t="shared" si="44"/>
        <v>1.2703159213884386E-2</v>
      </c>
    </row>
    <row r="133" spans="1:15" ht="15" thickBot="1" x14ac:dyDescent="0.4">
      <c r="A133" s="161" t="str">
        <f t="shared" ref="A133:N133" si="47">A62</f>
        <v>Aditivos</v>
      </c>
      <c r="B133" s="175">
        <f t="shared" si="47"/>
        <v>851080.34000000008</v>
      </c>
      <c r="C133" s="175">
        <f t="shared" si="47"/>
        <v>63596.780000000006</v>
      </c>
      <c r="D133" s="175">
        <f t="shared" si="47"/>
        <v>60619.200000000004</v>
      </c>
      <c r="E133" s="175">
        <f t="shared" si="47"/>
        <v>68614.13</v>
      </c>
      <c r="F133" s="175">
        <f t="shared" si="47"/>
        <v>35008.28</v>
      </c>
      <c r="G133" s="175">
        <f t="shared" si="47"/>
        <v>57263.020000000004</v>
      </c>
      <c r="H133" s="175">
        <f t="shared" si="47"/>
        <v>103499.72</v>
      </c>
      <c r="I133" s="175">
        <f t="shared" si="47"/>
        <v>76946.83</v>
      </c>
      <c r="J133" s="175">
        <f t="shared" si="47"/>
        <v>82140.009999999995</v>
      </c>
      <c r="K133" s="175">
        <f t="shared" si="47"/>
        <v>90064.28</v>
      </c>
      <c r="L133" s="175">
        <f t="shared" si="47"/>
        <v>87737.79</v>
      </c>
      <c r="M133" s="175">
        <f t="shared" si="47"/>
        <v>42802.880000000005</v>
      </c>
      <c r="N133" s="175">
        <f t="shared" si="47"/>
        <v>82787.420000000013</v>
      </c>
      <c r="O133" s="176">
        <f t="shared" si="44"/>
        <v>0.48796094396748807</v>
      </c>
    </row>
    <row r="134" spans="1:15" ht="15" thickBot="1" x14ac:dyDescent="0.4">
      <c r="A134" s="161" t="str">
        <f t="shared" ref="A134:N134" si="48">A74</f>
        <v>Retiradas</v>
      </c>
      <c r="B134" s="175">
        <f t="shared" si="48"/>
        <v>418000</v>
      </c>
      <c r="C134" s="175">
        <f t="shared" si="48"/>
        <v>28000</v>
      </c>
      <c r="D134" s="175">
        <f t="shared" si="48"/>
        <v>24000</v>
      </c>
      <c r="E134" s="175">
        <f t="shared" si="48"/>
        <v>29000</v>
      </c>
      <c r="F134" s="175">
        <f t="shared" si="48"/>
        <v>25000</v>
      </c>
      <c r="G134" s="175">
        <f t="shared" si="48"/>
        <v>36000</v>
      </c>
      <c r="H134" s="175">
        <f t="shared" si="48"/>
        <v>37000</v>
      </c>
      <c r="I134" s="175">
        <f t="shared" si="48"/>
        <v>44000</v>
      </c>
      <c r="J134" s="175">
        <f t="shared" si="48"/>
        <v>49000</v>
      </c>
      <c r="K134" s="175">
        <f t="shared" si="48"/>
        <v>30000</v>
      </c>
      <c r="L134" s="175">
        <f t="shared" si="48"/>
        <v>38000</v>
      </c>
      <c r="M134" s="175">
        <f t="shared" si="48"/>
        <v>42000</v>
      </c>
      <c r="N134" s="175">
        <f t="shared" si="48"/>
        <v>36000</v>
      </c>
      <c r="O134" s="176">
        <f t="shared" si="44"/>
        <v>0.23965736839651353</v>
      </c>
    </row>
    <row r="135" spans="1:15" ht="15" thickBot="1" x14ac:dyDescent="0.4">
      <c r="A135" s="161" t="str">
        <f t="shared" ref="A135:N135" si="49">A78</f>
        <v>Despesa</v>
      </c>
      <c r="B135" s="175">
        <f t="shared" si="49"/>
        <v>95172.2</v>
      </c>
      <c r="C135" s="175">
        <f t="shared" si="49"/>
        <v>6640.0000000000009</v>
      </c>
      <c r="D135" s="175">
        <f t="shared" si="49"/>
        <v>7790</v>
      </c>
      <c r="E135" s="175">
        <f t="shared" si="49"/>
        <v>8560</v>
      </c>
      <c r="F135" s="175">
        <f t="shared" si="49"/>
        <v>6935</v>
      </c>
      <c r="G135" s="175">
        <f t="shared" si="49"/>
        <v>6997.2000000000007</v>
      </c>
      <c r="H135" s="175">
        <f t="shared" si="49"/>
        <v>7150.0000000000009</v>
      </c>
      <c r="I135" s="175">
        <f t="shared" si="49"/>
        <v>7720</v>
      </c>
      <c r="J135" s="175">
        <f t="shared" si="49"/>
        <v>8710</v>
      </c>
      <c r="K135" s="175">
        <f t="shared" si="49"/>
        <v>8150</v>
      </c>
      <c r="L135" s="175">
        <f t="shared" si="49"/>
        <v>8120.0000000000009</v>
      </c>
      <c r="M135" s="175">
        <f t="shared" si="49"/>
        <v>7190.0000000000009</v>
      </c>
      <c r="N135" s="175">
        <f t="shared" si="49"/>
        <v>11210</v>
      </c>
      <c r="O135" s="176">
        <f t="shared" si="44"/>
        <v>5.4566313388771923E-2</v>
      </c>
    </row>
    <row r="136" spans="1:15" ht="15" thickBot="1" x14ac:dyDescent="0.4">
      <c r="A136" s="161" t="str">
        <f>A110</f>
        <v>Impostos A2</v>
      </c>
      <c r="B136" s="175">
        <f>B110</f>
        <v>18351.060000000001</v>
      </c>
      <c r="C136" s="254">
        <f t="shared" ref="C136:N136" si="50">C110</f>
        <v>0</v>
      </c>
      <c r="D136" s="254">
        <f t="shared" si="50"/>
        <v>0</v>
      </c>
      <c r="E136" s="254">
        <f t="shared" si="50"/>
        <v>0</v>
      </c>
      <c r="F136" s="254">
        <f t="shared" si="50"/>
        <v>1850</v>
      </c>
      <c r="G136" s="254">
        <f t="shared" si="50"/>
        <v>1433</v>
      </c>
      <c r="H136" s="254">
        <f t="shared" si="50"/>
        <v>2310.84</v>
      </c>
      <c r="I136" s="254">
        <f t="shared" si="50"/>
        <v>2427.71</v>
      </c>
      <c r="J136" s="254">
        <f t="shared" si="50"/>
        <v>3448.36</v>
      </c>
      <c r="K136" s="254">
        <f t="shared" si="50"/>
        <v>852.34</v>
      </c>
      <c r="L136" s="254">
        <f t="shared" si="50"/>
        <v>1675.67</v>
      </c>
      <c r="M136" s="254">
        <f t="shared" si="50"/>
        <v>2343.52</v>
      </c>
      <c r="N136" s="254">
        <f t="shared" si="50"/>
        <v>2009.62</v>
      </c>
      <c r="O136" s="176">
        <f t="shared" si="44"/>
        <v>1.0521451547575417E-2</v>
      </c>
    </row>
    <row r="137" spans="1:15" ht="15" thickBot="1" x14ac:dyDescent="0.4">
      <c r="A137" s="180" t="s">
        <v>69</v>
      </c>
      <c r="B137" s="256">
        <f>SUM(B131:B136)</f>
        <v>1744156.6800000002</v>
      </c>
      <c r="C137" s="256">
        <f>SUM(C131:C136)</f>
        <v>158696.78</v>
      </c>
      <c r="D137" s="256">
        <f t="shared" ref="D137:N137" si="51">SUM(D131:D136)</f>
        <v>132432.82</v>
      </c>
      <c r="E137" s="256">
        <f t="shared" si="51"/>
        <v>106746.17</v>
      </c>
      <c r="F137" s="256">
        <f t="shared" si="51"/>
        <v>85523.28</v>
      </c>
      <c r="G137" s="256">
        <f t="shared" si="51"/>
        <v>124359.52</v>
      </c>
      <c r="H137" s="256">
        <f t="shared" si="51"/>
        <v>194090.86000000002</v>
      </c>
      <c r="I137" s="256">
        <f t="shared" si="51"/>
        <v>152878.94</v>
      </c>
      <c r="J137" s="256">
        <f t="shared" si="51"/>
        <v>166411.01999999999</v>
      </c>
      <c r="K137" s="256">
        <f t="shared" si="51"/>
        <v>167969.44</v>
      </c>
      <c r="L137" s="256">
        <f t="shared" si="51"/>
        <v>174612.28</v>
      </c>
      <c r="M137" s="256">
        <f t="shared" si="51"/>
        <v>147948.53</v>
      </c>
      <c r="N137" s="256">
        <f t="shared" si="51"/>
        <v>132487.04000000001</v>
      </c>
      <c r="O137" s="176">
        <f t="shared" si="44"/>
        <v>1</v>
      </c>
    </row>
    <row r="138" spans="1:15" ht="15" thickBot="1" x14ac:dyDescent="0.4">
      <c r="A138" s="410" t="s">
        <v>71</v>
      </c>
      <c r="B138" s="562">
        <f>B128-B137</f>
        <v>90403.319999999832</v>
      </c>
      <c r="C138" s="562">
        <f t="shared" ref="C138:N138" si="52">C128-C137</f>
        <v>30883.22</v>
      </c>
      <c r="D138" s="562">
        <f t="shared" si="52"/>
        <v>-28282.820000000007</v>
      </c>
      <c r="E138" s="562">
        <f t="shared" si="52"/>
        <v>19543.830000000002</v>
      </c>
      <c r="F138" s="562">
        <f t="shared" si="52"/>
        <v>22136.720000000001</v>
      </c>
      <c r="G138" s="562">
        <f t="shared" si="52"/>
        <v>44670.479999999996</v>
      </c>
      <c r="H138" s="562">
        <f t="shared" si="52"/>
        <v>-39580.860000000015</v>
      </c>
      <c r="I138" s="562">
        <f t="shared" si="52"/>
        <v>28741.059999999998</v>
      </c>
      <c r="J138" s="562">
        <f t="shared" si="52"/>
        <v>35628.98000000001</v>
      </c>
      <c r="K138" s="562">
        <f t="shared" si="52"/>
        <v>-44419.44</v>
      </c>
      <c r="L138" s="562">
        <f t="shared" si="52"/>
        <v>-18452.28</v>
      </c>
      <c r="M138" s="562">
        <f t="shared" si="52"/>
        <v>24661.47</v>
      </c>
      <c r="N138" s="562">
        <f t="shared" si="52"/>
        <v>14872.959999999992</v>
      </c>
      <c r="O138" s="181" t="s">
        <v>49</v>
      </c>
    </row>
    <row r="140" spans="1:15" ht="15" thickBot="1" x14ac:dyDescent="0.4"/>
    <row r="141" spans="1:15" ht="15" thickBot="1" x14ac:dyDescent="0.4">
      <c r="A141" s="289" t="s">
        <v>143</v>
      </c>
      <c r="B141" s="289" t="s">
        <v>142</v>
      </c>
      <c r="C141" s="186"/>
      <c r="D141" s="186"/>
      <c r="E141" s="186"/>
      <c r="F141" s="186"/>
      <c r="G141" s="186"/>
      <c r="H141" s="186"/>
      <c r="I141" s="186"/>
      <c r="J141" s="186"/>
      <c r="K141" s="186"/>
      <c r="L141" s="258"/>
      <c r="M141" s="258"/>
      <c r="N141" s="186"/>
    </row>
    <row r="142" spans="1:15" ht="15" thickBot="1" x14ac:dyDescent="0.4">
      <c r="A142" s="282" t="s">
        <v>52</v>
      </c>
      <c r="B142" s="294">
        <f>SUM(C142:N142)/12</f>
        <v>174.16666666666666</v>
      </c>
      <c r="C142" s="285">
        <f>'Vendas - JAN'!D102</f>
        <v>140</v>
      </c>
      <c r="D142" s="286">
        <f>'Vendas - FEV'!D102</f>
        <v>120</v>
      </c>
      <c r="E142" s="286">
        <f>'Vendas - MAR'!D102</f>
        <v>145</v>
      </c>
      <c r="F142" s="286">
        <f>'Vendas - ABR'!D102</f>
        <v>125</v>
      </c>
      <c r="G142" s="286">
        <f>'Vendas - MAI'!D102</f>
        <v>180</v>
      </c>
      <c r="H142" s="286">
        <f>'Vendas - JUN'!D102</f>
        <v>185</v>
      </c>
      <c r="I142" s="286">
        <f>'Vendas - JUL'!D102</f>
        <v>220</v>
      </c>
      <c r="J142" s="286">
        <f>'Vendas - AGO'!D102</f>
        <v>245</v>
      </c>
      <c r="K142" s="286">
        <f>'Vendas - SET'!D102</f>
        <v>150</v>
      </c>
      <c r="L142" s="287">
        <f>'Vendas - OUT'!D102</f>
        <v>190</v>
      </c>
      <c r="M142" s="287">
        <f>'Vendas - NOV'!D102</f>
        <v>210</v>
      </c>
      <c r="N142" s="288">
        <f>'Vendas - DEZ'!D102</f>
        <v>180</v>
      </c>
    </row>
    <row r="143" spans="1:15" ht="15" thickBot="1" x14ac:dyDescent="0.4">
      <c r="A143" s="263" t="s">
        <v>136</v>
      </c>
      <c r="B143" s="283">
        <f>SUM(C143:N143)/12</f>
        <v>841.71694632233459</v>
      </c>
      <c r="C143" s="565">
        <f>C147/C142</f>
        <v>870.92857142857144</v>
      </c>
      <c r="D143" s="564">
        <f t="shared" ref="D143:N143" si="53">D147/D142</f>
        <v>867.91666666666663</v>
      </c>
      <c r="E143" s="564">
        <f t="shared" si="53"/>
        <v>870.9655172413793</v>
      </c>
      <c r="F143" s="564">
        <f t="shared" si="53"/>
        <v>861.28</v>
      </c>
      <c r="G143" s="564">
        <f t="shared" si="53"/>
        <v>857.94444444444446</v>
      </c>
      <c r="H143" s="564">
        <f t="shared" si="53"/>
        <v>835.18918918918916</v>
      </c>
      <c r="I143" s="564">
        <f t="shared" si="53"/>
        <v>825.5454545454545</v>
      </c>
      <c r="J143" s="564">
        <f t="shared" si="53"/>
        <v>824.65306122448976</v>
      </c>
      <c r="K143" s="564">
        <f t="shared" si="53"/>
        <v>823.66666666666663</v>
      </c>
      <c r="L143" s="564">
        <f t="shared" si="53"/>
        <v>821.89473684210532</v>
      </c>
      <c r="M143" s="564">
        <f t="shared" si="53"/>
        <v>821.95238095238096</v>
      </c>
      <c r="N143" s="566">
        <f t="shared" si="53"/>
        <v>818.66666666666663</v>
      </c>
    </row>
    <row r="144" spans="1:15" ht="15" thickBot="1" x14ac:dyDescent="0.4">
      <c r="A144" s="284" t="s">
        <v>135</v>
      </c>
      <c r="B144" s="283">
        <f>AVERAGE(C144:N144)</f>
        <v>552.10500000000002</v>
      </c>
      <c r="C144" s="567">
        <v>598.5</v>
      </c>
      <c r="D144" s="568">
        <v>578</v>
      </c>
      <c r="E144" s="568">
        <v>574</v>
      </c>
      <c r="F144" s="569">
        <v>597.79999999999995</v>
      </c>
      <c r="G144" s="569">
        <v>557.96</v>
      </c>
      <c r="H144" s="569">
        <v>556</v>
      </c>
      <c r="I144" s="569">
        <v>545</v>
      </c>
      <c r="J144" s="569">
        <v>534</v>
      </c>
      <c r="K144" s="569">
        <v>536</v>
      </c>
      <c r="L144" s="570">
        <v>516</v>
      </c>
      <c r="M144" s="570">
        <v>527</v>
      </c>
      <c r="N144" s="571">
        <v>505</v>
      </c>
    </row>
    <row r="145" spans="1:14" ht="15" thickBot="1" x14ac:dyDescent="0.4">
      <c r="A145" s="186"/>
      <c r="B145" s="186"/>
      <c r="C145" s="186"/>
      <c r="D145" s="259"/>
      <c r="E145" s="259"/>
      <c r="F145" s="186"/>
      <c r="G145" s="186"/>
      <c r="H145" s="186"/>
      <c r="I145" s="186"/>
      <c r="J145" s="186"/>
      <c r="K145" s="186"/>
      <c r="L145" s="258"/>
      <c r="M145" s="258"/>
      <c r="N145" s="186"/>
    </row>
    <row r="146" spans="1:14" ht="15" thickBot="1" x14ac:dyDescent="0.4">
      <c r="A146" s="708" t="s">
        <v>141</v>
      </c>
      <c r="B146" s="709"/>
      <c r="C146" s="260"/>
      <c r="D146" s="260"/>
      <c r="E146" s="260"/>
      <c r="F146" s="260"/>
      <c r="G146" s="260"/>
      <c r="H146" s="260"/>
      <c r="I146" s="260"/>
      <c r="J146" s="260"/>
      <c r="K146" s="260"/>
      <c r="L146" s="261"/>
      <c r="M146" s="261"/>
      <c r="N146" s="262"/>
    </row>
    <row r="147" spans="1:14" ht="15" thickBot="1" x14ac:dyDescent="0.4">
      <c r="A147" s="263" t="s">
        <v>2</v>
      </c>
      <c r="B147" s="264">
        <f>SUM(C147:N147)</f>
        <v>1752310</v>
      </c>
      <c r="C147" s="265">
        <f t="shared" ref="C147:N147" si="54">C5</f>
        <v>121930</v>
      </c>
      <c r="D147" s="265">
        <f t="shared" si="54"/>
        <v>104150</v>
      </c>
      <c r="E147" s="265">
        <f t="shared" si="54"/>
        <v>126290</v>
      </c>
      <c r="F147" s="265">
        <f t="shared" si="54"/>
        <v>107660</v>
      </c>
      <c r="G147" s="265">
        <f t="shared" si="54"/>
        <v>154430</v>
      </c>
      <c r="H147" s="265">
        <f t="shared" si="54"/>
        <v>154510</v>
      </c>
      <c r="I147" s="265">
        <f t="shared" si="54"/>
        <v>181620</v>
      </c>
      <c r="J147" s="265">
        <f t="shared" si="54"/>
        <v>202040</v>
      </c>
      <c r="K147" s="265">
        <f t="shared" si="54"/>
        <v>123550</v>
      </c>
      <c r="L147" s="265">
        <f t="shared" si="54"/>
        <v>156160</v>
      </c>
      <c r="M147" s="265">
        <f t="shared" si="54"/>
        <v>172610</v>
      </c>
      <c r="N147" s="266">
        <f t="shared" si="54"/>
        <v>147360</v>
      </c>
    </row>
    <row r="148" spans="1:14" ht="15" thickBot="1" x14ac:dyDescent="0.4">
      <c r="A148" s="263" t="s">
        <v>125</v>
      </c>
      <c r="B148" s="267">
        <f>SUM(C148:N148)</f>
        <v>0</v>
      </c>
      <c r="C148" s="265">
        <f t="shared" ref="C148:N148" si="55">C6</f>
        <v>0</v>
      </c>
      <c r="D148" s="265">
        <f t="shared" si="55"/>
        <v>0</v>
      </c>
      <c r="E148" s="265">
        <f t="shared" si="55"/>
        <v>0</v>
      </c>
      <c r="F148" s="265">
        <f t="shared" si="55"/>
        <v>0</v>
      </c>
      <c r="G148" s="265">
        <f t="shared" si="55"/>
        <v>0</v>
      </c>
      <c r="H148" s="265">
        <f t="shared" si="55"/>
        <v>0</v>
      </c>
      <c r="I148" s="265">
        <f t="shared" si="55"/>
        <v>0</v>
      </c>
      <c r="J148" s="265">
        <f t="shared" si="55"/>
        <v>0</v>
      </c>
      <c r="K148" s="265">
        <f t="shared" si="55"/>
        <v>0</v>
      </c>
      <c r="L148" s="265">
        <f t="shared" si="55"/>
        <v>0</v>
      </c>
      <c r="M148" s="265">
        <f t="shared" si="55"/>
        <v>0</v>
      </c>
      <c r="N148" s="266">
        <f t="shared" si="55"/>
        <v>0</v>
      </c>
    </row>
    <row r="149" spans="1:14" ht="15" thickBot="1" x14ac:dyDescent="0.4">
      <c r="A149" s="268" t="s">
        <v>4</v>
      </c>
      <c r="B149" s="269">
        <f>SUM(C149:N149)</f>
        <v>1752310</v>
      </c>
      <c r="C149" s="270">
        <f t="shared" ref="C149:N149" si="56">SUM(C147:C148)</f>
        <v>121930</v>
      </c>
      <c r="D149" s="270">
        <f t="shared" si="56"/>
        <v>104150</v>
      </c>
      <c r="E149" s="270">
        <f t="shared" si="56"/>
        <v>126290</v>
      </c>
      <c r="F149" s="270">
        <f t="shared" si="56"/>
        <v>107660</v>
      </c>
      <c r="G149" s="270">
        <f t="shared" si="56"/>
        <v>154430</v>
      </c>
      <c r="H149" s="270">
        <f t="shared" si="56"/>
        <v>154510</v>
      </c>
      <c r="I149" s="270">
        <f t="shared" si="56"/>
        <v>181620</v>
      </c>
      <c r="J149" s="270">
        <f t="shared" si="56"/>
        <v>202040</v>
      </c>
      <c r="K149" s="270">
        <f t="shared" si="56"/>
        <v>123550</v>
      </c>
      <c r="L149" s="270">
        <f t="shared" si="56"/>
        <v>156160</v>
      </c>
      <c r="M149" s="270">
        <f t="shared" si="56"/>
        <v>172610</v>
      </c>
      <c r="N149" s="271">
        <f t="shared" si="56"/>
        <v>147360</v>
      </c>
    </row>
    <row r="150" spans="1:14" ht="15" thickBot="1" x14ac:dyDescent="0.4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258"/>
      <c r="M150" s="258"/>
      <c r="N150" s="186"/>
    </row>
    <row r="151" spans="1:14" ht="15" thickBot="1" x14ac:dyDescent="0.4">
      <c r="A151" s="710" t="s">
        <v>140</v>
      </c>
      <c r="B151" s="711"/>
      <c r="C151" s="272"/>
      <c r="D151" s="272"/>
      <c r="E151" s="272"/>
      <c r="F151" s="272"/>
      <c r="G151" s="272"/>
      <c r="H151" s="272"/>
      <c r="I151" s="272"/>
      <c r="J151" s="272"/>
      <c r="K151" s="272"/>
      <c r="L151" s="273"/>
      <c r="M151" s="273"/>
      <c r="N151" s="274"/>
    </row>
    <row r="152" spans="1:14" ht="15" thickBot="1" x14ac:dyDescent="0.4">
      <c r="A152" s="263" t="s">
        <v>138</v>
      </c>
      <c r="B152" s="264">
        <f>SUM(C152:N152)</f>
        <v>1145137.8</v>
      </c>
      <c r="C152" s="265">
        <f>C142*C144</f>
        <v>83790</v>
      </c>
      <c r="D152" s="265">
        <f t="shared" ref="D152:N152" si="57">D142*D144</f>
        <v>69360</v>
      </c>
      <c r="E152" s="265">
        <f t="shared" si="57"/>
        <v>83230</v>
      </c>
      <c r="F152" s="265">
        <f t="shared" si="57"/>
        <v>74725</v>
      </c>
      <c r="G152" s="265">
        <f t="shared" si="57"/>
        <v>100432.8</v>
      </c>
      <c r="H152" s="265">
        <f t="shared" si="57"/>
        <v>102860</v>
      </c>
      <c r="I152" s="265">
        <f t="shared" si="57"/>
        <v>119900</v>
      </c>
      <c r="J152" s="265">
        <f t="shared" si="57"/>
        <v>130830</v>
      </c>
      <c r="K152" s="265">
        <f t="shared" si="57"/>
        <v>80400</v>
      </c>
      <c r="L152" s="265">
        <f t="shared" si="57"/>
        <v>98040</v>
      </c>
      <c r="M152" s="265">
        <f t="shared" si="57"/>
        <v>110670</v>
      </c>
      <c r="N152" s="266">
        <f t="shared" si="57"/>
        <v>90900</v>
      </c>
    </row>
    <row r="153" spans="1:14" ht="15" thickBot="1" x14ac:dyDescent="0.4">
      <c r="A153" s="263" t="s">
        <v>137</v>
      </c>
      <c r="B153" s="275">
        <f>SUM(C153:N153)</f>
        <v>418000</v>
      </c>
      <c r="C153" s="265">
        <f t="shared" ref="C153:N153" si="58">C74</f>
        <v>28000</v>
      </c>
      <c r="D153" s="265">
        <f t="shared" si="58"/>
        <v>24000</v>
      </c>
      <c r="E153" s="265">
        <f t="shared" si="58"/>
        <v>29000</v>
      </c>
      <c r="F153" s="265">
        <f t="shared" si="58"/>
        <v>25000</v>
      </c>
      <c r="G153" s="265">
        <f t="shared" si="58"/>
        <v>36000</v>
      </c>
      <c r="H153" s="265">
        <f t="shared" si="58"/>
        <v>37000</v>
      </c>
      <c r="I153" s="265">
        <f t="shared" si="58"/>
        <v>44000</v>
      </c>
      <c r="J153" s="265">
        <f t="shared" si="58"/>
        <v>49000</v>
      </c>
      <c r="K153" s="265">
        <f t="shared" si="58"/>
        <v>30000</v>
      </c>
      <c r="L153" s="265">
        <f t="shared" si="58"/>
        <v>38000</v>
      </c>
      <c r="M153" s="265">
        <f t="shared" si="58"/>
        <v>42000</v>
      </c>
      <c r="N153" s="266">
        <f t="shared" si="58"/>
        <v>36000</v>
      </c>
    </row>
    <row r="154" spans="1:14" ht="15" thickBot="1" x14ac:dyDescent="0.4">
      <c r="A154" s="263" t="s">
        <v>139</v>
      </c>
      <c r="B154" s="267">
        <f>SUM(C154:N154)</f>
        <v>95172.2</v>
      </c>
      <c r="C154" s="265">
        <f t="shared" ref="C154:N154" si="59">C78</f>
        <v>6640.0000000000009</v>
      </c>
      <c r="D154" s="265">
        <f t="shared" si="59"/>
        <v>7790</v>
      </c>
      <c r="E154" s="265">
        <f t="shared" si="59"/>
        <v>8560</v>
      </c>
      <c r="F154" s="265">
        <f t="shared" si="59"/>
        <v>6935</v>
      </c>
      <c r="G154" s="265">
        <f t="shared" si="59"/>
        <v>6997.2000000000007</v>
      </c>
      <c r="H154" s="265">
        <f t="shared" si="59"/>
        <v>7150.0000000000009</v>
      </c>
      <c r="I154" s="265">
        <f t="shared" si="59"/>
        <v>7720</v>
      </c>
      <c r="J154" s="265">
        <f t="shared" si="59"/>
        <v>8710</v>
      </c>
      <c r="K154" s="265">
        <f t="shared" si="59"/>
        <v>8150</v>
      </c>
      <c r="L154" s="265">
        <f t="shared" si="59"/>
        <v>8120.0000000000009</v>
      </c>
      <c r="M154" s="265">
        <f t="shared" si="59"/>
        <v>7190.0000000000009</v>
      </c>
      <c r="N154" s="266">
        <f t="shared" si="59"/>
        <v>11210</v>
      </c>
    </row>
    <row r="155" spans="1:14" ht="15" thickBot="1" x14ac:dyDescent="0.4">
      <c r="A155" s="276" t="s">
        <v>4</v>
      </c>
      <c r="B155" s="277">
        <f>SUM(C155:N155)</f>
        <v>1658310</v>
      </c>
      <c r="C155" s="278">
        <f>SUM(C152:C154)</f>
        <v>118430</v>
      </c>
      <c r="D155" s="278">
        <f t="shared" ref="D155:N155" si="60">SUM(D152:D154)</f>
        <v>101150</v>
      </c>
      <c r="E155" s="278">
        <f t="shared" si="60"/>
        <v>120790</v>
      </c>
      <c r="F155" s="278">
        <f t="shared" si="60"/>
        <v>106660</v>
      </c>
      <c r="G155" s="278">
        <f t="shared" si="60"/>
        <v>143430</v>
      </c>
      <c r="H155" s="278">
        <f t="shared" si="60"/>
        <v>147010</v>
      </c>
      <c r="I155" s="278">
        <f t="shared" si="60"/>
        <v>171620</v>
      </c>
      <c r="J155" s="278">
        <f t="shared" si="60"/>
        <v>188540</v>
      </c>
      <c r="K155" s="278">
        <f t="shared" si="60"/>
        <v>118550</v>
      </c>
      <c r="L155" s="278">
        <f t="shared" si="60"/>
        <v>144160</v>
      </c>
      <c r="M155" s="278">
        <f t="shared" si="60"/>
        <v>159860</v>
      </c>
      <c r="N155" s="279">
        <f t="shared" si="60"/>
        <v>138110</v>
      </c>
    </row>
    <row r="156" spans="1:14" ht="15" thickBot="1" x14ac:dyDescent="0.4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258"/>
      <c r="M156" s="258"/>
      <c r="N156" s="186"/>
    </row>
    <row r="157" spans="1:14" s="349" customFormat="1" ht="15" thickBot="1" x14ac:dyDescent="0.4">
      <c r="A157" s="706" t="s">
        <v>282</v>
      </c>
      <c r="B157" s="707"/>
      <c r="C157" s="346"/>
      <c r="D157" s="346"/>
      <c r="E157" s="346"/>
      <c r="F157" s="346"/>
      <c r="G157" s="346"/>
      <c r="H157" s="346"/>
      <c r="I157" s="346"/>
      <c r="J157" s="346"/>
      <c r="K157" s="346"/>
      <c r="L157" s="347"/>
      <c r="M157" s="347"/>
      <c r="N157" s="348"/>
    </row>
    <row r="158" spans="1:14" ht="15" thickBot="1" x14ac:dyDescent="0.4">
      <c r="A158" s="263" t="s">
        <v>261</v>
      </c>
      <c r="B158" s="283">
        <f>AVERAGE(C158:N158)</f>
        <v>799.48914006578173</v>
      </c>
      <c r="C158" s="564">
        <f>C155/C142</f>
        <v>845.92857142857144</v>
      </c>
      <c r="D158" s="564">
        <f t="shared" ref="D158:N158" si="61">D155/D142</f>
        <v>842.91666666666663</v>
      </c>
      <c r="E158" s="564">
        <f t="shared" si="61"/>
        <v>833.0344827586207</v>
      </c>
      <c r="F158" s="564">
        <f t="shared" si="61"/>
        <v>853.28</v>
      </c>
      <c r="G158" s="564">
        <f t="shared" si="61"/>
        <v>796.83333333333337</v>
      </c>
      <c r="H158" s="564">
        <f t="shared" si="61"/>
        <v>794.64864864864865</v>
      </c>
      <c r="I158" s="564">
        <f t="shared" si="61"/>
        <v>780.09090909090912</v>
      </c>
      <c r="J158" s="564">
        <f t="shared" si="61"/>
        <v>769.55102040816325</v>
      </c>
      <c r="K158" s="564">
        <f t="shared" si="61"/>
        <v>790.33333333333337</v>
      </c>
      <c r="L158" s="564">
        <f t="shared" si="61"/>
        <v>758.73684210526312</v>
      </c>
      <c r="M158" s="564">
        <f t="shared" si="61"/>
        <v>761.23809523809518</v>
      </c>
      <c r="N158" s="564">
        <f t="shared" si="61"/>
        <v>767.27777777777783</v>
      </c>
    </row>
    <row r="159" spans="1:14" ht="15" thickBot="1" x14ac:dyDescent="0.4">
      <c r="A159" s="350" t="s">
        <v>262</v>
      </c>
      <c r="B159" s="283">
        <f>AVERAGE(C159:N159)</f>
        <v>42.227806256552675</v>
      </c>
      <c r="C159" s="265">
        <f>C143-C158</f>
        <v>25</v>
      </c>
      <c r="D159" s="564">
        <f t="shared" ref="D159:N159" si="62">D143-D158</f>
        <v>25</v>
      </c>
      <c r="E159" s="564">
        <f>E143-E158</f>
        <v>37.931034482758605</v>
      </c>
      <c r="F159" s="564">
        <f t="shared" si="62"/>
        <v>8</v>
      </c>
      <c r="G159" s="564">
        <f t="shared" si="62"/>
        <v>61.111111111111086</v>
      </c>
      <c r="H159" s="564">
        <f t="shared" si="62"/>
        <v>40.540540540540519</v>
      </c>
      <c r="I159" s="564">
        <f t="shared" si="62"/>
        <v>45.454545454545382</v>
      </c>
      <c r="J159" s="564">
        <f t="shared" si="62"/>
        <v>55.102040816326507</v>
      </c>
      <c r="K159" s="564">
        <f t="shared" si="62"/>
        <v>33.333333333333258</v>
      </c>
      <c r="L159" s="564">
        <f t="shared" si="62"/>
        <v>63.157894736842195</v>
      </c>
      <c r="M159" s="564">
        <f t="shared" si="62"/>
        <v>60.714285714285779</v>
      </c>
      <c r="N159" s="564">
        <f t="shared" si="62"/>
        <v>51.3888888888888</v>
      </c>
    </row>
    <row r="160" spans="1:14" ht="15" thickBot="1" x14ac:dyDescent="0.4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258"/>
      <c r="M160" s="258"/>
      <c r="N160" s="186"/>
    </row>
    <row r="161" spans="1:14" ht="15" thickBot="1" x14ac:dyDescent="0.4">
      <c r="A161" s="410" t="s">
        <v>71</v>
      </c>
      <c r="B161" s="411">
        <f>SUM(C161:N161)</f>
        <v>94000</v>
      </c>
      <c r="C161" s="280">
        <f t="shared" ref="C161:N161" si="63">C149-C155</f>
        <v>3500</v>
      </c>
      <c r="D161" s="280">
        <f t="shared" si="63"/>
        <v>3000</v>
      </c>
      <c r="E161" s="280">
        <f t="shared" si="63"/>
        <v>5500</v>
      </c>
      <c r="F161" s="280">
        <f t="shared" si="63"/>
        <v>1000</v>
      </c>
      <c r="G161" s="345">
        <f t="shared" si="63"/>
        <v>11000</v>
      </c>
      <c r="H161" s="280">
        <f t="shared" si="63"/>
        <v>7500</v>
      </c>
      <c r="I161" s="280">
        <f t="shared" si="63"/>
        <v>10000</v>
      </c>
      <c r="J161" s="280">
        <f t="shared" si="63"/>
        <v>13500</v>
      </c>
      <c r="K161" s="280">
        <f t="shared" si="63"/>
        <v>5000</v>
      </c>
      <c r="L161" s="280">
        <f t="shared" si="63"/>
        <v>12000</v>
      </c>
      <c r="M161" s="280">
        <f t="shared" si="63"/>
        <v>12750</v>
      </c>
      <c r="N161" s="281">
        <f t="shared" si="63"/>
        <v>9250</v>
      </c>
    </row>
    <row r="162" spans="1:14" x14ac:dyDescent="0.35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258"/>
      <c r="M162" s="258"/>
      <c r="N162" s="186"/>
    </row>
    <row r="163" spans="1:14" ht="15" thickBot="1" x14ac:dyDescent="0.4">
      <c r="C163" s="1"/>
      <c r="D163" s="1"/>
      <c r="E163" s="1"/>
      <c r="F163" s="1"/>
      <c r="G163" s="1"/>
    </row>
    <row r="164" spans="1:14" ht="15" thickBot="1" x14ac:dyDescent="0.4">
      <c r="A164" s="563" t="s">
        <v>437</v>
      </c>
      <c r="B164" s="572"/>
      <c r="C164" s="573"/>
      <c r="D164" s="573"/>
      <c r="E164" s="573"/>
      <c r="F164" s="573"/>
      <c r="G164" s="574">
        <f>(G144+200)+ (G154/140)</f>
        <v>807.94</v>
      </c>
      <c r="H164" s="574">
        <f>(H144+200)+ (H154/140)</f>
        <v>807.07142857142856</v>
      </c>
      <c r="I164" s="574">
        <f>(I144+200)+ (I154/150)</f>
        <v>796.4666666666667</v>
      </c>
      <c r="J164" s="574">
        <f>(J144+200)+ (J154/185)</f>
        <v>781.08108108108104</v>
      </c>
      <c r="K164" s="574">
        <f>(K144+200)+ (K154/150)</f>
        <v>790.33333333333337</v>
      </c>
      <c r="L164" s="574">
        <f>(L144+200)+ (L154/150)</f>
        <v>770.13333333333333</v>
      </c>
      <c r="M164" s="574">
        <f>(M144+200)+ (M154/150)</f>
        <v>774.93333333333339</v>
      </c>
      <c r="N164" s="574">
        <f>(N144+200)+ (N154/150)</f>
        <v>779.73333333333335</v>
      </c>
    </row>
    <row r="166" spans="1:14" x14ac:dyDescent="0.35">
      <c r="D166" s="182"/>
    </row>
    <row r="167" spans="1:14" x14ac:dyDescent="0.35">
      <c r="C167" s="296"/>
      <c r="D167" s="296"/>
      <c r="E167" s="296"/>
      <c r="F167" s="296"/>
      <c r="G167" s="296"/>
    </row>
    <row r="171" spans="1:14" x14ac:dyDescent="0.35">
      <c r="E171" s="105"/>
      <c r="F171" s="105"/>
      <c r="G171" s="105"/>
      <c r="H171" s="105"/>
      <c r="I171" s="105"/>
      <c r="J171" s="233"/>
      <c r="K171" s="105"/>
    </row>
    <row r="172" spans="1:14" x14ac:dyDescent="0.35">
      <c r="E172" s="105"/>
      <c r="F172" s="105"/>
      <c r="G172" s="105"/>
      <c r="H172" s="105"/>
      <c r="I172" s="105"/>
      <c r="J172" s="233"/>
      <c r="K172" s="105"/>
    </row>
    <row r="173" spans="1:14" x14ac:dyDescent="0.35">
      <c r="E173" s="105"/>
      <c r="F173" s="105"/>
      <c r="G173" s="105"/>
      <c r="H173" s="105"/>
      <c r="I173" s="105"/>
      <c r="J173" s="233"/>
      <c r="K173" s="105"/>
    </row>
    <row r="174" spans="1:14" x14ac:dyDescent="0.35">
      <c r="E174" s="105"/>
      <c r="F174" s="105"/>
      <c r="G174" s="105"/>
      <c r="H174" s="105"/>
      <c r="I174" s="105"/>
      <c r="J174" s="233"/>
      <c r="K174" s="105"/>
    </row>
    <row r="175" spans="1:14" x14ac:dyDescent="0.35">
      <c r="E175" s="105"/>
      <c r="F175" s="105"/>
      <c r="G175" s="105"/>
      <c r="H175" s="105"/>
      <c r="I175" s="105"/>
      <c r="J175" s="105"/>
      <c r="K175" s="105"/>
    </row>
  </sheetData>
  <mergeCells count="6">
    <mergeCell ref="A157:B157"/>
    <mergeCell ref="A146:B146"/>
    <mergeCell ref="A151:B151"/>
    <mergeCell ref="A119:B119"/>
    <mergeCell ref="A2:B2"/>
    <mergeCell ref="A118:O118"/>
  </mergeCells>
  <pageMargins left="0.511811024" right="0.511811024" top="0.78740157499999996" bottom="0.78740157499999996" header="0.31496062000000002" footer="0.31496062000000002"/>
  <pageSetup paperSize="9" scale="81" orientation="portrait" verticalDpi="300" r:id="rId1"/>
  <rowBreaks count="1" manualBreakCount="1">
    <brk id="102" max="31" man="1"/>
  </rowBreaks>
  <ignoredErrors>
    <ignoredError sqref="H143:N143 B158:B159 H158:N159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48434"/>
  <sheetViews>
    <sheetView zoomScale="86" zoomScaleNormal="86" workbookViewId="0">
      <pane xSplit="3" ySplit="3" topLeftCell="D29" activePane="bottomRight" state="frozen"/>
      <selection activeCell="A4" sqref="A4:E88"/>
      <selection pane="topRight" activeCell="A4" sqref="A4:E88"/>
      <selection pane="bottomLeft" activeCell="A4" sqref="A4:E88"/>
      <selection pane="bottomRight" activeCell="D12" sqref="D12:E42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4" customWidth="1"/>
    <col min="4" max="4" width="14.54296875" style="4" bestFit="1" customWidth="1"/>
    <col min="5" max="5" width="13.1796875" style="187" bestFit="1" customWidth="1"/>
    <col min="6" max="6" width="13.26953125" style="5" bestFit="1" customWidth="1"/>
    <col min="7" max="7" width="14.453125" style="6" bestFit="1" customWidth="1"/>
    <col min="8" max="8" width="8.81640625" style="4" hidden="1" customWidth="1"/>
    <col min="9" max="9" width="13.26953125" style="4" hidden="1" customWidth="1"/>
    <col min="10" max="10" width="14.81640625" style="4" hidden="1" customWidth="1"/>
    <col min="11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4" hidden="1" customWidth="1"/>
    <col min="21" max="21" width="10.26953125" style="7" hidden="1" customWidth="1"/>
    <col min="22" max="22" width="9.81640625" style="4" hidden="1" customWidth="1"/>
    <col min="23" max="23" width="18.81640625" style="4" hidden="1" customWidth="1"/>
    <col min="24" max="24" width="30.26953125" style="4" customWidth="1"/>
    <col min="25" max="25" width="14.7265625" style="4" bestFit="1" customWidth="1"/>
    <col min="26" max="26" width="5" style="4" bestFit="1" customWidth="1"/>
    <col min="27" max="27" width="14.26953125" style="4" customWidth="1"/>
    <col min="28" max="28" width="14" style="4" bestFit="1" customWidth="1"/>
    <col min="29" max="16384" width="9.1796875" style="4"/>
  </cols>
  <sheetData>
    <row r="1" spans="1:27" x14ac:dyDescent="0.35">
      <c r="A1" s="226" t="s">
        <v>2</v>
      </c>
      <c r="B1" s="192" t="s">
        <v>2</v>
      </c>
      <c r="C1" s="193"/>
      <c r="D1" s="320">
        <f>D102</f>
        <v>140</v>
      </c>
      <c r="E1" s="193"/>
      <c r="F1" s="193"/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19" t="s">
        <v>3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" t="s">
        <v>16</v>
      </c>
      <c r="X2" s="718" t="s">
        <v>16</v>
      </c>
    </row>
    <row r="3" spans="1:27" ht="29.5" thickBot="1" x14ac:dyDescent="0.4">
      <c r="A3" s="717"/>
      <c r="B3" s="719"/>
      <c r="C3" s="719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"/>
      <c r="X3" s="718"/>
      <c r="Y3" s="8"/>
    </row>
    <row r="4" spans="1:27" s="185" customFormat="1" ht="15" customHeight="1" x14ac:dyDescent="0.35">
      <c r="A4" s="245">
        <v>44930</v>
      </c>
      <c r="B4" s="246"/>
      <c r="C4" s="211" t="s">
        <v>280</v>
      </c>
      <c r="D4" s="15"/>
      <c r="E4" s="15">
        <v>2</v>
      </c>
      <c r="F4" s="9">
        <v>880</v>
      </c>
      <c r="G4" s="29">
        <f t="shared" ref="G4:G45" si="0">(F4*D4)+(E4*F4)</f>
        <v>1760</v>
      </c>
      <c r="H4" s="11"/>
      <c r="I4" s="10"/>
      <c r="J4" s="29">
        <f t="shared" ref="J4:J18" si="1">H4*I4</f>
        <v>0</v>
      </c>
      <c r="K4" s="29"/>
      <c r="L4" s="223">
        <f>(J4+G4)-K4</f>
        <v>1760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 t="shared" ref="R4:R26" si="2">IF(O4&gt;0,SUM(O4-(L4+P4))," ")</f>
        <v xml:space="preserve"> </v>
      </c>
      <c r="S4" s="189"/>
      <c r="T4" s="3" t="s">
        <v>1</v>
      </c>
      <c r="U4" s="13">
        <v>0</v>
      </c>
      <c r="V4" s="3" t="s">
        <v>10</v>
      </c>
      <c r="W4" s="3"/>
      <c r="X4" s="14"/>
    </row>
    <row r="5" spans="1:27" s="185" customFormat="1" ht="15" customHeight="1" x14ac:dyDescent="0.35">
      <c r="A5" s="245">
        <v>44930</v>
      </c>
      <c r="B5" s="246"/>
      <c r="C5" s="211" t="s">
        <v>319</v>
      </c>
      <c r="D5" s="15"/>
      <c r="E5" s="15">
        <v>2</v>
      </c>
      <c r="F5" s="9">
        <v>880</v>
      </c>
      <c r="G5" s="29">
        <f t="shared" si="0"/>
        <v>1760</v>
      </c>
      <c r="H5" s="11"/>
      <c r="I5" s="10"/>
      <c r="J5" s="29">
        <f t="shared" si="1"/>
        <v>0</v>
      </c>
      <c r="K5" s="29"/>
      <c r="L5" s="223">
        <f t="shared" ref="L5:L66" si="3">(J5+G5)-K5</f>
        <v>1760</v>
      </c>
      <c r="M5" s="12"/>
      <c r="N5" s="218" t="str">
        <f t="shared" ref="N5:N61" si="4">IF(M5&gt;0,SUM(L5-M5)," ")</f>
        <v xml:space="preserve"> </v>
      </c>
      <c r="O5" s="189"/>
      <c r="P5" s="189"/>
      <c r="Q5" s="189"/>
      <c r="R5" s="189" t="str">
        <f t="shared" si="2"/>
        <v xml:space="preserve"> </v>
      </c>
      <c r="S5" s="189"/>
      <c r="T5" s="3" t="s">
        <v>1</v>
      </c>
      <c r="U5" s="13">
        <v>0</v>
      </c>
      <c r="V5" s="3" t="s">
        <v>10</v>
      </c>
      <c r="W5" s="3"/>
      <c r="X5" s="14"/>
    </row>
    <row r="6" spans="1:27" s="185" customFormat="1" ht="15" customHeight="1" x14ac:dyDescent="0.35">
      <c r="A6" s="245">
        <v>44930</v>
      </c>
      <c r="B6" s="246"/>
      <c r="C6" s="212" t="s">
        <v>321</v>
      </c>
      <c r="D6" s="15"/>
      <c r="E6" s="15">
        <v>2</v>
      </c>
      <c r="F6" s="9">
        <v>880</v>
      </c>
      <c r="G6" s="29">
        <f t="shared" si="0"/>
        <v>1760</v>
      </c>
      <c r="H6" s="11"/>
      <c r="I6" s="10"/>
      <c r="J6" s="29">
        <f t="shared" si="1"/>
        <v>0</v>
      </c>
      <c r="K6" s="29"/>
      <c r="L6" s="223">
        <f t="shared" si="3"/>
        <v>1760</v>
      </c>
      <c r="M6" s="213"/>
      <c r="N6" s="218" t="str">
        <f t="shared" si="4"/>
        <v xml:space="preserve"> </v>
      </c>
      <c r="O6" s="189"/>
      <c r="P6" s="189"/>
      <c r="Q6" s="189"/>
      <c r="R6" s="189" t="str">
        <f t="shared" si="2"/>
        <v xml:space="preserve"> </v>
      </c>
      <c r="S6" s="189"/>
      <c r="T6" s="3" t="s">
        <v>1</v>
      </c>
      <c r="U6" s="13">
        <v>0</v>
      </c>
      <c r="V6" s="3" t="s">
        <v>10</v>
      </c>
      <c r="W6" s="3"/>
      <c r="X6" s="17"/>
    </row>
    <row r="7" spans="1:27" s="185" customFormat="1" ht="15" customHeight="1" x14ac:dyDescent="0.35">
      <c r="A7" s="245">
        <v>44930</v>
      </c>
      <c r="B7" s="246"/>
      <c r="C7" s="212" t="s">
        <v>320</v>
      </c>
      <c r="D7" s="15"/>
      <c r="E7" s="15">
        <v>1</v>
      </c>
      <c r="F7" s="9">
        <v>900</v>
      </c>
      <c r="G7" s="29">
        <f t="shared" si="0"/>
        <v>900</v>
      </c>
      <c r="H7" s="11"/>
      <c r="I7" s="10"/>
      <c r="J7" s="29">
        <f t="shared" si="1"/>
        <v>0</v>
      </c>
      <c r="K7" s="29"/>
      <c r="L7" s="223">
        <f t="shared" si="3"/>
        <v>900</v>
      </c>
      <c r="M7" s="12"/>
      <c r="N7" s="218" t="str">
        <f t="shared" si="4"/>
        <v xml:space="preserve"> </v>
      </c>
      <c r="O7" s="189"/>
      <c r="P7" s="189"/>
      <c r="Q7" s="189"/>
      <c r="R7" s="189" t="str">
        <f t="shared" si="2"/>
        <v xml:space="preserve"> </v>
      </c>
      <c r="S7" s="189"/>
      <c r="T7" s="3" t="s">
        <v>1</v>
      </c>
      <c r="U7" s="13">
        <v>0</v>
      </c>
      <c r="V7" s="3" t="s">
        <v>10</v>
      </c>
      <c r="W7" s="3"/>
      <c r="X7" s="16"/>
    </row>
    <row r="8" spans="1:27" s="185" customFormat="1" ht="15" customHeight="1" x14ac:dyDescent="0.35">
      <c r="A8" s="245">
        <v>44931</v>
      </c>
      <c r="B8" s="246"/>
      <c r="C8" s="211" t="s">
        <v>281</v>
      </c>
      <c r="D8" s="15"/>
      <c r="E8" s="15">
        <v>3</v>
      </c>
      <c r="F8" s="9">
        <v>860</v>
      </c>
      <c r="G8" s="29">
        <f t="shared" si="0"/>
        <v>2580</v>
      </c>
      <c r="H8" s="11"/>
      <c r="I8" s="10"/>
      <c r="J8" s="29">
        <f t="shared" si="1"/>
        <v>0</v>
      </c>
      <c r="K8" s="29"/>
      <c r="L8" s="223">
        <f t="shared" si="3"/>
        <v>2580</v>
      </c>
      <c r="M8" s="12"/>
      <c r="N8" s="218" t="str">
        <f t="shared" si="4"/>
        <v xml:space="preserve"> </v>
      </c>
      <c r="O8" s="189">
        <v>1400</v>
      </c>
      <c r="P8" s="189"/>
      <c r="Q8" s="189"/>
      <c r="R8" s="189">
        <f t="shared" si="2"/>
        <v>-1180</v>
      </c>
      <c r="S8" s="189"/>
      <c r="T8" s="3" t="s">
        <v>83</v>
      </c>
      <c r="U8" s="13">
        <v>0</v>
      </c>
      <c r="V8" s="3" t="s">
        <v>10</v>
      </c>
      <c r="W8" s="3" t="s">
        <v>84</v>
      </c>
      <c r="X8" s="16"/>
      <c r="Y8" s="185" t="s">
        <v>0</v>
      </c>
      <c r="Z8" s="185" t="s">
        <v>8</v>
      </c>
      <c r="AA8" s="249">
        <f>G101</f>
        <v>121930</v>
      </c>
    </row>
    <row r="9" spans="1:27" s="185" customFormat="1" ht="15" customHeight="1" x14ac:dyDescent="0.35">
      <c r="A9" s="245">
        <v>44931</v>
      </c>
      <c r="B9" s="246"/>
      <c r="C9" s="211" t="s">
        <v>279</v>
      </c>
      <c r="D9" s="15"/>
      <c r="E9" s="15">
        <v>6</v>
      </c>
      <c r="F9" s="9">
        <v>860</v>
      </c>
      <c r="G9" s="29">
        <f t="shared" si="0"/>
        <v>5160</v>
      </c>
      <c r="H9" s="11"/>
      <c r="I9" s="10"/>
      <c r="J9" s="29">
        <f t="shared" si="1"/>
        <v>0</v>
      </c>
      <c r="K9" s="29"/>
      <c r="L9" s="223">
        <f t="shared" si="3"/>
        <v>5160</v>
      </c>
      <c r="M9" s="12"/>
      <c r="N9" s="218" t="str">
        <f t="shared" si="4"/>
        <v xml:space="preserve"> </v>
      </c>
      <c r="O9" s="189"/>
      <c r="P9" s="189"/>
      <c r="Q9" s="189"/>
      <c r="R9" s="189" t="str">
        <f t="shared" si="2"/>
        <v xml:space="preserve"> </v>
      </c>
      <c r="S9" s="189"/>
      <c r="T9" s="18" t="s">
        <v>1</v>
      </c>
      <c r="U9" s="13">
        <v>0</v>
      </c>
      <c r="V9" s="3" t="s">
        <v>10</v>
      </c>
      <c r="W9" s="3"/>
      <c r="X9" s="16"/>
      <c r="Y9" s="185">
        <v>720</v>
      </c>
      <c r="AA9" s="191">
        <f>Y9*Z9</f>
        <v>0</v>
      </c>
    </row>
    <row r="10" spans="1:27" s="185" customFormat="1" ht="15" customHeight="1" x14ac:dyDescent="0.35">
      <c r="A10" s="245">
        <v>44931</v>
      </c>
      <c r="B10" s="246"/>
      <c r="C10" s="211" t="s">
        <v>318</v>
      </c>
      <c r="D10" s="15">
        <v>1</v>
      </c>
      <c r="E10" s="15"/>
      <c r="F10" s="9">
        <v>900</v>
      </c>
      <c r="G10" s="29">
        <f t="shared" si="0"/>
        <v>900</v>
      </c>
      <c r="H10" s="11"/>
      <c r="I10" s="10"/>
      <c r="J10" s="29">
        <f t="shared" si="1"/>
        <v>0</v>
      </c>
      <c r="K10" s="29"/>
      <c r="L10" s="223">
        <f t="shared" si="3"/>
        <v>900</v>
      </c>
      <c r="M10" s="12"/>
      <c r="N10" s="218" t="str">
        <f t="shared" si="4"/>
        <v xml:space="preserve"> </v>
      </c>
      <c r="O10" s="189"/>
      <c r="P10" s="189"/>
      <c r="Q10" s="189"/>
      <c r="R10" s="189" t="str">
        <f t="shared" si="2"/>
        <v xml:space="preserve"> </v>
      </c>
      <c r="S10" s="189"/>
      <c r="T10" s="18" t="s">
        <v>1</v>
      </c>
      <c r="U10" s="13">
        <v>0</v>
      </c>
      <c r="V10" s="3" t="s">
        <v>10</v>
      </c>
      <c r="W10" s="3"/>
      <c r="X10" s="16"/>
      <c r="Y10" s="187">
        <v>750</v>
      </c>
      <c r="Z10" s="187"/>
      <c r="AA10" s="191">
        <f>Y10*Z10</f>
        <v>0</v>
      </c>
    </row>
    <row r="11" spans="1:27" s="185" customFormat="1" ht="15" customHeight="1" x14ac:dyDescent="0.35">
      <c r="A11" s="245">
        <v>44931</v>
      </c>
      <c r="B11" s="246"/>
      <c r="C11" s="211" t="s">
        <v>322</v>
      </c>
      <c r="D11" s="15">
        <v>1</v>
      </c>
      <c r="E11" s="15"/>
      <c r="F11" s="9">
        <v>900</v>
      </c>
      <c r="G11" s="29">
        <f t="shared" si="0"/>
        <v>900</v>
      </c>
      <c r="H11" s="11"/>
      <c r="I11" s="10"/>
      <c r="J11" s="29">
        <f t="shared" si="1"/>
        <v>0</v>
      </c>
      <c r="K11" s="29"/>
      <c r="L11" s="223">
        <f t="shared" si="3"/>
        <v>900</v>
      </c>
      <c r="M11" s="213"/>
      <c r="N11" s="218" t="str">
        <f t="shared" si="4"/>
        <v xml:space="preserve"> </v>
      </c>
      <c r="O11" s="189"/>
      <c r="P11" s="189"/>
      <c r="Q11" s="189"/>
      <c r="R11" s="189" t="str">
        <f t="shared" si="2"/>
        <v xml:space="preserve"> </v>
      </c>
      <c r="S11" s="189"/>
      <c r="T11" s="18" t="s">
        <v>1</v>
      </c>
      <c r="U11" s="13">
        <v>0</v>
      </c>
      <c r="V11" s="3" t="s">
        <v>10</v>
      </c>
      <c r="W11" s="3"/>
      <c r="X11" s="16"/>
      <c r="Y11" s="187">
        <v>780</v>
      </c>
      <c r="Z11" s="187"/>
      <c r="AA11" s="191">
        <f>Y11*Z11</f>
        <v>0</v>
      </c>
    </row>
    <row r="12" spans="1:27" s="187" customFormat="1" ht="15" customHeight="1" x14ac:dyDescent="0.35">
      <c r="A12" s="245">
        <v>44931</v>
      </c>
      <c r="B12" s="246"/>
      <c r="C12" s="212" t="s">
        <v>153</v>
      </c>
      <c r="D12" s="15">
        <v>1</v>
      </c>
      <c r="E12" s="15"/>
      <c r="F12" s="9">
        <v>880</v>
      </c>
      <c r="G12" s="29">
        <f t="shared" si="0"/>
        <v>880</v>
      </c>
      <c r="H12" s="11"/>
      <c r="I12" s="10"/>
      <c r="J12" s="29">
        <f t="shared" si="1"/>
        <v>0</v>
      </c>
      <c r="K12" s="29"/>
      <c r="L12" s="223">
        <f t="shared" si="3"/>
        <v>880</v>
      </c>
      <c r="M12" s="12"/>
      <c r="N12" s="218" t="str">
        <f t="shared" si="4"/>
        <v xml:space="preserve"> </v>
      </c>
      <c r="O12" s="189"/>
      <c r="P12" s="189"/>
      <c r="Q12" s="189"/>
      <c r="R12" s="189" t="str">
        <f t="shared" si="2"/>
        <v xml:space="preserve"> </v>
      </c>
      <c r="S12" s="189"/>
      <c r="T12" s="3" t="s">
        <v>1</v>
      </c>
      <c r="U12" s="13">
        <v>0</v>
      </c>
      <c r="V12" s="3" t="s">
        <v>10</v>
      </c>
      <c r="W12" s="3"/>
      <c r="X12" s="17"/>
      <c r="Y12" s="185">
        <v>800</v>
      </c>
      <c r="Z12" s="185"/>
      <c r="AA12" s="191">
        <f>Y12*Z12</f>
        <v>0</v>
      </c>
    </row>
    <row r="13" spans="1:27" s="187" customFormat="1" ht="15" customHeight="1" x14ac:dyDescent="0.35">
      <c r="A13" s="245">
        <v>44932</v>
      </c>
      <c r="B13" s="246"/>
      <c r="C13" s="211" t="s">
        <v>152</v>
      </c>
      <c r="D13" s="15">
        <v>8</v>
      </c>
      <c r="E13" s="15"/>
      <c r="F13" s="9">
        <v>860</v>
      </c>
      <c r="G13" s="29">
        <f t="shared" si="0"/>
        <v>6880</v>
      </c>
      <c r="H13" s="11"/>
      <c r="I13" s="10"/>
      <c r="J13" s="29">
        <f t="shared" si="1"/>
        <v>0</v>
      </c>
      <c r="K13" s="29"/>
      <c r="L13" s="223">
        <f t="shared" si="3"/>
        <v>6880</v>
      </c>
      <c r="M13" s="213"/>
      <c r="N13" s="218" t="str">
        <f t="shared" si="4"/>
        <v xml:space="preserve"> </v>
      </c>
      <c r="O13" s="189">
        <v>440</v>
      </c>
      <c r="P13" s="189"/>
      <c r="Q13" s="189"/>
      <c r="R13" s="189">
        <f t="shared" si="2"/>
        <v>-6440</v>
      </c>
      <c r="S13" s="189">
        <f>P13-Q13</f>
        <v>0</v>
      </c>
      <c r="T13" s="3" t="s">
        <v>1</v>
      </c>
      <c r="U13" s="13">
        <v>30</v>
      </c>
      <c r="V13" s="3" t="s">
        <v>10</v>
      </c>
      <c r="W13" s="3" t="s">
        <v>92</v>
      </c>
      <c r="X13" s="16"/>
      <c r="Y13" s="185"/>
      <c r="Z13" s="185"/>
      <c r="AA13" s="251">
        <f>AA8-(SUM(AA9:AA12))</f>
        <v>121930</v>
      </c>
    </row>
    <row r="14" spans="1:27" ht="15" customHeight="1" x14ac:dyDescent="0.35">
      <c r="A14" s="245">
        <v>44934</v>
      </c>
      <c r="B14" s="246"/>
      <c r="C14" s="212" t="s">
        <v>324</v>
      </c>
      <c r="D14" s="15"/>
      <c r="E14" s="15">
        <v>1</v>
      </c>
      <c r="F14" s="9">
        <v>880</v>
      </c>
      <c r="G14" s="29">
        <f t="shared" si="0"/>
        <v>880</v>
      </c>
      <c r="H14" s="11"/>
      <c r="I14" s="10"/>
      <c r="J14" s="29">
        <f t="shared" si="1"/>
        <v>0</v>
      </c>
      <c r="K14" s="29"/>
      <c r="L14" s="223">
        <f t="shared" si="3"/>
        <v>880</v>
      </c>
      <c r="M14" s="12"/>
      <c r="N14" s="218" t="str">
        <f t="shared" si="4"/>
        <v xml:space="preserve"> </v>
      </c>
      <c r="O14" s="190"/>
      <c r="P14" s="190"/>
      <c r="Q14" s="190"/>
      <c r="R14" s="189" t="str">
        <f t="shared" si="2"/>
        <v xml:space="preserve"> </v>
      </c>
      <c r="S14" s="190"/>
      <c r="T14" s="3"/>
      <c r="U14" s="19"/>
      <c r="V14" s="3"/>
      <c r="W14" s="3"/>
      <c r="X14" s="16"/>
      <c r="Y14" s="187"/>
      <c r="Z14" s="187"/>
      <c r="AA14" s="187"/>
    </row>
    <row r="15" spans="1:27" ht="15" customHeight="1" x14ac:dyDescent="0.35">
      <c r="A15" s="245">
        <v>44935</v>
      </c>
      <c r="B15" s="246"/>
      <c r="C15" s="211" t="s">
        <v>325</v>
      </c>
      <c r="D15" s="15">
        <v>1</v>
      </c>
      <c r="E15" s="15"/>
      <c r="F15" s="9">
        <v>900</v>
      </c>
      <c r="G15" s="29">
        <f t="shared" si="0"/>
        <v>900</v>
      </c>
      <c r="H15" s="11"/>
      <c r="I15" s="10"/>
      <c r="J15" s="29">
        <f t="shared" si="1"/>
        <v>0</v>
      </c>
      <c r="K15" s="29"/>
      <c r="L15" s="223">
        <f t="shared" si="3"/>
        <v>900</v>
      </c>
      <c r="M15" s="12"/>
      <c r="N15" s="218" t="str">
        <f t="shared" si="4"/>
        <v xml:space="preserve"> </v>
      </c>
      <c r="O15" s="190"/>
      <c r="P15" s="190"/>
      <c r="Q15" s="190"/>
      <c r="R15" s="189" t="str">
        <f t="shared" si="2"/>
        <v xml:space="preserve"> </v>
      </c>
      <c r="S15" s="190"/>
      <c r="T15" s="3"/>
      <c r="U15" s="19"/>
      <c r="V15" s="3"/>
      <c r="W15" s="3"/>
      <c r="X15" s="16"/>
      <c r="Y15" s="187"/>
      <c r="Z15" s="187"/>
      <c r="AA15" s="187"/>
    </row>
    <row r="16" spans="1:27" ht="15" customHeight="1" x14ac:dyDescent="0.35">
      <c r="A16" s="245">
        <v>44935</v>
      </c>
      <c r="B16" s="246"/>
      <c r="C16" s="211" t="s">
        <v>323</v>
      </c>
      <c r="D16" s="15">
        <v>1</v>
      </c>
      <c r="E16" s="15"/>
      <c r="F16" s="9">
        <v>880</v>
      </c>
      <c r="G16" s="29">
        <f t="shared" si="0"/>
        <v>880</v>
      </c>
      <c r="H16" s="11"/>
      <c r="I16" s="10"/>
      <c r="J16" s="29">
        <f t="shared" si="1"/>
        <v>0</v>
      </c>
      <c r="K16" s="29"/>
      <c r="L16" s="223">
        <f t="shared" si="3"/>
        <v>880</v>
      </c>
      <c r="M16" s="12"/>
      <c r="N16" s="218" t="str">
        <f t="shared" si="4"/>
        <v xml:space="preserve"> </v>
      </c>
      <c r="O16" s="189"/>
      <c r="P16" s="189"/>
      <c r="Q16" s="189"/>
      <c r="R16" s="189" t="str">
        <f t="shared" si="2"/>
        <v xml:space="preserve"> </v>
      </c>
      <c r="S16" s="189"/>
      <c r="T16" s="3"/>
      <c r="U16" s="13"/>
      <c r="V16" s="3"/>
      <c r="W16" s="3"/>
      <c r="X16" s="16"/>
    </row>
    <row r="17" spans="1:27" ht="15" customHeight="1" x14ac:dyDescent="0.35">
      <c r="A17" s="245">
        <v>44935</v>
      </c>
      <c r="B17" s="246"/>
      <c r="C17" s="211" t="s">
        <v>296</v>
      </c>
      <c r="D17" s="15"/>
      <c r="E17" s="15">
        <v>4</v>
      </c>
      <c r="F17" s="9">
        <v>900</v>
      </c>
      <c r="G17" s="29">
        <f t="shared" si="0"/>
        <v>3600</v>
      </c>
      <c r="H17" s="11"/>
      <c r="I17" s="10"/>
      <c r="J17" s="29">
        <f t="shared" si="1"/>
        <v>0</v>
      </c>
      <c r="K17" s="29"/>
      <c r="L17" s="223">
        <f t="shared" si="3"/>
        <v>3600</v>
      </c>
      <c r="M17" s="223"/>
      <c r="N17" s="218" t="str">
        <f t="shared" si="4"/>
        <v xml:space="preserve"> </v>
      </c>
      <c r="O17" s="189"/>
      <c r="P17" s="189"/>
      <c r="Q17" s="189"/>
      <c r="R17" s="189" t="str">
        <f t="shared" si="2"/>
        <v xml:space="preserve"> </v>
      </c>
      <c r="S17" s="189"/>
      <c r="T17" s="3"/>
      <c r="U17" s="13"/>
      <c r="V17" s="3"/>
      <c r="W17" s="3"/>
      <c r="X17" s="16"/>
    </row>
    <row r="18" spans="1:27" ht="15" customHeight="1" x14ac:dyDescent="0.35">
      <c r="A18" s="245">
        <v>44935</v>
      </c>
      <c r="B18" s="246"/>
      <c r="C18" s="211" t="s">
        <v>153</v>
      </c>
      <c r="D18" s="15">
        <v>1</v>
      </c>
      <c r="E18" s="15"/>
      <c r="F18" s="9">
        <v>880</v>
      </c>
      <c r="G18" s="29">
        <f t="shared" si="0"/>
        <v>880</v>
      </c>
      <c r="H18" s="11"/>
      <c r="I18" s="10"/>
      <c r="J18" s="29">
        <f t="shared" si="1"/>
        <v>0</v>
      </c>
      <c r="K18" s="29"/>
      <c r="L18" s="223">
        <f t="shared" si="3"/>
        <v>880</v>
      </c>
      <c r="M18" s="213"/>
      <c r="N18" s="218" t="str">
        <f t="shared" si="4"/>
        <v xml:space="preserve"> </v>
      </c>
      <c r="O18" s="189"/>
      <c r="P18" s="189"/>
      <c r="Q18" s="189"/>
      <c r="R18" s="189" t="str">
        <f t="shared" si="2"/>
        <v xml:space="preserve"> </v>
      </c>
      <c r="S18" s="189"/>
      <c r="T18" s="3"/>
      <c r="U18" s="13"/>
      <c r="V18" s="3"/>
      <c r="W18" s="3"/>
      <c r="X18" s="16"/>
    </row>
    <row r="19" spans="1:27" ht="15" customHeight="1" x14ac:dyDescent="0.35">
      <c r="A19" s="245">
        <v>44937</v>
      </c>
      <c r="B19" s="246"/>
      <c r="C19" s="211" t="s">
        <v>327</v>
      </c>
      <c r="D19" s="15">
        <v>1</v>
      </c>
      <c r="E19" s="15"/>
      <c r="F19" s="9">
        <v>900</v>
      </c>
      <c r="G19" s="29">
        <f t="shared" si="0"/>
        <v>900</v>
      </c>
      <c r="H19" s="11"/>
      <c r="I19" s="10"/>
      <c r="J19" s="29">
        <f t="shared" ref="J19:J26" si="5">H19*I19</f>
        <v>0</v>
      </c>
      <c r="K19" s="29"/>
      <c r="L19" s="223">
        <f t="shared" si="3"/>
        <v>900</v>
      </c>
      <c r="M19" s="223"/>
      <c r="N19" s="218" t="str">
        <f t="shared" si="4"/>
        <v xml:space="preserve"> </v>
      </c>
      <c r="O19" s="189"/>
      <c r="P19" s="189"/>
      <c r="Q19" s="189"/>
      <c r="R19" s="189" t="str">
        <f t="shared" si="2"/>
        <v xml:space="preserve"> </v>
      </c>
      <c r="S19" s="189"/>
      <c r="T19" s="3"/>
      <c r="U19" s="13"/>
      <c r="V19" s="3"/>
      <c r="W19" s="3"/>
      <c r="X19" s="16"/>
    </row>
    <row r="20" spans="1:27" s="187" customFormat="1" ht="15" customHeight="1" x14ac:dyDescent="0.35">
      <c r="A20" s="245">
        <v>44937</v>
      </c>
      <c r="B20" s="246"/>
      <c r="C20" s="211" t="s">
        <v>326</v>
      </c>
      <c r="D20" s="15"/>
      <c r="E20" s="15">
        <v>1</v>
      </c>
      <c r="F20" s="9">
        <v>900</v>
      </c>
      <c r="G20" s="29">
        <f t="shared" si="0"/>
        <v>900</v>
      </c>
      <c r="H20" s="11"/>
      <c r="I20" s="10"/>
      <c r="J20" s="29">
        <f t="shared" si="5"/>
        <v>0</v>
      </c>
      <c r="K20" s="29"/>
      <c r="L20" s="223">
        <f t="shared" si="3"/>
        <v>900</v>
      </c>
      <c r="M20" s="12"/>
      <c r="N20" s="218" t="str">
        <f t="shared" si="4"/>
        <v xml:space="preserve"> </v>
      </c>
      <c r="O20" s="189"/>
      <c r="P20" s="189"/>
      <c r="Q20" s="189"/>
      <c r="R20" s="189" t="str">
        <f t="shared" si="2"/>
        <v xml:space="preserve"> </v>
      </c>
      <c r="S20" s="189"/>
      <c r="T20" s="238"/>
      <c r="U20" s="13"/>
      <c r="V20" s="238"/>
      <c r="W20" s="238"/>
      <c r="X20" s="16"/>
      <c r="Y20" s="4"/>
      <c r="Z20" s="4"/>
      <c r="AA20" s="4"/>
    </row>
    <row r="21" spans="1:27" ht="15" customHeight="1" x14ac:dyDescent="0.35">
      <c r="A21" s="245">
        <v>44938</v>
      </c>
      <c r="B21" s="246"/>
      <c r="C21" s="211" t="s">
        <v>153</v>
      </c>
      <c r="D21" s="15"/>
      <c r="E21" s="15">
        <v>1</v>
      </c>
      <c r="F21" s="9">
        <v>880</v>
      </c>
      <c r="G21" s="29">
        <f t="shared" si="0"/>
        <v>880</v>
      </c>
      <c r="H21" s="11"/>
      <c r="I21" s="10"/>
      <c r="J21" s="29">
        <f t="shared" si="5"/>
        <v>0</v>
      </c>
      <c r="K21" s="29"/>
      <c r="L21" s="223">
        <f t="shared" si="3"/>
        <v>880</v>
      </c>
      <c r="M21" s="12"/>
      <c r="N21" s="218" t="str">
        <f t="shared" si="4"/>
        <v xml:space="preserve"> </v>
      </c>
      <c r="O21" s="189"/>
      <c r="P21" s="189"/>
      <c r="Q21" s="189"/>
      <c r="R21" s="189" t="str">
        <f t="shared" si="2"/>
        <v xml:space="preserve"> </v>
      </c>
      <c r="S21" s="189"/>
      <c r="T21" s="3"/>
      <c r="U21" s="13"/>
      <c r="V21" s="3"/>
      <c r="W21" s="3"/>
      <c r="X21" s="16"/>
    </row>
    <row r="22" spans="1:27" ht="15" customHeight="1" x14ac:dyDescent="0.35">
      <c r="A22" s="23">
        <v>44938</v>
      </c>
      <c r="B22" s="24"/>
      <c r="C22" s="211" t="s">
        <v>112</v>
      </c>
      <c r="D22" s="15"/>
      <c r="E22" s="15">
        <v>10</v>
      </c>
      <c r="F22" s="9">
        <v>850</v>
      </c>
      <c r="G22" s="29">
        <f t="shared" si="0"/>
        <v>8500</v>
      </c>
      <c r="H22" s="11"/>
      <c r="I22" s="10"/>
      <c r="J22" s="29">
        <f t="shared" si="5"/>
        <v>0</v>
      </c>
      <c r="K22" s="29"/>
      <c r="L22" s="223">
        <f t="shared" si="3"/>
        <v>8500</v>
      </c>
      <c r="M22" s="12"/>
      <c r="N22" s="218" t="str">
        <f t="shared" si="4"/>
        <v xml:space="preserve"> </v>
      </c>
      <c r="O22" s="189"/>
      <c r="P22" s="189"/>
      <c r="Q22" s="189"/>
      <c r="R22" s="189" t="str">
        <f t="shared" si="2"/>
        <v xml:space="preserve"> </v>
      </c>
      <c r="S22" s="189"/>
      <c r="T22" s="3"/>
      <c r="U22" s="13"/>
      <c r="V22" s="3"/>
      <c r="W22" s="3"/>
      <c r="X22" s="16"/>
      <c r="Y22" s="187"/>
      <c r="Z22" s="187"/>
      <c r="AA22" s="187"/>
    </row>
    <row r="23" spans="1:27" ht="15" customHeight="1" x14ac:dyDescent="0.35">
      <c r="A23" s="23">
        <v>44938</v>
      </c>
      <c r="B23" s="24"/>
      <c r="C23" s="211" t="s">
        <v>322</v>
      </c>
      <c r="D23" s="15">
        <v>2</v>
      </c>
      <c r="E23" s="15"/>
      <c r="F23" s="9">
        <v>900</v>
      </c>
      <c r="G23" s="29">
        <f t="shared" si="0"/>
        <v>1800</v>
      </c>
      <c r="H23" s="11"/>
      <c r="I23" s="10"/>
      <c r="J23" s="29">
        <f t="shared" si="5"/>
        <v>0</v>
      </c>
      <c r="K23" s="29"/>
      <c r="L23" s="223">
        <f t="shared" si="3"/>
        <v>1800</v>
      </c>
      <c r="M23" s="12"/>
      <c r="N23" s="218" t="str">
        <f t="shared" si="4"/>
        <v xml:space="preserve"> </v>
      </c>
      <c r="O23" s="189"/>
      <c r="P23" s="189"/>
      <c r="Q23" s="189"/>
      <c r="R23" s="189" t="str">
        <f t="shared" si="2"/>
        <v xml:space="preserve"> </v>
      </c>
      <c r="S23" s="189"/>
      <c r="T23" s="3"/>
      <c r="U23" s="13"/>
      <c r="V23" s="3"/>
      <c r="W23" s="3"/>
      <c r="X23" s="16"/>
    </row>
    <row r="24" spans="1:27" s="187" customFormat="1" ht="15" customHeight="1" x14ac:dyDescent="0.35">
      <c r="A24" s="23">
        <v>44938</v>
      </c>
      <c r="B24" s="24"/>
      <c r="C24" s="211" t="s">
        <v>321</v>
      </c>
      <c r="D24" s="15">
        <v>2</v>
      </c>
      <c r="E24" s="15"/>
      <c r="F24" s="9">
        <v>880</v>
      </c>
      <c r="G24" s="29">
        <f t="shared" si="0"/>
        <v>1760</v>
      </c>
      <c r="H24" s="11"/>
      <c r="I24" s="10"/>
      <c r="J24" s="29">
        <f t="shared" si="5"/>
        <v>0</v>
      </c>
      <c r="K24" s="29"/>
      <c r="L24" s="223">
        <f t="shared" si="3"/>
        <v>1760</v>
      </c>
      <c r="M24" s="12"/>
      <c r="N24" s="218" t="str">
        <f t="shared" si="4"/>
        <v xml:space="preserve"> </v>
      </c>
      <c r="O24" s="189"/>
      <c r="P24" s="189"/>
      <c r="Q24" s="189"/>
      <c r="R24" s="189" t="str">
        <f t="shared" si="2"/>
        <v xml:space="preserve"> </v>
      </c>
      <c r="S24" s="189"/>
      <c r="T24" s="231"/>
      <c r="U24" s="13"/>
      <c r="V24" s="231"/>
      <c r="W24" s="231"/>
      <c r="X24" s="16"/>
      <c r="Y24" s="4"/>
      <c r="Z24" s="4"/>
      <c r="AA24" s="4"/>
    </row>
    <row r="25" spans="1:27" ht="15" customHeight="1" x14ac:dyDescent="0.35">
      <c r="A25" s="23">
        <v>44939</v>
      </c>
      <c r="B25" s="23"/>
      <c r="C25" s="188" t="s">
        <v>279</v>
      </c>
      <c r="D25" s="15">
        <v>6</v>
      </c>
      <c r="E25" s="15"/>
      <c r="F25" s="9">
        <v>860</v>
      </c>
      <c r="G25" s="29">
        <f t="shared" si="0"/>
        <v>5160</v>
      </c>
      <c r="H25" s="11"/>
      <c r="I25" s="10"/>
      <c r="J25" s="29">
        <f t="shared" si="5"/>
        <v>0</v>
      </c>
      <c r="K25" s="29"/>
      <c r="L25" s="223">
        <f t="shared" si="3"/>
        <v>5160</v>
      </c>
      <c r="M25" s="12"/>
      <c r="N25" s="218" t="str">
        <f t="shared" si="4"/>
        <v xml:space="preserve"> </v>
      </c>
      <c r="O25" s="189"/>
      <c r="P25" s="189"/>
      <c r="Q25" s="189"/>
      <c r="R25" s="189" t="str">
        <f t="shared" si="2"/>
        <v xml:space="preserve"> </v>
      </c>
      <c r="S25" s="189"/>
      <c r="T25" s="3"/>
      <c r="U25" s="13"/>
      <c r="V25" s="3"/>
      <c r="W25" s="3"/>
      <c r="X25" s="16"/>
    </row>
    <row r="26" spans="1:27" ht="15" customHeight="1" x14ac:dyDescent="0.35">
      <c r="A26" s="23">
        <v>44939</v>
      </c>
      <c r="B26" s="23"/>
      <c r="C26" s="211" t="s">
        <v>328</v>
      </c>
      <c r="D26" s="15">
        <v>4</v>
      </c>
      <c r="E26" s="15"/>
      <c r="F26" s="9">
        <v>860</v>
      </c>
      <c r="G26" s="29">
        <f t="shared" si="0"/>
        <v>3440</v>
      </c>
      <c r="H26" s="11"/>
      <c r="I26" s="10"/>
      <c r="J26" s="29">
        <f t="shared" si="5"/>
        <v>0</v>
      </c>
      <c r="K26" s="29"/>
      <c r="L26" s="223">
        <f t="shared" si="3"/>
        <v>3440</v>
      </c>
      <c r="M26" s="12"/>
      <c r="N26" s="218" t="str">
        <f t="shared" si="4"/>
        <v xml:space="preserve"> </v>
      </c>
      <c r="O26" s="189"/>
      <c r="P26" s="189"/>
      <c r="Q26" s="189"/>
      <c r="R26" s="189" t="str">
        <f t="shared" si="2"/>
        <v xml:space="preserve"> </v>
      </c>
      <c r="S26" s="189"/>
      <c r="T26" s="3"/>
      <c r="U26" s="13"/>
      <c r="V26" s="3"/>
      <c r="W26" s="3"/>
      <c r="X26" s="16"/>
      <c r="Y26" s="187"/>
      <c r="Z26" s="187"/>
      <c r="AA26" s="187"/>
    </row>
    <row r="27" spans="1:27" s="187" customFormat="1" ht="15" customHeight="1" x14ac:dyDescent="0.35">
      <c r="A27" s="23">
        <v>44939</v>
      </c>
      <c r="B27" s="24"/>
      <c r="C27" s="211" t="s">
        <v>153</v>
      </c>
      <c r="D27" s="15">
        <v>1</v>
      </c>
      <c r="E27" s="15"/>
      <c r="F27" s="9">
        <v>880</v>
      </c>
      <c r="G27" s="29">
        <f t="shared" si="0"/>
        <v>880</v>
      </c>
      <c r="H27" s="11"/>
      <c r="I27" s="10"/>
      <c r="J27" s="29">
        <f t="shared" ref="J27:J36" si="6">H27*I27</f>
        <v>0</v>
      </c>
      <c r="K27" s="29"/>
      <c r="L27" s="223">
        <f t="shared" si="3"/>
        <v>880</v>
      </c>
      <c r="M27" s="12"/>
      <c r="N27" s="218" t="str">
        <f t="shared" si="4"/>
        <v xml:space="preserve"> </v>
      </c>
      <c r="O27" s="189"/>
      <c r="P27" s="189"/>
      <c r="Q27" s="189"/>
      <c r="R27" s="189" t="str">
        <f t="shared" ref="R27:R36" si="7">IF(O27&gt;0,SUM(O27-(L27+P27))," ")</f>
        <v xml:space="preserve"> </v>
      </c>
      <c r="S27" s="189"/>
      <c r="T27" s="205"/>
      <c r="U27" s="13"/>
      <c r="V27" s="205"/>
      <c r="W27" s="205"/>
      <c r="X27" s="16"/>
      <c r="Y27" s="4"/>
      <c r="Z27" s="4"/>
      <c r="AA27" s="4"/>
    </row>
    <row r="28" spans="1:27" s="187" customFormat="1" ht="15" customHeight="1" x14ac:dyDescent="0.35">
      <c r="A28" s="23">
        <v>44942</v>
      </c>
      <c r="B28" s="24"/>
      <c r="C28" s="211" t="s">
        <v>323</v>
      </c>
      <c r="D28" s="15">
        <v>1</v>
      </c>
      <c r="E28" s="15"/>
      <c r="F28" s="9">
        <v>880</v>
      </c>
      <c r="G28" s="29">
        <f t="shared" si="0"/>
        <v>880</v>
      </c>
      <c r="H28" s="11"/>
      <c r="I28" s="10"/>
      <c r="J28" s="29">
        <f>H28*I28</f>
        <v>0</v>
      </c>
      <c r="K28" s="29"/>
      <c r="L28" s="223">
        <f t="shared" si="3"/>
        <v>880</v>
      </c>
      <c r="M28" s="12"/>
      <c r="N28" s="218" t="str">
        <f t="shared" si="4"/>
        <v xml:space="preserve"> </v>
      </c>
      <c r="O28" s="189"/>
      <c r="P28" s="189"/>
      <c r="Q28" s="189"/>
      <c r="R28" s="189" t="str">
        <f>IF(O28&gt;0,SUM(O28-(L28+P28))," ")</f>
        <v xml:space="preserve"> </v>
      </c>
      <c r="S28" s="189"/>
      <c r="T28" s="205"/>
      <c r="U28" s="13"/>
      <c r="V28" s="205"/>
      <c r="W28" s="205"/>
      <c r="X28" s="16"/>
      <c r="Y28" s="4"/>
      <c r="Z28" s="4"/>
      <c r="AA28" s="4"/>
    </row>
    <row r="29" spans="1:27" s="187" customFormat="1" ht="15" customHeight="1" x14ac:dyDescent="0.35">
      <c r="A29" s="23">
        <v>44943</v>
      </c>
      <c r="B29" s="23"/>
      <c r="C29" s="212" t="s">
        <v>329</v>
      </c>
      <c r="D29" s="15"/>
      <c r="E29" s="15">
        <v>1</v>
      </c>
      <c r="F29" s="9">
        <v>870</v>
      </c>
      <c r="G29" s="29">
        <f t="shared" si="0"/>
        <v>870</v>
      </c>
      <c r="H29" s="11"/>
      <c r="I29" s="10"/>
      <c r="J29" s="29">
        <f>H29*I29</f>
        <v>0</v>
      </c>
      <c r="K29" s="29"/>
      <c r="L29" s="223">
        <f t="shared" si="3"/>
        <v>870</v>
      </c>
      <c r="M29" s="12"/>
      <c r="N29" s="239" t="str">
        <f t="shared" si="4"/>
        <v xml:space="preserve"> </v>
      </c>
      <c r="O29" s="189"/>
      <c r="P29" s="189"/>
      <c r="Q29" s="189"/>
      <c r="R29" s="189" t="str">
        <f>IF(O29&gt;0,SUM(O29-(L29+P29))," ")</f>
        <v xml:space="preserve"> </v>
      </c>
      <c r="S29" s="189"/>
      <c r="T29" s="205"/>
      <c r="U29" s="13"/>
      <c r="V29" s="205"/>
      <c r="W29" s="205"/>
      <c r="X29" s="16"/>
    </row>
    <row r="30" spans="1:27" s="187" customFormat="1" ht="15" customHeight="1" x14ac:dyDescent="0.35">
      <c r="A30" s="23">
        <v>44943</v>
      </c>
      <c r="B30" s="24"/>
      <c r="C30" s="211" t="s">
        <v>280</v>
      </c>
      <c r="D30" s="15"/>
      <c r="E30" s="15">
        <v>2</v>
      </c>
      <c r="F30" s="9">
        <v>880</v>
      </c>
      <c r="G30" s="29">
        <f t="shared" si="0"/>
        <v>1760</v>
      </c>
      <c r="H30" s="11"/>
      <c r="I30" s="10"/>
      <c r="J30" s="29">
        <f>H30*I30</f>
        <v>0</v>
      </c>
      <c r="K30" s="29"/>
      <c r="L30" s="223">
        <f t="shared" si="3"/>
        <v>1760</v>
      </c>
      <c r="M30" s="207"/>
      <c r="N30" s="218" t="str">
        <f t="shared" si="4"/>
        <v xml:space="preserve"> </v>
      </c>
      <c r="O30" s="189"/>
      <c r="P30" s="189"/>
      <c r="Q30" s="189"/>
      <c r="R30" s="189" t="str">
        <f>IF(O30&gt;0,SUM(O30-(L30+P30))," ")</f>
        <v xml:space="preserve"> </v>
      </c>
      <c r="S30" s="189"/>
      <c r="T30" s="205"/>
      <c r="U30" s="13"/>
      <c r="V30" s="205"/>
      <c r="W30" s="205"/>
      <c r="X30" s="16"/>
    </row>
    <row r="31" spans="1:27" s="187" customFormat="1" ht="15" customHeight="1" x14ac:dyDescent="0.35">
      <c r="A31" s="23">
        <v>44944</v>
      </c>
      <c r="B31" s="24"/>
      <c r="C31" s="211" t="s">
        <v>153</v>
      </c>
      <c r="D31" s="15">
        <v>1</v>
      </c>
      <c r="E31" s="15"/>
      <c r="F31" s="9">
        <v>880</v>
      </c>
      <c r="G31" s="29">
        <f t="shared" si="0"/>
        <v>880</v>
      </c>
      <c r="H31" s="11"/>
      <c r="I31" s="10"/>
      <c r="J31" s="29">
        <f>H31*I31</f>
        <v>0</v>
      </c>
      <c r="K31" s="29"/>
      <c r="L31" s="223">
        <f t="shared" si="3"/>
        <v>880</v>
      </c>
      <c r="M31" s="12"/>
      <c r="N31" s="218" t="str">
        <f t="shared" si="4"/>
        <v xml:space="preserve"> </v>
      </c>
      <c r="O31" s="189"/>
      <c r="P31" s="189"/>
      <c r="Q31" s="189"/>
      <c r="R31" s="189" t="str">
        <f>IF(O31&gt;0,SUM(O31-(L31+P31))," ")</f>
        <v xml:space="preserve"> </v>
      </c>
      <c r="S31" s="189"/>
      <c r="T31" s="238"/>
      <c r="U31" s="13"/>
      <c r="V31" s="238"/>
      <c r="W31" s="238"/>
      <c r="X31" s="16"/>
    </row>
    <row r="32" spans="1:27" s="187" customFormat="1" ht="15" customHeight="1" x14ac:dyDescent="0.35">
      <c r="A32" s="23">
        <v>44944</v>
      </c>
      <c r="B32" s="24"/>
      <c r="C32" s="211" t="s">
        <v>296</v>
      </c>
      <c r="D32" s="15"/>
      <c r="E32" s="15">
        <v>4</v>
      </c>
      <c r="F32" s="9">
        <v>900</v>
      </c>
      <c r="G32" s="29">
        <f t="shared" si="0"/>
        <v>3600</v>
      </c>
      <c r="H32" s="11"/>
      <c r="I32" s="10"/>
      <c r="J32" s="29">
        <f>H32*I32</f>
        <v>0</v>
      </c>
      <c r="K32" s="29"/>
      <c r="L32" s="223">
        <f t="shared" si="3"/>
        <v>3600</v>
      </c>
      <c r="M32" s="213"/>
      <c r="N32" s="218" t="str">
        <f t="shared" si="4"/>
        <v xml:space="preserve"> </v>
      </c>
      <c r="O32" s="189"/>
      <c r="P32" s="189"/>
      <c r="Q32" s="189"/>
      <c r="R32" s="189" t="str">
        <f>IF(O32&gt;0,SUM(O32-(L32+P32))," ")</f>
        <v xml:space="preserve"> </v>
      </c>
      <c r="S32" s="189"/>
      <c r="T32" s="205"/>
      <c r="U32" s="13"/>
      <c r="V32" s="205"/>
      <c r="W32" s="205"/>
      <c r="X32" s="16"/>
    </row>
    <row r="33" spans="1:27" s="187" customFormat="1" ht="15" customHeight="1" x14ac:dyDescent="0.35">
      <c r="A33" s="23">
        <v>44945</v>
      </c>
      <c r="B33" s="23"/>
      <c r="C33" s="212" t="s">
        <v>281</v>
      </c>
      <c r="D33" s="15"/>
      <c r="E33" s="15">
        <v>4</v>
      </c>
      <c r="F33" s="9">
        <v>860</v>
      </c>
      <c r="G33" s="29">
        <f t="shared" si="0"/>
        <v>3440</v>
      </c>
      <c r="H33" s="11"/>
      <c r="I33" s="10"/>
      <c r="J33" s="29">
        <f t="shared" si="6"/>
        <v>0</v>
      </c>
      <c r="K33" s="29"/>
      <c r="L33" s="223">
        <f t="shared" si="3"/>
        <v>3440</v>
      </c>
      <c r="M33" s="12"/>
      <c r="N33" s="218" t="str">
        <f t="shared" si="4"/>
        <v xml:space="preserve"> </v>
      </c>
      <c r="O33" s="189"/>
      <c r="P33" s="189"/>
      <c r="Q33" s="189"/>
      <c r="R33" s="189" t="str">
        <f t="shared" si="7"/>
        <v xml:space="preserve"> </v>
      </c>
      <c r="S33" s="189"/>
      <c r="T33" s="205"/>
      <c r="U33" s="13"/>
      <c r="V33" s="205"/>
      <c r="W33" s="205"/>
      <c r="X33" s="16"/>
    </row>
    <row r="34" spans="1:27" s="187" customFormat="1" ht="15" customHeight="1" x14ac:dyDescent="0.35">
      <c r="A34" s="23">
        <v>44945</v>
      </c>
      <c r="B34" s="24"/>
      <c r="C34" s="211" t="s">
        <v>323</v>
      </c>
      <c r="D34" s="15">
        <v>1</v>
      </c>
      <c r="E34" s="15"/>
      <c r="F34" s="9">
        <v>880</v>
      </c>
      <c r="G34" s="29">
        <f t="shared" si="0"/>
        <v>880</v>
      </c>
      <c r="H34" s="11"/>
      <c r="I34" s="10"/>
      <c r="J34" s="29">
        <f t="shared" si="6"/>
        <v>0</v>
      </c>
      <c r="K34" s="29"/>
      <c r="L34" s="223">
        <f t="shared" si="3"/>
        <v>880</v>
      </c>
      <c r="M34" s="12"/>
      <c r="N34" s="218" t="str">
        <f t="shared" si="4"/>
        <v xml:space="preserve"> </v>
      </c>
      <c r="O34" s="189"/>
      <c r="P34" s="189"/>
      <c r="Q34" s="189"/>
      <c r="R34" s="189" t="str">
        <f t="shared" si="7"/>
        <v xml:space="preserve"> </v>
      </c>
      <c r="S34" s="189"/>
      <c r="T34" s="205"/>
      <c r="U34" s="13"/>
      <c r="V34" s="205"/>
      <c r="W34" s="205"/>
      <c r="X34" s="16"/>
    </row>
    <row r="35" spans="1:27" s="187" customFormat="1" ht="15" customHeight="1" x14ac:dyDescent="0.35">
      <c r="A35" s="23">
        <v>44946</v>
      </c>
      <c r="B35" s="24"/>
      <c r="C35" s="211" t="s">
        <v>153</v>
      </c>
      <c r="D35" s="15">
        <v>1</v>
      </c>
      <c r="E35" s="15"/>
      <c r="F35" s="9">
        <v>880</v>
      </c>
      <c r="G35" s="29">
        <f t="shared" si="0"/>
        <v>880</v>
      </c>
      <c r="H35" s="11"/>
      <c r="I35" s="10"/>
      <c r="J35" s="29">
        <f t="shared" si="6"/>
        <v>0</v>
      </c>
      <c r="K35" s="29"/>
      <c r="L35" s="223">
        <f t="shared" si="3"/>
        <v>880</v>
      </c>
      <c r="M35" s="12"/>
      <c r="N35" s="218" t="str">
        <f t="shared" si="4"/>
        <v xml:space="preserve"> </v>
      </c>
      <c r="O35" s="189"/>
      <c r="P35" s="189"/>
      <c r="Q35" s="189"/>
      <c r="R35" s="189" t="str">
        <f t="shared" si="7"/>
        <v xml:space="preserve"> </v>
      </c>
      <c r="S35" s="189"/>
      <c r="T35" s="205"/>
      <c r="U35" s="13"/>
      <c r="V35" s="205"/>
      <c r="W35" s="205"/>
      <c r="X35" s="16"/>
    </row>
    <row r="36" spans="1:27" s="187" customFormat="1" ht="15" customHeight="1" x14ac:dyDescent="0.35">
      <c r="A36" s="23">
        <v>44946</v>
      </c>
      <c r="B36" s="24"/>
      <c r="C36" s="212" t="s">
        <v>279</v>
      </c>
      <c r="D36" s="15">
        <v>6</v>
      </c>
      <c r="E36" s="15"/>
      <c r="F36" s="9">
        <v>860</v>
      </c>
      <c r="G36" s="29">
        <f t="shared" si="0"/>
        <v>5160</v>
      </c>
      <c r="H36" s="11"/>
      <c r="I36" s="10"/>
      <c r="J36" s="29">
        <f t="shared" si="6"/>
        <v>0</v>
      </c>
      <c r="K36" s="29"/>
      <c r="L36" s="223">
        <f t="shared" si="3"/>
        <v>5160</v>
      </c>
      <c r="M36" s="12"/>
      <c r="N36" s="218" t="str">
        <f t="shared" si="4"/>
        <v xml:space="preserve"> </v>
      </c>
      <c r="O36" s="189"/>
      <c r="P36" s="189"/>
      <c r="Q36" s="189"/>
      <c r="R36" s="189" t="str">
        <f t="shared" si="7"/>
        <v xml:space="preserve"> </v>
      </c>
      <c r="S36" s="189"/>
      <c r="T36" s="242"/>
      <c r="U36" s="13"/>
      <c r="V36" s="242"/>
      <c r="W36" s="242"/>
      <c r="X36" s="16"/>
    </row>
    <row r="37" spans="1:27" ht="15" customHeight="1" x14ac:dyDescent="0.35">
      <c r="A37" s="23">
        <v>44946</v>
      </c>
      <c r="B37" s="24"/>
      <c r="C37" s="211" t="s">
        <v>324</v>
      </c>
      <c r="D37" s="15">
        <v>1</v>
      </c>
      <c r="E37" s="15"/>
      <c r="F37" s="9">
        <v>880</v>
      </c>
      <c r="G37" s="29">
        <f t="shared" si="0"/>
        <v>880</v>
      </c>
      <c r="H37" s="11"/>
      <c r="I37" s="10"/>
      <c r="J37" s="29">
        <f t="shared" ref="J37:J42" si="8">H37*I37</f>
        <v>0</v>
      </c>
      <c r="K37" s="29"/>
      <c r="L37" s="223">
        <f t="shared" si="3"/>
        <v>880</v>
      </c>
      <c r="M37" s="12"/>
      <c r="N37" s="218" t="str">
        <f t="shared" si="4"/>
        <v xml:space="preserve"> </v>
      </c>
      <c r="O37" s="189"/>
      <c r="P37" s="189"/>
      <c r="Q37" s="189"/>
      <c r="R37" s="189" t="str">
        <f t="shared" ref="R37:R42" si="9">IF(O37&gt;0,SUM(O37-(L37+P37))," ")</f>
        <v xml:space="preserve"> </v>
      </c>
      <c r="S37" s="189"/>
      <c r="T37" s="3"/>
      <c r="U37" s="13"/>
      <c r="V37" s="3"/>
      <c r="W37" s="3"/>
      <c r="X37" s="16"/>
      <c r="Y37" s="187"/>
      <c r="Z37" s="187"/>
      <c r="AA37" s="187"/>
    </row>
    <row r="38" spans="1:27" s="187" customFormat="1" ht="15" customHeight="1" x14ac:dyDescent="0.35">
      <c r="A38" s="23">
        <v>44947</v>
      </c>
      <c r="B38" s="24"/>
      <c r="C38" s="212" t="s">
        <v>321</v>
      </c>
      <c r="D38" s="15">
        <v>2</v>
      </c>
      <c r="E38" s="15"/>
      <c r="F38" s="9">
        <v>880</v>
      </c>
      <c r="G38" s="29">
        <f t="shared" si="0"/>
        <v>1760</v>
      </c>
      <c r="H38" s="11"/>
      <c r="I38" s="10"/>
      <c r="J38" s="29">
        <f t="shared" si="8"/>
        <v>0</v>
      </c>
      <c r="K38" s="29"/>
      <c r="L38" s="223">
        <f t="shared" si="3"/>
        <v>1760</v>
      </c>
      <c r="M38" s="12"/>
      <c r="N38" s="218" t="str">
        <f t="shared" si="4"/>
        <v xml:space="preserve"> </v>
      </c>
      <c r="O38" s="189"/>
      <c r="P38" s="189"/>
      <c r="Q38" s="189"/>
      <c r="R38" s="189" t="str">
        <f t="shared" si="9"/>
        <v xml:space="preserve"> </v>
      </c>
      <c r="S38" s="189"/>
      <c r="T38" s="208"/>
      <c r="U38" s="13"/>
      <c r="V38" s="208"/>
      <c r="W38" s="208"/>
      <c r="X38" s="16"/>
    </row>
    <row r="39" spans="1:27" s="187" customFormat="1" ht="15" customHeight="1" x14ac:dyDescent="0.35">
      <c r="A39" s="23">
        <v>44949</v>
      </c>
      <c r="B39" s="24"/>
      <c r="C39" s="211" t="s">
        <v>153</v>
      </c>
      <c r="D39" s="15">
        <v>1</v>
      </c>
      <c r="E39" s="15"/>
      <c r="F39" s="9">
        <v>880</v>
      </c>
      <c r="G39" s="29">
        <f t="shared" si="0"/>
        <v>880</v>
      </c>
      <c r="H39" s="11"/>
      <c r="I39" s="10"/>
      <c r="J39" s="29">
        <f t="shared" si="8"/>
        <v>0</v>
      </c>
      <c r="K39" s="29"/>
      <c r="L39" s="223">
        <f t="shared" si="3"/>
        <v>880</v>
      </c>
      <c r="M39" s="12"/>
      <c r="N39" s="218" t="str">
        <f t="shared" si="4"/>
        <v xml:space="preserve"> </v>
      </c>
      <c r="O39" s="189"/>
      <c r="P39" s="189"/>
      <c r="Q39" s="189"/>
      <c r="R39" s="189" t="str">
        <f t="shared" si="9"/>
        <v xml:space="preserve"> </v>
      </c>
      <c r="S39" s="189"/>
      <c r="T39" s="208"/>
      <c r="U39" s="13"/>
      <c r="V39" s="208"/>
      <c r="W39" s="208"/>
      <c r="X39" s="16"/>
      <c r="Y39" s="4"/>
      <c r="Z39" s="4"/>
      <c r="AA39" s="4"/>
    </row>
    <row r="40" spans="1:27" s="187" customFormat="1" ht="15" customHeight="1" x14ac:dyDescent="0.35">
      <c r="A40" s="245">
        <v>44950</v>
      </c>
      <c r="B40" s="246"/>
      <c r="C40" s="212" t="s">
        <v>152</v>
      </c>
      <c r="D40" s="15">
        <v>8</v>
      </c>
      <c r="E40" s="15"/>
      <c r="F40" s="9">
        <v>860</v>
      </c>
      <c r="G40" s="29">
        <f t="shared" si="0"/>
        <v>6880</v>
      </c>
      <c r="H40" s="11"/>
      <c r="I40" s="10"/>
      <c r="J40" s="29">
        <f t="shared" si="8"/>
        <v>0</v>
      </c>
      <c r="K40" s="29"/>
      <c r="L40" s="223">
        <f t="shared" si="3"/>
        <v>6880</v>
      </c>
      <c r="M40" s="12"/>
      <c r="N40" s="218" t="str">
        <f t="shared" si="4"/>
        <v xml:space="preserve"> </v>
      </c>
      <c r="O40" s="189"/>
      <c r="P40" s="189"/>
      <c r="Q40" s="189"/>
      <c r="R40" s="189" t="str">
        <f t="shared" si="9"/>
        <v xml:space="preserve"> </v>
      </c>
      <c r="S40" s="189"/>
      <c r="T40" s="208"/>
      <c r="U40" s="13"/>
      <c r="V40" s="208"/>
      <c r="W40" s="208"/>
      <c r="X40" s="16"/>
    </row>
    <row r="41" spans="1:27" s="187" customFormat="1" ht="15" customHeight="1" x14ac:dyDescent="0.35">
      <c r="A41" s="245">
        <v>44950</v>
      </c>
      <c r="B41" s="246"/>
      <c r="C41" s="212" t="s">
        <v>330</v>
      </c>
      <c r="D41" s="15"/>
      <c r="E41" s="15">
        <v>4</v>
      </c>
      <c r="F41" s="9">
        <v>880</v>
      </c>
      <c r="G41" s="29">
        <f t="shared" si="0"/>
        <v>3520</v>
      </c>
      <c r="H41" s="11"/>
      <c r="I41" s="10"/>
      <c r="J41" s="29">
        <f t="shared" si="8"/>
        <v>0</v>
      </c>
      <c r="K41" s="29"/>
      <c r="L41" s="223">
        <f t="shared" si="3"/>
        <v>3520</v>
      </c>
      <c r="M41" s="12"/>
      <c r="N41" s="218" t="str">
        <f t="shared" si="4"/>
        <v xml:space="preserve"> </v>
      </c>
      <c r="O41" s="189"/>
      <c r="P41" s="189"/>
      <c r="Q41" s="189"/>
      <c r="R41" s="189" t="str">
        <f t="shared" si="9"/>
        <v xml:space="preserve"> </v>
      </c>
      <c r="S41" s="189"/>
      <c r="T41" s="208"/>
      <c r="U41" s="13"/>
      <c r="V41" s="208"/>
      <c r="W41" s="208"/>
      <c r="X41" s="16"/>
    </row>
    <row r="42" spans="1:27" s="187" customFormat="1" ht="15" customHeight="1" x14ac:dyDescent="0.35">
      <c r="A42" s="245">
        <v>44951</v>
      </c>
      <c r="B42" s="246"/>
      <c r="C42" s="211" t="s">
        <v>153</v>
      </c>
      <c r="D42" s="15">
        <v>1</v>
      </c>
      <c r="E42" s="15"/>
      <c r="F42" s="9">
        <v>880</v>
      </c>
      <c r="G42" s="29">
        <f t="shared" si="0"/>
        <v>880</v>
      </c>
      <c r="H42" s="11"/>
      <c r="I42" s="10"/>
      <c r="J42" s="29">
        <f t="shared" si="8"/>
        <v>0</v>
      </c>
      <c r="K42" s="29"/>
      <c r="L42" s="223">
        <f t="shared" si="3"/>
        <v>880</v>
      </c>
      <c r="M42" s="12"/>
      <c r="N42" s="218" t="str">
        <f t="shared" si="4"/>
        <v xml:space="preserve"> </v>
      </c>
      <c r="O42" s="189"/>
      <c r="P42" s="189"/>
      <c r="Q42" s="189"/>
      <c r="R42" s="189" t="str">
        <f t="shared" si="9"/>
        <v xml:space="preserve"> </v>
      </c>
      <c r="S42" s="189"/>
      <c r="T42" s="210"/>
      <c r="U42" s="13"/>
      <c r="V42" s="210"/>
      <c r="W42" s="210"/>
      <c r="X42" s="16"/>
    </row>
    <row r="43" spans="1:27" s="187" customFormat="1" ht="15" customHeight="1" x14ac:dyDescent="0.35">
      <c r="A43" s="245">
        <v>44951</v>
      </c>
      <c r="B43" s="246"/>
      <c r="C43" s="212" t="s">
        <v>323</v>
      </c>
      <c r="D43" s="15">
        <v>1</v>
      </c>
      <c r="E43" s="15"/>
      <c r="F43" s="9">
        <v>880</v>
      </c>
      <c r="G43" s="29">
        <f t="shared" si="0"/>
        <v>880</v>
      </c>
      <c r="H43" s="11"/>
      <c r="I43" s="10"/>
      <c r="J43" s="29">
        <f t="shared" ref="J43:J55" si="10">H43*I43</f>
        <v>0</v>
      </c>
      <c r="K43" s="29"/>
      <c r="L43" s="223">
        <f t="shared" si="3"/>
        <v>880</v>
      </c>
      <c r="M43" s="12"/>
      <c r="N43" s="218" t="str">
        <f t="shared" si="4"/>
        <v xml:space="preserve"> </v>
      </c>
      <c r="O43" s="189"/>
      <c r="P43" s="189"/>
      <c r="Q43" s="189"/>
      <c r="R43" s="189" t="str">
        <f t="shared" ref="R43:R55" si="11">IF(O43&gt;0,SUM(O43-(L43+P43))," ")</f>
        <v xml:space="preserve"> </v>
      </c>
      <c r="S43" s="189"/>
      <c r="T43" s="210"/>
      <c r="U43" s="13"/>
      <c r="V43" s="210"/>
      <c r="W43" s="210"/>
      <c r="X43" s="16"/>
    </row>
    <row r="44" spans="1:27" s="187" customFormat="1" ht="15" customHeight="1" x14ac:dyDescent="0.35">
      <c r="A44" s="245">
        <v>44951</v>
      </c>
      <c r="B44" s="246"/>
      <c r="C44" s="212" t="s">
        <v>322</v>
      </c>
      <c r="D44" s="15">
        <v>2</v>
      </c>
      <c r="E44" s="15"/>
      <c r="F44" s="9">
        <v>900</v>
      </c>
      <c r="G44" s="29">
        <f t="shared" si="0"/>
        <v>1800</v>
      </c>
      <c r="H44" s="11"/>
      <c r="I44" s="10"/>
      <c r="J44" s="29">
        <f t="shared" si="10"/>
        <v>0</v>
      </c>
      <c r="K44" s="29"/>
      <c r="L44" s="223">
        <f t="shared" si="3"/>
        <v>1800</v>
      </c>
      <c r="M44" s="213"/>
      <c r="N44" s="218" t="str">
        <f t="shared" si="4"/>
        <v xml:space="preserve"> </v>
      </c>
      <c r="O44" s="189"/>
      <c r="P44" s="189"/>
      <c r="Q44" s="189"/>
      <c r="R44" s="189" t="str">
        <f t="shared" si="11"/>
        <v xml:space="preserve"> </v>
      </c>
      <c r="S44" s="189"/>
      <c r="T44" s="210"/>
      <c r="U44" s="13"/>
      <c r="V44" s="210"/>
      <c r="W44" s="210"/>
      <c r="X44" s="16"/>
    </row>
    <row r="45" spans="1:27" s="187" customFormat="1" ht="15" customHeight="1" x14ac:dyDescent="0.35">
      <c r="A45" s="245">
        <v>44952</v>
      </c>
      <c r="B45" s="246"/>
      <c r="C45" s="211" t="s">
        <v>279</v>
      </c>
      <c r="D45" s="15">
        <v>6</v>
      </c>
      <c r="E45" s="15"/>
      <c r="F45" s="9">
        <v>860</v>
      </c>
      <c r="G45" s="29">
        <f t="shared" si="0"/>
        <v>5160</v>
      </c>
      <c r="H45" s="11"/>
      <c r="I45" s="10"/>
      <c r="J45" s="29">
        <f>H45*I45</f>
        <v>0</v>
      </c>
      <c r="K45" s="29"/>
      <c r="L45" s="223">
        <f t="shared" si="3"/>
        <v>5160</v>
      </c>
      <c r="M45" s="213"/>
      <c r="N45" s="218" t="str">
        <f t="shared" si="4"/>
        <v xml:space="preserve"> </v>
      </c>
      <c r="O45" s="189"/>
      <c r="P45" s="189"/>
      <c r="Q45" s="189"/>
      <c r="R45" s="189" t="str">
        <f>IF(O45&gt;0,SUM(O45-(L45+P45))," ")</f>
        <v xml:space="preserve"> </v>
      </c>
      <c r="S45" s="189"/>
      <c r="T45" s="236"/>
      <c r="U45" s="13"/>
      <c r="V45" s="236"/>
      <c r="W45" s="236"/>
      <c r="X45" s="16"/>
    </row>
    <row r="46" spans="1:27" s="187" customFormat="1" ht="15" customHeight="1" x14ac:dyDescent="0.35">
      <c r="A46" s="245">
        <v>44954</v>
      </c>
      <c r="B46" s="246"/>
      <c r="C46" s="211" t="s">
        <v>328</v>
      </c>
      <c r="D46" s="15">
        <v>4</v>
      </c>
      <c r="E46" s="15"/>
      <c r="F46" s="9">
        <v>860</v>
      </c>
      <c r="G46" s="29">
        <f>(F46*D46)+(E46*F46)</f>
        <v>3440</v>
      </c>
      <c r="H46" s="11"/>
      <c r="I46" s="10"/>
      <c r="J46" s="29">
        <f>H46*I46</f>
        <v>0</v>
      </c>
      <c r="K46" s="29"/>
      <c r="L46" s="223">
        <f t="shared" si="3"/>
        <v>3440</v>
      </c>
      <c r="M46" s="12"/>
      <c r="N46" s="218" t="str">
        <f>IF(M46&gt;0,SUM(L46-M46)," ")</f>
        <v xml:space="preserve"> </v>
      </c>
      <c r="O46" s="189"/>
      <c r="P46" s="189"/>
      <c r="Q46" s="189"/>
      <c r="R46" s="189" t="str">
        <f>IF(O46&gt;0,SUM(O46-(L46+P46))," ")</f>
        <v xml:space="preserve"> </v>
      </c>
      <c r="S46" s="189"/>
      <c r="T46" s="247"/>
      <c r="U46" s="13"/>
      <c r="V46" s="247"/>
      <c r="W46" s="247"/>
      <c r="X46" s="16"/>
    </row>
    <row r="47" spans="1:27" s="187" customFormat="1" ht="15" customHeight="1" x14ac:dyDescent="0.35">
      <c r="A47" s="245">
        <v>44954</v>
      </c>
      <c r="B47" s="246"/>
      <c r="C47" s="211" t="s">
        <v>321</v>
      </c>
      <c r="D47" s="15">
        <v>3</v>
      </c>
      <c r="E47" s="15"/>
      <c r="F47" s="9">
        <v>880</v>
      </c>
      <c r="G47" s="29">
        <f>(F47*D47)+(E47*F47)</f>
        <v>2640</v>
      </c>
      <c r="H47" s="11"/>
      <c r="I47" s="10"/>
      <c r="J47" s="29">
        <f>H47*I47</f>
        <v>0</v>
      </c>
      <c r="K47" s="29"/>
      <c r="L47" s="223">
        <f t="shared" si="3"/>
        <v>2640</v>
      </c>
      <c r="M47" s="12"/>
      <c r="N47" s="218" t="str">
        <f>IF(M47&gt;0,SUM(L47-M47)," ")</f>
        <v xml:space="preserve"> </v>
      </c>
      <c r="O47" s="189"/>
      <c r="P47" s="189"/>
      <c r="Q47" s="189"/>
      <c r="R47" s="189" t="str">
        <f>IF(O47&gt;0,SUM(O47-(L47+P47))," ")</f>
        <v xml:space="preserve"> </v>
      </c>
      <c r="S47" s="189"/>
      <c r="T47" s="247"/>
      <c r="U47" s="13"/>
      <c r="V47" s="247"/>
      <c r="W47" s="247"/>
      <c r="X47" s="16"/>
    </row>
    <row r="48" spans="1:27" s="187" customFormat="1" ht="15" customHeight="1" x14ac:dyDescent="0.35">
      <c r="A48" s="245">
        <v>44954</v>
      </c>
      <c r="B48" s="246"/>
      <c r="C48" s="211" t="s">
        <v>331</v>
      </c>
      <c r="D48" s="15"/>
      <c r="E48" s="15">
        <v>1</v>
      </c>
      <c r="F48" s="9">
        <v>900</v>
      </c>
      <c r="G48" s="29">
        <f t="shared" ref="G48:G67" si="12">(F48*D48)+(E48*F48)</f>
        <v>900</v>
      </c>
      <c r="H48" s="11"/>
      <c r="I48" s="10"/>
      <c r="J48" s="29">
        <f t="shared" si="10"/>
        <v>0</v>
      </c>
      <c r="K48" s="29"/>
      <c r="L48" s="223">
        <f t="shared" si="3"/>
        <v>900</v>
      </c>
      <c r="M48" s="213"/>
      <c r="N48" s="218" t="str">
        <f t="shared" si="4"/>
        <v xml:space="preserve"> </v>
      </c>
      <c r="O48" s="189"/>
      <c r="P48" s="189"/>
      <c r="Q48" s="189"/>
      <c r="R48" s="189" t="str">
        <f t="shared" si="11"/>
        <v xml:space="preserve"> </v>
      </c>
      <c r="S48" s="189"/>
      <c r="T48" s="210"/>
      <c r="U48" s="13"/>
      <c r="V48" s="210"/>
      <c r="W48" s="210"/>
      <c r="X48" s="16"/>
    </row>
    <row r="49" spans="1:24" s="187" customFormat="1" ht="15" customHeight="1" x14ac:dyDescent="0.35">
      <c r="A49" s="245">
        <v>44954</v>
      </c>
      <c r="B49" s="246"/>
      <c r="C49" s="211" t="s">
        <v>319</v>
      </c>
      <c r="D49" s="15"/>
      <c r="E49" s="15">
        <v>2</v>
      </c>
      <c r="F49" s="9">
        <v>880</v>
      </c>
      <c r="G49" s="29">
        <f t="shared" si="12"/>
        <v>1760</v>
      </c>
      <c r="H49" s="11"/>
      <c r="I49" s="10"/>
      <c r="J49" s="29">
        <f t="shared" si="10"/>
        <v>0</v>
      </c>
      <c r="K49" s="29"/>
      <c r="L49" s="223">
        <f t="shared" si="3"/>
        <v>1760</v>
      </c>
      <c r="M49" s="12"/>
      <c r="N49" s="218" t="str">
        <f t="shared" si="4"/>
        <v xml:space="preserve"> </v>
      </c>
      <c r="O49" s="189"/>
      <c r="P49" s="189"/>
      <c r="Q49" s="189"/>
      <c r="R49" s="189" t="str">
        <f t="shared" si="11"/>
        <v xml:space="preserve"> </v>
      </c>
      <c r="S49" s="189"/>
      <c r="T49" s="210"/>
      <c r="U49" s="13"/>
      <c r="V49" s="210"/>
      <c r="W49" s="210"/>
      <c r="X49" s="16"/>
    </row>
    <row r="50" spans="1:24" s="187" customFormat="1" ht="15" customHeight="1" x14ac:dyDescent="0.35">
      <c r="A50" s="245">
        <v>44954</v>
      </c>
      <c r="B50" s="246"/>
      <c r="C50" s="212" t="s">
        <v>112</v>
      </c>
      <c r="D50" s="15"/>
      <c r="E50" s="15">
        <v>10</v>
      </c>
      <c r="F50" s="9">
        <v>850</v>
      </c>
      <c r="G50" s="29">
        <f t="shared" si="12"/>
        <v>8500</v>
      </c>
      <c r="H50" s="11"/>
      <c r="I50" s="10"/>
      <c r="J50" s="29">
        <f t="shared" si="10"/>
        <v>0</v>
      </c>
      <c r="K50" s="29"/>
      <c r="L50" s="223">
        <f t="shared" si="3"/>
        <v>8500</v>
      </c>
      <c r="M50" s="12"/>
      <c r="N50" s="218" t="str">
        <f t="shared" si="4"/>
        <v xml:space="preserve"> </v>
      </c>
      <c r="O50" s="189"/>
      <c r="P50" s="189"/>
      <c r="Q50" s="189"/>
      <c r="R50" s="189" t="str">
        <f t="shared" si="11"/>
        <v xml:space="preserve"> </v>
      </c>
      <c r="S50" s="189"/>
      <c r="T50" s="210"/>
      <c r="U50" s="13"/>
      <c r="V50" s="210"/>
      <c r="W50" s="210"/>
      <c r="X50" s="16"/>
    </row>
    <row r="51" spans="1:24" s="187" customFormat="1" ht="15" customHeight="1" x14ac:dyDescent="0.35">
      <c r="A51" s="245">
        <v>44954</v>
      </c>
      <c r="B51" s="246"/>
      <c r="C51" s="211" t="s">
        <v>332</v>
      </c>
      <c r="D51" s="15">
        <v>1</v>
      </c>
      <c r="E51" s="15"/>
      <c r="F51" s="9">
        <v>880</v>
      </c>
      <c r="G51" s="29">
        <f t="shared" si="12"/>
        <v>880</v>
      </c>
      <c r="H51" s="11"/>
      <c r="I51" s="10"/>
      <c r="J51" s="29">
        <f t="shared" si="10"/>
        <v>0</v>
      </c>
      <c r="K51" s="29"/>
      <c r="L51" s="223">
        <f t="shared" si="3"/>
        <v>880</v>
      </c>
      <c r="M51" s="213"/>
      <c r="N51" s="218" t="str">
        <f t="shared" si="4"/>
        <v xml:space="preserve"> </v>
      </c>
      <c r="O51" s="189"/>
      <c r="P51" s="189"/>
      <c r="Q51" s="189"/>
      <c r="R51" s="189" t="str">
        <f t="shared" si="11"/>
        <v xml:space="preserve"> </v>
      </c>
      <c r="S51" s="189"/>
      <c r="T51" s="210"/>
      <c r="U51" s="13"/>
      <c r="V51" s="210"/>
      <c r="W51" s="210"/>
      <c r="X51" s="16"/>
    </row>
    <row r="52" spans="1:24" s="187" customFormat="1" ht="15" customHeight="1" x14ac:dyDescent="0.35">
      <c r="A52" s="245">
        <v>44957</v>
      </c>
      <c r="B52" s="246"/>
      <c r="C52" s="211" t="s">
        <v>336</v>
      </c>
      <c r="D52" s="15">
        <v>1</v>
      </c>
      <c r="E52" s="15"/>
      <c r="F52" s="9">
        <v>880</v>
      </c>
      <c r="G52" s="29">
        <f t="shared" si="12"/>
        <v>880</v>
      </c>
      <c r="H52" s="11"/>
      <c r="I52" s="10"/>
      <c r="J52" s="29">
        <f t="shared" si="10"/>
        <v>0</v>
      </c>
      <c r="K52" s="29"/>
      <c r="L52" s="223">
        <f t="shared" si="3"/>
        <v>880</v>
      </c>
      <c r="M52" s="12"/>
      <c r="N52" s="218" t="str">
        <f t="shared" si="4"/>
        <v xml:space="preserve"> </v>
      </c>
      <c r="O52" s="189"/>
      <c r="P52" s="189"/>
      <c r="Q52" s="189"/>
      <c r="R52" s="189" t="str">
        <f t="shared" si="11"/>
        <v xml:space="preserve"> </v>
      </c>
      <c r="S52" s="189"/>
      <c r="T52" s="210"/>
      <c r="U52" s="13"/>
      <c r="V52" s="210"/>
      <c r="W52" s="210"/>
      <c r="X52" s="16"/>
    </row>
    <row r="53" spans="1:24" s="187" customFormat="1" ht="15" customHeight="1" x14ac:dyDescent="0.35">
      <c r="A53" s="245">
        <v>44957</v>
      </c>
      <c r="B53" s="246"/>
      <c r="C53" s="211" t="s">
        <v>325</v>
      </c>
      <c r="D53" s="15">
        <v>1</v>
      </c>
      <c r="E53" s="15"/>
      <c r="F53" s="9">
        <v>900</v>
      </c>
      <c r="G53" s="29">
        <f t="shared" si="12"/>
        <v>900</v>
      </c>
      <c r="H53" s="11"/>
      <c r="I53" s="10"/>
      <c r="J53" s="29">
        <f t="shared" si="10"/>
        <v>0</v>
      </c>
      <c r="K53" s="29"/>
      <c r="L53" s="223">
        <f t="shared" si="3"/>
        <v>900</v>
      </c>
      <c r="M53" s="12"/>
      <c r="N53" s="218" t="str">
        <f t="shared" si="4"/>
        <v xml:space="preserve"> </v>
      </c>
      <c r="O53" s="189"/>
      <c r="P53" s="189"/>
      <c r="Q53" s="189"/>
      <c r="R53" s="189" t="str">
        <f t="shared" si="11"/>
        <v xml:space="preserve"> </v>
      </c>
      <c r="S53" s="189"/>
      <c r="T53" s="210"/>
      <c r="U53" s="13"/>
      <c r="V53" s="210"/>
      <c r="W53" s="210"/>
      <c r="X53" s="16"/>
    </row>
    <row r="54" spans="1:24" s="187" customFormat="1" ht="15" customHeight="1" x14ac:dyDescent="0.35">
      <c r="A54" s="245">
        <v>44957</v>
      </c>
      <c r="B54" s="246"/>
      <c r="C54" s="211" t="s">
        <v>323</v>
      </c>
      <c r="D54" s="15">
        <v>1</v>
      </c>
      <c r="E54" s="15"/>
      <c r="F54" s="9">
        <v>880</v>
      </c>
      <c r="G54" s="29">
        <f t="shared" si="12"/>
        <v>880</v>
      </c>
      <c r="H54" s="11"/>
      <c r="I54" s="10"/>
      <c r="J54" s="29">
        <f t="shared" si="10"/>
        <v>0</v>
      </c>
      <c r="K54" s="29"/>
      <c r="L54" s="223">
        <f t="shared" si="3"/>
        <v>880</v>
      </c>
      <c r="M54" s="12"/>
      <c r="N54" s="218" t="str">
        <f t="shared" si="4"/>
        <v xml:space="preserve"> </v>
      </c>
      <c r="O54" s="189"/>
      <c r="P54" s="189"/>
      <c r="Q54" s="189"/>
      <c r="R54" s="189" t="str">
        <f t="shared" si="11"/>
        <v xml:space="preserve"> </v>
      </c>
      <c r="S54" s="189"/>
      <c r="T54" s="210"/>
      <c r="U54" s="13"/>
      <c r="V54" s="210"/>
      <c r="W54" s="210"/>
      <c r="X54" s="16"/>
    </row>
    <row r="55" spans="1:24" s="187" customFormat="1" ht="15" customHeight="1" x14ac:dyDescent="0.35">
      <c r="A55" s="245">
        <v>44957</v>
      </c>
      <c r="B55" s="246"/>
      <c r="C55" s="211" t="s">
        <v>296</v>
      </c>
      <c r="D55" s="15"/>
      <c r="E55" s="15">
        <v>4</v>
      </c>
      <c r="F55" s="9">
        <v>900</v>
      </c>
      <c r="G55" s="29">
        <f t="shared" si="12"/>
        <v>3600</v>
      </c>
      <c r="H55" s="11"/>
      <c r="I55" s="10"/>
      <c r="J55" s="29">
        <f t="shared" si="10"/>
        <v>0</v>
      </c>
      <c r="K55" s="29"/>
      <c r="L55" s="223">
        <f t="shared" si="3"/>
        <v>3600</v>
      </c>
      <c r="M55" s="12"/>
      <c r="N55" s="218" t="str">
        <f t="shared" si="4"/>
        <v xml:space="preserve"> </v>
      </c>
      <c r="O55" s="189"/>
      <c r="P55" s="189"/>
      <c r="Q55" s="189"/>
      <c r="R55" s="189" t="str">
        <f t="shared" si="11"/>
        <v xml:space="preserve"> </v>
      </c>
      <c r="S55" s="189"/>
      <c r="T55" s="210"/>
      <c r="U55" s="13"/>
      <c r="V55" s="210"/>
      <c r="W55" s="210"/>
      <c r="X55" s="16"/>
    </row>
    <row r="56" spans="1:24" s="187" customFormat="1" ht="15" customHeight="1" x14ac:dyDescent="0.35">
      <c r="A56" s="245">
        <v>44959</v>
      </c>
      <c r="B56" s="246"/>
      <c r="C56" s="211" t="s">
        <v>279</v>
      </c>
      <c r="D56" s="15">
        <v>2</v>
      </c>
      <c r="E56" s="15"/>
      <c r="F56" s="9">
        <v>860</v>
      </c>
      <c r="G56" s="29">
        <f t="shared" si="12"/>
        <v>1720</v>
      </c>
      <c r="H56" s="11"/>
      <c r="I56" s="10"/>
      <c r="J56" s="29">
        <f t="shared" ref="J56:J100" si="13">H56*I56</f>
        <v>0</v>
      </c>
      <c r="K56" s="29"/>
      <c r="L56" s="223">
        <f t="shared" si="3"/>
        <v>1720</v>
      </c>
      <c r="M56" s="12"/>
      <c r="N56" s="218" t="str">
        <f t="shared" si="4"/>
        <v xml:space="preserve"> </v>
      </c>
      <c r="O56" s="189"/>
      <c r="P56" s="189"/>
      <c r="Q56" s="189"/>
      <c r="R56" s="189" t="str">
        <f t="shared" ref="R56:R67" si="14">IF(O56&gt;0,SUM(O56-(L56+P56))," ")</f>
        <v xml:space="preserve"> </v>
      </c>
      <c r="S56" s="189"/>
      <c r="T56" s="210"/>
      <c r="U56" s="13"/>
      <c r="V56" s="210"/>
      <c r="W56" s="210"/>
      <c r="X56" s="16"/>
    </row>
    <row r="57" spans="1:24" s="187" customFormat="1" ht="15" customHeight="1" x14ac:dyDescent="0.35">
      <c r="A57" s="245"/>
      <c r="B57" s="246"/>
      <c r="C57" s="211"/>
      <c r="D57" s="15"/>
      <c r="E57" s="15"/>
      <c r="F57" s="9">
        <v>880</v>
      </c>
      <c r="G57" s="29">
        <f t="shared" si="12"/>
        <v>0</v>
      </c>
      <c r="H57" s="11"/>
      <c r="I57" s="10"/>
      <c r="J57" s="29">
        <f t="shared" si="13"/>
        <v>0</v>
      </c>
      <c r="K57" s="29"/>
      <c r="L57" s="223">
        <f t="shared" si="3"/>
        <v>0</v>
      </c>
      <c r="M57" s="12"/>
      <c r="N57" s="218" t="str">
        <f t="shared" si="4"/>
        <v xml:space="preserve"> </v>
      </c>
      <c r="O57" s="189"/>
      <c r="P57" s="189"/>
      <c r="Q57" s="189"/>
      <c r="R57" s="189" t="str">
        <f t="shared" si="14"/>
        <v xml:space="preserve"> </v>
      </c>
      <c r="S57" s="189"/>
      <c r="T57" s="210"/>
      <c r="U57" s="13"/>
      <c r="V57" s="210"/>
      <c r="W57" s="210"/>
      <c r="X57" s="16"/>
    </row>
    <row r="58" spans="1:24" s="187" customFormat="1" ht="15" customHeight="1" x14ac:dyDescent="0.35">
      <c r="A58" s="245"/>
      <c r="B58" s="246"/>
      <c r="C58" s="212"/>
      <c r="D58" s="15"/>
      <c r="E58" s="15"/>
      <c r="F58" s="9">
        <v>800</v>
      </c>
      <c r="G58" s="29">
        <f t="shared" si="12"/>
        <v>0</v>
      </c>
      <c r="H58" s="11"/>
      <c r="I58" s="10"/>
      <c r="J58" s="29">
        <f t="shared" si="13"/>
        <v>0</v>
      </c>
      <c r="K58" s="29"/>
      <c r="L58" s="223">
        <f t="shared" si="3"/>
        <v>0</v>
      </c>
      <c r="M58" s="12"/>
      <c r="N58" s="239" t="str">
        <f t="shared" si="4"/>
        <v xml:space="preserve"> </v>
      </c>
      <c r="O58" s="189"/>
      <c r="P58" s="189"/>
      <c r="Q58" s="189"/>
      <c r="R58" s="189" t="str">
        <f t="shared" si="14"/>
        <v xml:space="preserve"> </v>
      </c>
      <c r="S58" s="189"/>
      <c r="T58" s="210"/>
      <c r="U58" s="13"/>
      <c r="V58" s="210"/>
      <c r="W58" s="210"/>
      <c r="X58" s="16"/>
    </row>
    <row r="59" spans="1:24" s="187" customFormat="1" ht="15" customHeight="1" x14ac:dyDescent="0.35">
      <c r="A59" s="245"/>
      <c r="B59" s="246"/>
      <c r="C59" s="211"/>
      <c r="D59" s="15"/>
      <c r="E59" s="15"/>
      <c r="F59" s="9">
        <v>800</v>
      </c>
      <c r="G59" s="29">
        <f t="shared" si="12"/>
        <v>0</v>
      </c>
      <c r="H59" s="11"/>
      <c r="I59" s="10"/>
      <c r="J59" s="29">
        <f t="shared" si="13"/>
        <v>0</v>
      </c>
      <c r="K59" s="29"/>
      <c r="L59" s="223">
        <f t="shared" si="3"/>
        <v>0</v>
      </c>
      <c r="M59" s="12"/>
      <c r="N59" s="218" t="str">
        <f t="shared" si="4"/>
        <v xml:space="preserve"> </v>
      </c>
      <c r="O59" s="189"/>
      <c r="P59" s="189"/>
      <c r="Q59" s="189"/>
      <c r="R59" s="189" t="str">
        <f t="shared" si="14"/>
        <v xml:space="preserve"> </v>
      </c>
      <c r="S59" s="189"/>
      <c r="T59" s="210"/>
      <c r="U59" s="13"/>
      <c r="V59" s="210"/>
      <c r="W59" s="210"/>
      <c r="X59" s="16"/>
    </row>
    <row r="60" spans="1:24" s="187" customFormat="1" ht="15" customHeight="1" x14ac:dyDescent="0.35">
      <c r="A60" s="245"/>
      <c r="B60" s="246"/>
      <c r="C60" s="211"/>
      <c r="D60" s="15"/>
      <c r="E60" s="15"/>
      <c r="F60" s="9">
        <v>800</v>
      </c>
      <c r="G60" s="29">
        <f t="shared" si="12"/>
        <v>0</v>
      </c>
      <c r="H60" s="11"/>
      <c r="I60" s="10"/>
      <c r="J60" s="29">
        <f t="shared" si="13"/>
        <v>0</v>
      </c>
      <c r="K60" s="29"/>
      <c r="L60" s="223">
        <f t="shared" si="3"/>
        <v>0</v>
      </c>
      <c r="M60" s="12"/>
      <c r="N60" s="218" t="str">
        <f t="shared" si="4"/>
        <v xml:space="preserve"> </v>
      </c>
      <c r="O60" s="189"/>
      <c r="P60" s="189"/>
      <c r="Q60" s="189"/>
      <c r="R60" s="189" t="str">
        <f t="shared" si="14"/>
        <v xml:space="preserve"> </v>
      </c>
      <c r="S60" s="189"/>
      <c r="T60" s="210"/>
      <c r="U60" s="13"/>
      <c r="V60" s="210"/>
      <c r="W60" s="210"/>
      <c r="X60" s="16"/>
    </row>
    <row r="61" spans="1:24" s="187" customFormat="1" ht="15" customHeight="1" x14ac:dyDescent="0.35">
      <c r="A61" s="245"/>
      <c r="B61" s="246"/>
      <c r="C61" s="212"/>
      <c r="D61" s="15"/>
      <c r="E61" s="15"/>
      <c r="F61" s="9">
        <v>800</v>
      </c>
      <c r="G61" s="29">
        <f t="shared" si="12"/>
        <v>0</v>
      </c>
      <c r="H61" s="11"/>
      <c r="I61" s="10"/>
      <c r="J61" s="29">
        <f t="shared" si="13"/>
        <v>0</v>
      </c>
      <c r="K61" s="29"/>
      <c r="L61" s="223">
        <f t="shared" si="3"/>
        <v>0</v>
      </c>
      <c r="M61" s="12"/>
      <c r="N61" s="218" t="str">
        <f t="shared" si="4"/>
        <v xml:space="preserve"> </v>
      </c>
      <c r="O61" s="189"/>
      <c r="P61" s="189"/>
      <c r="Q61" s="189"/>
      <c r="R61" s="189" t="str">
        <f t="shared" si="14"/>
        <v xml:space="preserve"> </v>
      </c>
      <c r="S61" s="189"/>
      <c r="T61" s="210"/>
      <c r="U61" s="13"/>
      <c r="V61" s="210"/>
      <c r="W61" s="210"/>
      <c r="X61" s="16"/>
    </row>
    <row r="62" spans="1:24" s="187" customFormat="1" ht="15" customHeight="1" x14ac:dyDescent="0.35">
      <c r="A62" s="245"/>
      <c r="B62" s="246"/>
      <c r="C62" s="211"/>
      <c r="D62" s="15"/>
      <c r="E62" s="15"/>
      <c r="F62" s="9">
        <v>880</v>
      </c>
      <c r="G62" s="29">
        <f t="shared" si="12"/>
        <v>0</v>
      </c>
      <c r="H62" s="11"/>
      <c r="I62" s="10"/>
      <c r="J62" s="29">
        <f t="shared" si="13"/>
        <v>0</v>
      </c>
      <c r="K62" s="29"/>
      <c r="L62" s="223">
        <f t="shared" si="3"/>
        <v>0</v>
      </c>
      <c r="M62" s="213"/>
      <c r="N62" s="218" t="str">
        <f t="shared" ref="N62:N79" si="15">IF(M62&gt;0,SUM(L62-M62)," ")</f>
        <v xml:space="preserve"> </v>
      </c>
      <c r="O62" s="189"/>
      <c r="P62" s="189"/>
      <c r="Q62" s="189"/>
      <c r="R62" s="189" t="str">
        <f t="shared" si="14"/>
        <v xml:space="preserve"> </v>
      </c>
      <c r="S62" s="189"/>
      <c r="T62" s="216"/>
      <c r="U62" s="13"/>
      <c r="V62" s="216"/>
      <c r="W62" s="216"/>
      <c r="X62" s="16"/>
    </row>
    <row r="63" spans="1:24" s="187" customFormat="1" ht="15" customHeight="1" x14ac:dyDescent="0.35">
      <c r="A63" s="245"/>
      <c r="B63" s="246"/>
      <c r="C63" s="211"/>
      <c r="D63" s="15"/>
      <c r="E63" s="15"/>
      <c r="F63" s="9">
        <v>880</v>
      </c>
      <c r="G63" s="29">
        <f t="shared" si="12"/>
        <v>0</v>
      </c>
      <c r="H63" s="11"/>
      <c r="I63" s="10"/>
      <c r="J63" s="29">
        <f t="shared" si="13"/>
        <v>0</v>
      </c>
      <c r="K63" s="29"/>
      <c r="L63" s="223">
        <f t="shared" si="3"/>
        <v>0</v>
      </c>
      <c r="M63" s="213"/>
      <c r="N63" s="239" t="str">
        <f t="shared" si="15"/>
        <v xml:space="preserve"> </v>
      </c>
      <c r="O63" s="189"/>
      <c r="P63" s="189"/>
      <c r="Q63" s="189"/>
      <c r="R63" s="189" t="str">
        <f t="shared" si="14"/>
        <v xml:space="preserve"> </v>
      </c>
      <c r="S63" s="189"/>
      <c r="T63" s="216"/>
      <c r="U63" s="13"/>
      <c r="V63" s="216"/>
      <c r="W63" s="216"/>
      <c r="X63" s="16"/>
    </row>
    <row r="64" spans="1:24" s="187" customFormat="1" ht="15" customHeight="1" x14ac:dyDescent="0.35">
      <c r="A64" s="245"/>
      <c r="B64" s="246"/>
      <c r="C64" s="212"/>
      <c r="D64" s="15"/>
      <c r="E64" s="15"/>
      <c r="F64" s="9">
        <v>880</v>
      </c>
      <c r="G64" s="29">
        <f t="shared" si="12"/>
        <v>0</v>
      </c>
      <c r="H64" s="11"/>
      <c r="I64" s="10"/>
      <c r="J64" s="29">
        <f t="shared" si="13"/>
        <v>0</v>
      </c>
      <c r="K64" s="29"/>
      <c r="L64" s="223">
        <f t="shared" si="3"/>
        <v>0</v>
      </c>
      <c r="M64" s="12"/>
      <c r="N64" s="218" t="str">
        <f t="shared" si="15"/>
        <v xml:space="preserve"> </v>
      </c>
      <c r="O64" s="189"/>
      <c r="P64" s="189"/>
      <c r="Q64" s="189"/>
      <c r="R64" s="189" t="str">
        <f t="shared" si="14"/>
        <v xml:space="preserve"> </v>
      </c>
      <c r="S64" s="189"/>
      <c r="T64" s="216"/>
      <c r="U64" s="13"/>
      <c r="V64" s="216"/>
      <c r="W64" s="216"/>
      <c r="X64" s="16"/>
    </row>
    <row r="65" spans="1:24" s="187" customFormat="1" ht="15" customHeight="1" x14ac:dyDescent="0.35">
      <c r="A65" s="245"/>
      <c r="B65" s="246"/>
      <c r="C65" s="212"/>
      <c r="D65" s="15"/>
      <c r="E65" s="15"/>
      <c r="F65" s="9">
        <v>900</v>
      </c>
      <c r="G65" s="29">
        <f t="shared" si="12"/>
        <v>0</v>
      </c>
      <c r="H65" s="11"/>
      <c r="I65" s="10"/>
      <c r="J65" s="29">
        <f t="shared" si="13"/>
        <v>0</v>
      </c>
      <c r="K65" s="29"/>
      <c r="L65" s="223">
        <f t="shared" si="3"/>
        <v>0</v>
      </c>
      <c r="M65" s="12"/>
      <c r="N65" s="218" t="str">
        <f t="shared" si="15"/>
        <v xml:space="preserve"> </v>
      </c>
      <c r="O65" s="189"/>
      <c r="P65" s="189"/>
      <c r="Q65" s="189"/>
      <c r="R65" s="189" t="str">
        <f t="shared" si="14"/>
        <v xml:space="preserve"> </v>
      </c>
      <c r="S65" s="189"/>
      <c r="T65" s="216"/>
      <c r="U65" s="13"/>
      <c r="V65" s="216"/>
      <c r="W65" s="216"/>
      <c r="X65" s="16"/>
    </row>
    <row r="66" spans="1:24" s="187" customFormat="1" ht="15" customHeight="1" x14ac:dyDescent="0.35">
      <c r="A66" s="245"/>
      <c r="B66" s="246"/>
      <c r="C66" s="211"/>
      <c r="D66" s="15"/>
      <c r="E66" s="15"/>
      <c r="F66" s="9">
        <v>860</v>
      </c>
      <c r="G66" s="29">
        <f t="shared" si="12"/>
        <v>0</v>
      </c>
      <c r="H66" s="11"/>
      <c r="I66" s="10"/>
      <c r="J66" s="29">
        <f t="shared" si="13"/>
        <v>0</v>
      </c>
      <c r="K66" s="29"/>
      <c r="L66" s="223">
        <f t="shared" si="3"/>
        <v>0</v>
      </c>
      <c r="M66" s="12"/>
      <c r="N66" s="218" t="str">
        <f t="shared" si="15"/>
        <v xml:space="preserve"> </v>
      </c>
      <c r="O66" s="189"/>
      <c r="P66" s="189"/>
      <c r="Q66" s="189"/>
      <c r="R66" s="189" t="str">
        <f t="shared" si="14"/>
        <v xml:space="preserve"> </v>
      </c>
      <c r="S66" s="189"/>
      <c r="T66" s="241"/>
      <c r="U66" s="13"/>
      <c r="V66" s="241"/>
      <c r="W66" s="241"/>
      <c r="X66" s="16"/>
    </row>
    <row r="67" spans="1:24" s="187" customFormat="1" ht="15" customHeight="1" x14ac:dyDescent="0.35">
      <c r="A67" s="245"/>
      <c r="B67" s="246"/>
      <c r="C67" s="211"/>
      <c r="D67" s="15"/>
      <c r="E67" s="15"/>
      <c r="F67" s="9">
        <v>860</v>
      </c>
      <c r="G67" s="29">
        <f t="shared" si="12"/>
        <v>0</v>
      </c>
      <c r="H67" s="11"/>
      <c r="I67" s="10"/>
      <c r="J67" s="29">
        <f t="shared" si="13"/>
        <v>0</v>
      </c>
      <c r="K67" s="29"/>
      <c r="L67" s="223">
        <f t="shared" ref="L67:L88" si="16">(J67+G67)-K67</f>
        <v>0</v>
      </c>
      <c r="M67" s="12"/>
      <c r="N67" s="218" t="str">
        <f t="shared" si="15"/>
        <v xml:space="preserve"> </v>
      </c>
      <c r="O67" s="189"/>
      <c r="P67" s="189"/>
      <c r="Q67" s="189"/>
      <c r="R67" s="189" t="str">
        <f t="shared" si="14"/>
        <v xml:space="preserve"> </v>
      </c>
      <c r="S67" s="189"/>
      <c r="T67" s="216"/>
      <c r="U67" s="13"/>
      <c r="V67" s="216"/>
      <c r="W67" s="216"/>
      <c r="X67" s="16"/>
    </row>
    <row r="68" spans="1:24" s="187" customFormat="1" ht="15" customHeight="1" x14ac:dyDescent="0.35">
      <c r="A68" s="245"/>
      <c r="B68" s="246"/>
      <c r="C68" s="211"/>
      <c r="D68" s="15"/>
      <c r="E68" s="15"/>
      <c r="F68" s="9">
        <v>900</v>
      </c>
      <c r="G68" s="29">
        <f t="shared" ref="G68:G100" si="17">(F68*D68)+(E68*F68)</f>
        <v>0</v>
      </c>
      <c r="H68" s="11"/>
      <c r="I68" s="10"/>
      <c r="J68" s="29">
        <f t="shared" si="13"/>
        <v>0</v>
      </c>
      <c r="K68" s="29"/>
      <c r="L68" s="223">
        <f t="shared" si="16"/>
        <v>0</v>
      </c>
      <c r="M68" s="12"/>
      <c r="N68" s="218" t="str">
        <f t="shared" si="15"/>
        <v xml:space="preserve"> </v>
      </c>
      <c r="O68" s="189"/>
      <c r="P68" s="189"/>
      <c r="Q68" s="189"/>
      <c r="R68" s="189" t="str">
        <f t="shared" ref="R68:R73" si="18">IF(O68&gt;0,SUM(O68-(L68+P68))," ")</f>
        <v xml:space="preserve"> </v>
      </c>
      <c r="S68" s="189"/>
      <c r="T68" s="216"/>
      <c r="U68" s="13"/>
      <c r="V68" s="216"/>
      <c r="W68" s="216"/>
      <c r="X68" s="16"/>
    </row>
    <row r="69" spans="1:24" s="187" customFormat="1" ht="15" customHeight="1" x14ac:dyDescent="0.35">
      <c r="A69" s="245"/>
      <c r="B69" s="246"/>
      <c r="C69" s="211"/>
      <c r="D69" s="15"/>
      <c r="E69" s="15"/>
      <c r="F69" s="9">
        <v>900</v>
      </c>
      <c r="G69" s="29">
        <f t="shared" si="17"/>
        <v>0</v>
      </c>
      <c r="H69" s="11"/>
      <c r="I69" s="10"/>
      <c r="J69" s="29">
        <f t="shared" si="13"/>
        <v>0</v>
      </c>
      <c r="K69" s="29"/>
      <c r="L69" s="223">
        <f t="shared" si="16"/>
        <v>0</v>
      </c>
      <c r="M69" s="12"/>
      <c r="N69" s="218" t="str">
        <f t="shared" si="15"/>
        <v xml:space="preserve"> </v>
      </c>
      <c r="O69" s="189"/>
      <c r="P69" s="189"/>
      <c r="Q69" s="189"/>
      <c r="R69" s="189" t="str">
        <f t="shared" si="18"/>
        <v xml:space="preserve"> </v>
      </c>
      <c r="S69" s="189"/>
      <c r="T69" s="216"/>
      <c r="U69" s="13"/>
      <c r="V69" s="216"/>
      <c r="W69" s="216"/>
      <c r="X69" s="16"/>
    </row>
    <row r="70" spans="1:24" s="187" customFormat="1" ht="15" customHeight="1" x14ac:dyDescent="0.35">
      <c r="A70" s="245"/>
      <c r="B70" s="246"/>
      <c r="C70" s="212"/>
      <c r="D70" s="15"/>
      <c r="E70" s="15"/>
      <c r="F70" s="9">
        <v>880</v>
      </c>
      <c r="G70" s="29">
        <f t="shared" si="17"/>
        <v>0</v>
      </c>
      <c r="H70" s="11"/>
      <c r="I70" s="10"/>
      <c r="J70" s="29">
        <f t="shared" si="13"/>
        <v>0</v>
      </c>
      <c r="K70" s="29"/>
      <c r="L70" s="223">
        <f t="shared" si="16"/>
        <v>0</v>
      </c>
      <c r="M70" s="12"/>
      <c r="N70" s="218" t="str">
        <f t="shared" si="15"/>
        <v xml:space="preserve"> </v>
      </c>
      <c r="O70" s="189"/>
      <c r="P70" s="189"/>
      <c r="Q70" s="189"/>
      <c r="R70" s="189" t="str">
        <f t="shared" si="18"/>
        <v xml:space="preserve"> </v>
      </c>
      <c r="S70" s="189"/>
      <c r="T70" s="216"/>
      <c r="U70" s="13"/>
      <c r="V70" s="216"/>
      <c r="W70" s="216"/>
      <c r="X70" s="16"/>
    </row>
    <row r="71" spans="1:24" s="187" customFormat="1" ht="15" customHeight="1" x14ac:dyDescent="0.35">
      <c r="A71" s="245"/>
      <c r="B71" s="246"/>
      <c r="C71" s="211"/>
      <c r="D71" s="15"/>
      <c r="E71" s="15"/>
      <c r="F71" s="9">
        <v>860</v>
      </c>
      <c r="G71" s="29">
        <f t="shared" si="17"/>
        <v>0</v>
      </c>
      <c r="H71" s="11"/>
      <c r="I71" s="10"/>
      <c r="J71" s="29">
        <f t="shared" si="13"/>
        <v>0</v>
      </c>
      <c r="K71" s="29"/>
      <c r="L71" s="223">
        <f t="shared" si="16"/>
        <v>0</v>
      </c>
      <c r="M71" s="12"/>
      <c r="N71" s="218" t="str">
        <f t="shared" si="15"/>
        <v xml:space="preserve"> </v>
      </c>
      <c r="O71" s="189"/>
      <c r="P71" s="189"/>
      <c r="Q71" s="189"/>
      <c r="R71" s="189" t="str">
        <f t="shared" si="18"/>
        <v xml:space="preserve"> </v>
      </c>
      <c r="S71" s="189"/>
      <c r="T71" s="216"/>
      <c r="U71" s="13"/>
      <c r="V71" s="216"/>
      <c r="W71" s="216"/>
      <c r="X71" s="16"/>
    </row>
    <row r="72" spans="1:24" s="187" customFormat="1" ht="15" customHeight="1" x14ac:dyDescent="0.35">
      <c r="A72" s="245"/>
      <c r="B72" s="246"/>
      <c r="C72" s="212"/>
      <c r="D72" s="15"/>
      <c r="E72" s="15"/>
      <c r="F72" s="9">
        <v>880</v>
      </c>
      <c r="G72" s="29">
        <f t="shared" si="17"/>
        <v>0</v>
      </c>
      <c r="H72" s="11"/>
      <c r="I72" s="10"/>
      <c r="J72" s="29">
        <f t="shared" si="13"/>
        <v>0</v>
      </c>
      <c r="K72" s="29"/>
      <c r="L72" s="223">
        <f t="shared" si="16"/>
        <v>0</v>
      </c>
      <c r="M72" s="12"/>
      <c r="N72" s="218" t="str">
        <f t="shared" si="15"/>
        <v xml:space="preserve"> </v>
      </c>
      <c r="O72" s="189"/>
      <c r="P72" s="189"/>
      <c r="Q72" s="189"/>
      <c r="R72" s="189" t="str">
        <f t="shared" si="18"/>
        <v xml:space="preserve"> </v>
      </c>
      <c r="S72" s="189"/>
      <c r="T72" s="216"/>
      <c r="U72" s="13"/>
      <c r="V72" s="216"/>
      <c r="W72" s="216"/>
      <c r="X72" s="16"/>
    </row>
    <row r="73" spans="1:24" s="187" customFormat="1" ht="15" customHeight="1" x14ac:dyDescent="0.35">
      <c r="A73" s="245"/>
      <c r="B73" s="246"/>
      <c r="C73" s="211"/>
      <c r="D73" s="15"/>
      <c r="E73" s="15"/>
      <c r="F73" s="9">
        <v>900</v>
      </c>
      <c r="G73" s="29">
        <f t="shared" si="17"/>
        <v>0</v>
      </c>
      <c r="H73" s="11"/>
      <c r="I73" s="10"/>
      <c r="J73" s="29">
        <f t="shared" si="13"/>
        <v>0</v>
      </c>
      <c r="K73" s="29"/>
      <c r="L73" s="223">
        <f t="shared" si="16"/>
        <v>0</v>
      </c>
      <c r="M73" s="12"/>
      <c r="N73" s="218" t="str">
        <f t="shared" si="15"/>
        <v xml:space="preserve"> </v>
      </c>
      <c r="O73" s="189"/>
      <c r="P73" s="189"/>
      <c r="Q73" s="189"/>
      <c r="R73" s="189" t="str">
        <f t="shared" si="18"/>
        <v xml:space="preserve"> </v>
      </c>
      <c r="S73" s="189"/>
      <c r="T73" s="237"/>
      <c r="U73" s="13"/>
      <c r="V73" s="237"/>
      <c r="W73" s="237"/>
      <c r="X73" s="16"/>
    </row>
    <row r="74" spans="1:24" s="187" customFormat="1" ht="15" customHeight="1" x14ac:dyDescent="0.35">
      <c r="A74" s="245"/>
      <c r="B74" s="246"/>
      <c r="C74" s="211"/>
      <c r="D74" s="15"/>
      <c r="E74" s="15"/>
      <c r="F74" s="9">
        <v>880</v>
      </c>
      <c r="G74" s="29">
        <f t="shared" si="17"/>
        <v>0</v>
      </c>
      <c r="H74" s="11"/>
      <c r="I74" s="10"/>
      <c r="J74" s="29">
        <f t="shared" si="13"/>
        <v>0</v>
      </c>
      <c r="K74" s="29"/>
      <c r="L74" s="223">
        <f t="shared" si="16"/>
        <v>0</v>
      </c>
      <c r="M74" s="12"/>
      <c r="N74" s="218" t="str">
        <f t="shared" si="15"/>
        <v xml:space="preserve"> </v>
      </c>
      <c r="O74" s="189"/>
      <c r="P74" s="189"/>
      <c r="Q74" s="189"/>
      <c r="R74" s="189" t="str">
        <f t="shared" ref="R74:R100" si="19">IF(O74&gt;0,SUM(O74-(L74+P74))," ")</f>
        <v xml:space="preserve"> </v>
      </c>
      <c r="S74" s="189"/>
      <c r="T74" s="216"/>
      <c r="U74" s="13"/>
      <c r="V74" s="216"/>
      <c r="W74" s="216"/>
      <c r="X74" s="16"/>
    </row>
    <row r="75" spans="1:24" s="187" customFormat="1" ht="15" customHeight="1" x14ac:dyDescent="0.35">
      <c r="A75" s="245"/>
      <c r="B75" s="246"/>
      <c r="C75" s="211"/>
      <c r="D75" s="15"/>
      <c r="E75" s="15"/>
      <c r="F75" s="9">
        <v>900</v>
      </c>
      <c r="G75" s="29">
        <f t="shared" si="17"/>
        <v>0</v>
      </c>
      <c r="H75" s="11"/>
      <c r="I75" s="10"/>
      <c r="J75" s="29">
        <f t="shared" si="13"/>
        <v>0</v>
      </c>
      <c r="K75" s="29"/>
      <c r="L75" s="223">
        <f t="shared" si="16"/>
        <v>0</v>
      </c>
      <c r="M75" s="12"/>
      <c r="N75" s="218" t="str">
        <f t="shared" si="15"/>
        <v xml:space="preserve"> </v>
      </c>
      <c r="O75" s="189"/>
      <c r="P75" s="189"/>
      <c r="Q75" s="189"/>
      <c r="R75" s="189" t="str">
        <f t="shared" si="19"/>
        <v xml:space="preserve"> </v>
      </c>
      <c r="S75" s="189"/>
      <c r="T75" s="210"/>
      <c r="U75" s="13"/>
      <c r="V75" s="210"/>
      <c r="W75" s="210"/>
      <c r="X75" s="16"/>
    </row>
    <row r="76" spans="1:24" s="187" customFormat="1" ht="15" customHeight="1" x14ac:dyDescent="0.35">
      <c r="A76" s="245"/>
      <c r="B76" s="246"/>
      <c r="C76" s="211"/>
      <c r="D76" s="15"/>
      <c r="E76" s="15"/>
      <c r="F76" s="9">
        <v>880</v>
      </c>
      <c r="G76" s="29">
        <f t="shared" si="17"/>
        <v>0</v>
      </c>
      <c r="H76" s="11"/>
      <c r="I76" s="10"/>
      <c r="J76" s="29">
        <f t="shared" si="13"/>
        <v>0</v>
      </c>
      <c r="K76" s="29"/>
      <c r="L76" s="223">
        <f t="shared" si="16"/>
        <v>0</v>
      </c>
      <c r="M76" s="12"/>
      <c r="N76" s="218" t="str">
        <f t="shared" si="15"/>
        <v xml:space="preserve"> </v>
      </c>
      <c r="O76" s="189"/>
      <c r="P76" s="189"/>
      <c r="Q76" s="189"/>
      <c r="R76" s="189" t="str">
        <f t="shared" si="19"/>
        <v xml:space="preserve"> </v>
      </c>
      <c r="S76" s="189"/>
      <c r="T76" s="217"/>
      <c r="U76" s="13"/>
      <c r="V76" s="217"/>
      <c r="W76" s="217"/>
      <c r="X76" s="16"/>
    </row>
    <row r="77" spans="1:24" s="187" customFormat="1" ht="15" customHeight="1" x14ac:dyDescent="0.35">
      <c r="A77" s="245"/>
      <c r="B77" s="246"/>
      <c r="C77" s="211"/>
      <c r="D77" s="15"/>
      <c r="E77" s="15"/>
      <c r="F77" s="9">
        <v>900</v>
      </c>
      <c r="G77" s="29">
        <f t="shared" si="17"/>
        <v>0</v>
      </c>
      <c r="H77" s="11"/>
      <c r="I77" s="10"/>
      <c r="J77" s="29">
        <f t="shared" si="13"/>
        <v>0</v>
      </c>
      <c r="K77" s="29"/>
      <c r="L77" s="223">
        <f t="shared" si="16"/>
        <v>0</v>
      </c>
      <c r="M77" s="12"/>
      <c r="N77" s="218" t="str">
        <f t="shared" si="15"/>
        <v xml:space="preserve"> </v>
      </c>
      <c r="O77" s="189"/>
      <c r="P77" s="189"/>
      <c r="Q77" s="189"/>
      <c r="R77" s="189" t="str">
        <f t="shared" si="19"/>
        <v xml:space="preserve"> </v>
      </c>
      <c r="S77" s="189"/>
      <c r="T77" s="217"/>
      <c r="U77" s="13"/>
      <c r="V77" s="217"/>
      <c r="W77" s="217"/>
      <c r="X77" s="16"/>
    </row>
    <row r="78" spans="1:24" s="187" customFormat="1" ht="15" customHeight="1" x14ac:dyDescent="0.35">
      <c r="A78" s="245"/>
      <c r="B78" s="246"/>
      <c r="C78" s="211"/>
      <c r="D78" s="15"/>
      <c r="E78" s="15"/>
      <c r="F78" s="9">
        <v>900</v>
      </c>
      <c r="G78" s="29">
        <f t="shared" si="17"/>
        <v>0</v>
      </c>
      <c r="H78" s="11"/>
      <c r="I78" s="10"/>
      <c r="J78" s="29">
        <f t="shared" si="13"/>
        <v>0</v>
      </c>
      <c r="K78" s="29"/>
      <c r="L78" s="223">
        <f t="shared" si="16"/>
        <v>0</v>
      </c>
      <c r="M78" s="12"/>
      <c r="N78" s="239" t="str">
        <f t="shared" si="15"/>
        <v xml:space="preserve"> </v>
      </c>
      <c r="O78" s="189"/>
      <c r="P78" s="189"/>
      <c r="Q78" s="189"/>
      <c r="R78" s="189" t="str">
        <f t="shared" si="19"/>
        <v xml:space="preserve"> </v>
      </c>
      <c r="S78" s="189"/>
      <c r="T78" s="217"/>
      <c r="U78" s="13"/>
      <c r="V78" s="217"/>
      <c r="W78" s="217"/>
      <c r="X78" s="16"/>
    </row>
    <row r="79" spans="1:24" s="187" customFormat="1" ht="15" customHeight="1" x14ac:dyDescent="0.35">
      <c r="A79" s="245"/>
      <c r="B79" s="246"/>
      <c r="C79" s="211"/>
      <c r="D79" s="15"/>
      <c r="E79" s="15"/>
      <c r="F79" s="9">
        <v>880</v>
      </c>
      <c r="G79" s="29">
        <f t="shared" si="17"/>
        <v>0</v>
      </c>
      <c r="H79" s="11"/>
      <c r="I79" s="10"/>
      <c r="J79" s="29">
        <f t="shared" si="13"/>
        <v>0</v>
      </c>
      <c r="K79" s="29"/>
      <c r="L79" s="223">
        <f t="shared" si="16"/>
        <v>0</v>
      </c>
      <c r="M79" s="12"/>
      <c r="N79" s="218" t="str">
        <f t="shared" si="15"/>
        <v xml:space="preserve"> </v>
      </c>
      <c r="O79" s="189"/>
      <c r="P79" s="189"/>
      <c r="Q79" s="189"/>
      <c r="R79" s="189" t="str">
        <f t="shared" si="19"/>
        <v xml:space="preserve"> </v>
      </c>
      <c r="S79" s="189"/>
      <c r="T79" s="217"/>
      <c r="U79" s="13"/>
      <c r="V79" s="217"/>
      <c r="W79" s="217"/>
      <c r="X79" s="16"/>
    </row>
    <row r="80" spans="1:24" s="187" customFormat="1" ht="15" customHeight="1" x14ac:dyDescent="0.35">
      <c r="A80" s="23"/>
      <c r="B80" s="24"/>
      <c r="C80" s="211"/>
      <c r="D80" s="15"/>
      <c r="E80" s="15"/>
      <c r="F80" s="9">
        <v>850</v>
      </c>
      <c r="G80" s="29">
        <f t="shared" si="17"/>
        <v>0</v>
      </c>
      <c r="H80" s="11"/>
      <c r="I80" s="10"/>
      <c r="J80" s="29">
        <f t="shared" si="13"/>
        <v>0</v>
      </c>
      <c r="K80" s="29"/>
      <c r="L80" s="223">
        <f t="shared" si="16"/>
        <v>0</v>
      </c>
      <c r="M80" s="12"/>
      <c r="N80" s="218" t="str">
        <f t="shared" ref="N80:N86" si="20">IF(M80&gt;0,SUM(L80-M80)," ")</f>
        <v xml:space="preserve"> </v>
      </c>
      <c r="O80" s="189"/>
      <c r="P80" s="189"/>
      <c r="Q80" s="189"/>
      <c r="R80" s="189" t="str">
        <f t="shared" si="19"/>
        <v xml:space="preserve"> </v>
      </c>
      <c r="S80" s="189"/>
      <c r="T80" s="237"/>
      <c r="U80" s="13"/>
      <c r="V80" s="237"/>
      <c r="W80" s="237"/>
      <c r="X80" s="16"/>
    </row>
    <row r="81" spans="1:24" s="187" customFormat="1" ht="15" customHeight="1" x14ac:dyDescent="0.35">
      <c r="A81" s="23"/>
      <c r="B81" s="24"/>
      <c r="C81" s="211"/>
      <c r="D81" s="15"/>
      <c r="E81" s="15"/>
      <c r="F81" s="9">
        <v>900</v>
      </c>
      <c r="G81" s="29">
        <f t="shared" si="17"/>
        <v>0</v>
      </c>
      <c r="H81" s="11"/>
      <c r="I81" s="10"/>
      <c r="J81" s="29">
        <f t="shared" si="13"/>
        <v>0</v>
      </c>
      <c r="K81" s="29"/>
      <c r="L81" s="223">
        <f t="shared" si="16"/>
        <v>0</v>
      </c>
      <c r="M81" s="12"/>
      <c r="N81" s="218" t="str">
        <f t="shared" si="20"/>
        <v xml:space="preserve"> </v>
      </c>
      <c r="O81" s="189"/>
      <c r="P81" s="189"/>
      <c r="Q81" s="189"/>
      <c r="R81" s="189" t="str">
        <f t="shared" si="19"/>
        <v xml:space="preserve"> </v>
      </c>
      <c r="S81" s="189"/>
      <c r="T81" s="237"/>
      <c r="U81" s="13"/>
      <c r="V81" s="237"/>
      <c r="W81" s="237"/>
      <c r="X81" s="16"/>
    </row>
    <row r="82" spans="1:24" s="187" customFormat="1" ht="15" customHeight="1" x14ac:dyDescent="0.35">
      <c r="A82" s="23"/>
      <c r="B82" s="24"/>
      <c r="C82" s="211"/>
      <c r="D82" s="15"/>
      <c r="E82" s="15"/>
      <c r="F82" s="9">
        <v>880</v>
      </c>
      <c r="G82" s="29">
        <f t="shared" si="17"/>
        <v>0</v>
      </c>
      <c r="H82" s="11"/>
      <c r="I82" s="10"/>
      <c r="J82" s="29">
        <f t="shared" si="13"/>
        <v>0</v>
      </c>
      <c r="K82" s="29"/>
      <c r="L82" s="223">
        <f t="shared" si="16"/>
        <v>0</v>
      </c>
      <c r="M82" s="12"/>
      <c r="N82" s="218" t="str">
        <f t="shared" si="20"/>
        <v xml:space="preserve"> </v>
      </c>
      <c r="O82" s="189"/>
      <c r="P82" s="189"/>
      <c r="Q82" s="189"/>
      <c r="R82" s="189" t="str">
        <f t="shared" si="19"/>
        <v xml:space="preserve"> </v>
      </c>
      <c r="S82" s="189"/>
      <c r="T82" s="237"/>
      <c r="U82" s="13"/>
      <c r="V82" s="237"/>
      <c r="W82" s="237"/>
      <c r="X82" s="16"/>
    </row>
    <row r="83" spans="1:24" s="187" customFormat="1" ht="15" customHeight="1" x14ac:dyDescent="0.35">
      <c r="A83" s="23"/>
      <c r="B83" s="23"/>
      <c r="C83" s="188"/>
      <c r="D83" s="15"/>
      <c r="E83" s="15"/>
      <c r="F83" s="9">
        <v>860</v>
      </c>
      <c r="G83" s="29">
        <f t="shared" si="17"/>
        <v>0</v>
      </c>
      <c r="H83" s="11"/>
      <c r="I83" s="10"/>
      <c r="J83" s="29">
        <f t="shared" si="13"/>
        <v>0</v>
      </c>
      <c r="K83" s="29"/>
      <c r="L83" s="223">
        <f t="shared" si="16"/>
        <v>0</v>
      </c>
      <c r="M83" s="12"/>
      <c r="N83" s="218" t="str">
        <f t="shared" si="20"/>
        <v xml:space="preserve"> </v>
      </c>
      <c r="O83" s="189"/>
      <c r="P83" s="189"/>
      <c r="Q83" s="189"/>
      <c r="R83" s="189" t="str">
        <f t="shared" si="19"/>
        <v xml:space="preserve"> </v>
      </c>
      <c r="S83" s="189"/>
      <c r="T83" s="237"/>
      <c r="U83" s="13"/>
      <c r="V83" s="237"/>
      <c r="W83" s="237"/>
      <c r="X83" s="16"/>
    </row>
    <row r="84" spans="1:24" s="187" customFormat="1" ht="15" customHeight="1" x14ac:dyDescent="0.35">
      <c r="A84" s="23"/>
      <c r="B84" s="23"/>
      <c r="C84" s="211"/>
      <c r="D84" s="15"/>
      <c r="E84" s="15"/>
      <c r="F84" s="9">
        <v>860</v>
      </c>
      <c r="G84" s="29">
        <f t="shared" si="17"/>
        <v>0</v>
      </c>
      <c r="H84" s="11"/>
      <c r="I84" s="10"/>
      <c r="J84" s="29">
        <f t="shared" si="13"/>
        <v>0</v>
      </c>
      <c r="K84" s="29"/>
      <c r="L84" s="223">
        <f t="shared" si="16"/>
        <v>0</v>
      </c>
      <c r="M84" s="12"/>
      <c r="N84" s="218" t="str">
        <f t="shared" si="20"/>
        <v xml:space="preserve"> </v>
      </c>
      <c r="O84" s="189"/>
      <c r="P84" s="189"/>
      <c r="Q84" s="189"/>
      <c r="R84" s="189" t="str">
        <f t="shared" si="19"/>
        <v xml:space="preserve"> </v>
      </c>
      <c r="S84" s="189"/>
      <c r="T84" s="237"/>
      <c r="U84" s="13"/>
      <c r="V84" s="237"/>
      <c r="W84" s="237"/>
      <c r="X84" s="16"/>
    </row>
    <row r="85" spans="1:24" s="187" customFormat="1" ht="15" customHeight="1" x14ac:dyDescent="0.35">
      <c r="A85" s="23"/>
      <c r="B85" s="24"/>
      <c r="C85" s="211"/>
      <c r="D85" s="15"/>
      <c r="E85" s="15"/>
      <c r="F85" s="9">
        <v>880</v>
      </c>
      <c r="G85" s="29">
        <f t="shared" si="17"/>
        <v>0</v>
      </c>
      <c r="H85" s="11"/>
      <c r="I85" s="10"/>
      <c r="J85" s="29">
        <f t="shared" si="13"/>
        <v>0</v>
      </c>
      <c r="K85" s="29"/>
      <c r="L85" s="223">
        <f t="shared" si="16"/>
        <v>0</v>
      </c>
      <c r="M85" s="12"/>
      <c r="N85" s="218" t="str">
        <f t="shared" si="20"/>
        <v xml:space="preserve"> </v>
      </c>
      <c r="O85" s="189"/>
      <c r="P85" s="189"/>
      <c r="Q85" s="189"/>
      <c r="R85" s="189" t="str">
        <f t="shared" si="19"/>
        <v xml:space="preserve"> </v>
      </c>
      <c r="S85" s="189"/>
      <c r="T85" s="237"/>
      <c r="U85" s="13"/>
      <c r="V85" s="237"/>
      <c r="W85" s="237"/>
      <c r="X85" s="16"/>
    </row>
    <row r="86" spans="1:24" s="187" customFormat="1" ht="15" customHeight="1" x14ac:dyDescent="0.35">
      <c r="A86" s="23"/>
      <c r="B86" s="24"/>
      <c r="C86" s="211"/>
      <c r="D86" s="15"/>
      <c r="E86" s="15"/>
      <c r="F86" s="9">
        <v>880</v>
      </c>
      <c r="G86" s="29">
        <f t="shared" si="17"/>
        <v>0</v>
      </c>
      <c r="H86" s="11"/>
      <c r="I86" s="10"/>
      <c r="J86" s="29">
        <f t="shared" si="13"/>
        <v>0</v>
      </c>
      <c r="K86" s="29"/>
      <c r="L86" s="223">
        <f t="shared" si="16"/>
        <v>0</v>
      </c>
      <c r="M86" s="12"/>
      <c r="N86" s="218" t="str">
        <f t="shared" si="20"/>
        <v xml:space="preserve"> </v>
      </c>
      <c r="O86" s="189"/>
      <c r="P86" s="189"/>
      <c r="Q86" s="189"/>
      <c r="R86" s="189" t="str">
        <f t="shared" si="19"/>
        <v xml:space="preserve"> </v>
      </c>
      <c r="S86" s="189"/>
      <c r="T86" s="237"/>
      <c r="U86" s="13"/>
      <c r="V86" s="237"/>
      <c r="W86" s="237"/>
      <c r="X86" s="16"/>
    </row>
    <row r="87" spans="1:24" s="187" customFormat="1" ht="15" customHeight="1" x14ac:dyDescent="0.35">
      <c r="A87" s="23"/>
      <c r="B87" s="23"/>
      <c r="C87" s="212"/>
      <c r="D87" s="15"/>
      <c r="E87" s="15"/>
      <c r="F87" s="9">
        <v>870</v>
      </c>
      <c r="G87" s="29">
        <f t="shared" si="17"/>
        <v>0</v>
      </c>
      <c r="H87" s="11"/>
      <c r="I87" s="10"/>
      <c r="J87" s="29">
        <f t="shared" si="13"/>
        <v>0</v>
      </c>
      <c r="K87" s="29"/>
      <c r="L87" s="223">
        <f t="shared" si="16"/>
        <v>0</v>
      </c>
      <c r="M87" s="12"/>
      <c r="N87" s="218" t="str">
        <f t="shared" ref="N87:N101" si="21">IF(M87&gt;0,SUM(L87-M87)," ")</f>
        <v xml:space="preserve"> </v>
      </c>
      <c r="O87" s="189"/>
      <c r="P87" s="189"/>
      <c r="Q87" s="189"/>
      <c r="R87" s="189" t="str">
        <f t="shared" si="19"/>
        <v xml:space="preserve"> </v>
      </c>
      <c r="S87" s="189"/>
      <c r="T87" s="237"/>
      <c r="U87" s="13"/>
      <c r="V87" s="237"/>
      <c r="W87" s="237"/>
      <c r="X87" s="16"/>
    </row>
    <row r="88" spans="1:24" s="187" customFormat="1" ht="15" customHeight="1" x14ac:dyDescent="0.35">
      <c r="A88" s="23"/>
      <c r="B88" s="24"/>
      <c r="C88" s="211"/>
      <c r="D88" s="15"/>
      <c r="E88" s="15"/>
      <c r="F88" s="9">
        <v>880</v>
      </c>
      <c r="G88" s="29">
        <f t="shared" si="17"/>
        <v>0</v>
      </c>
      <c r="H88" s="11"/>
      <c r="I88" s="10"/>
      <c r="J88" s="29">
        <f t="shared" si="13"/>
        <v>0</v>
      </c>
      <c r="K88" s="29"/>
      <c r="L88" s="223">
        <f t="shared" si="16"/>
        <v>0</v>
      </c>
      <c r="M88" s="12"/>
      <c r="N88" s="218" t="str">
        <f t="shared" si="21"/>
        <v xml:space="preserve"> </v>
      </c>
      <c r="O88" s="189"/>
      <c r="P88" s="189"/>
      <c r="Q88" s="189"/>
      <c r="R88" s="189" t="str">
        <f t="shared" si="19"/>
        <v xml:space="preserve"> </v>
      </c>
      <c r="S88" s="189"/>
      <c r="T88" s="237"/>
      <c r="U88" s="13"/>
      <c r="V88" s="237"/>
      <c r="W88" s="237"/>
      <c r="X88" s="16"/>
    </row>
    <row r="89" spans="1:24" s="187" customFormat="1" ht="15" customHeight="1" x14ac:dyDescent="0.35">
      <c r="A89" s="23"/>
      <c r="B89" s="24"/>
      <c r="C89" s="211"/>
      <c r="D89" s="15"/>
      <c r="E89" s="15"/>
      <c r="F89" s="9">
        <v>880</v>
      </c>
      <c r="G89" s="29">
        <f t="shared" si="17"/>
        <v>0</v>
      </c>
      <c r="H89" s="11"/>
      <c r="I89" s="10"/>
      <c r="J89" s="29">
        <f t="shared" si="13"/>
        <v>0</v>
      </c>
      <c r="K89" s="29"/>
      <c r="L89" s="223">
        <f>(J89+G89)-K89</f>
        <v>0</v>
      </c>
      <c r="M89" s="12"/>
      <c r="N89" s="218" t="str">
        <f t="shared" si="21"/>
        <v xml:space="preserve"> </v>
      </c>
      <c r="O89" s="189"/>
      <c r="P89" s="189"/>
      <c r="Q89" s="189"/>
      <c r="R89" s="189" t="str">
        <f t="shared" si="19"/>
        <v xml:space="preserve"> </v>
      </c>
      <c r="S89" s="189"/>
      <c r="T89" s="217"/>
      <c r="U89" s="13"/>
      <c r="V89" s="217"/>
      <c r="W89" s="217"/>
      <c r="X89" s="16"/>
    </row>
    <row r="90" spans="1:24" s="187" customFormat="1" ht="15" customHeight="1" x14ac:dyDescent="0.35">
      <c r="A90" s="23"/>
      <c r="B90" s="24"/>
      <c r="C90" s="211"/>
      <c r="D90" s="15"/>
      <c r="E90" s="15"/>
      <c r="F90" s="9">
        <v>900</v>
      </c>
      <c r="G90" s="29">
        <f t="shared" si="17"/>
        <v>0</v>
      </c>
      <c r="H90" s="11"/>
      <c r="I90" s="10"/>
      <c r="J90" s="29">
        <f t="shared" si="13"/>
        <v>0</v>
      </c>
      <c r="K90" s="29"/>
      <c r="L90" s="223">
        <f>(J90+G90)-K90</f>
        <v>0</v>
      </c>
      <c r="M90" s="12"/>
      <c r="N90" s="218" t="str">
        <f t="shared" si="21"/>
        <v xml:space="preserve"> </v>
      </c>
      <c r="O90" s="189"/>
      <c r="P90" s="189"/>
      <c r="Q90" s="189"/>
      <c r="R90" s="189" t="str">
        <f t="shared" si="19"/>
        <v xml:space="preserve"> </v>
      </c>
      <c r="S90" s="189"/>
      <c r="T90" s="217"/>
      <c r="U90" s="13"/>
      <c r="V90" s="217"/>
      <c r="W90" s="217"/>
      <c r="X90" s="16"/>
    </row>
    <row r="91" spans="1:24" s="187" customFormat="1" ht="15" customHeight="1" x14ac:dyDescent="0.35">
      <c r="A91" s="23"/>
      <c r="B91" s="23"/>
      <c r="C91" s="212"/>
      <c r="D91" s="15"/>
      <c r="E91" s="15"/>
      <c r="F91" s="9">
        <v>860</v>
      </c>
      <c r="G91" s="29">
        <f t="shared" si="17"/>
        <v>0</v>
      </c>
      <c r="H91" s="11"/>
      <c r="I91" s="10"/>
      <c r="J91" s="29">
        <f t="shared" si="13"/>
        <v>0</v>
      </c>
      <c r="K91" s="29"/>
      <c r="L91" s="223">
        <f>(J91+G91)-K91</f>
        <v>0</v>
      </c>
      <c r="M91" s="12"/>
      <c r="N91" s="218" t="str">
        <f t="shared" si="21"/>
        <v xml:space="preserve"> </v>
      </c>
      <c r="O91" s="189"/>
      <c r="P91" s="189"/>
      <c r="Q91" s="189"/>
      <c r="R91" s="189" t="str">
        <f t="shared" si="19"/>
        <v xml:space="preserve"> </v>
      </c>
      <c r="S91" s="189"/>
      <c r="T91" s="217"/>
      <c r="U91" s="13"/>
      <c r="V91" s="217"/>
      <c r="W91" s="217"/>
      <c r="X91" s="16"/>
    </row>
    <row r="92" spans="1:24" s="187" customFormat="1" ht="15" customHeight="1" x14ac:dyDescent="0.35">
      <c r="A92" s="23"/>
      <c r="B92" s="24"/>
      <c r="C92" s="211"/>
      <c r="D92" s="15"/>
      <c r="E92" s="15"/>
      <c r="F92" s="9">
        <v>880</v>
      </c>
      <c r="G92" s="29">
        <f t="shared" si="17"/>
        <v>0</v>
      </c>
      <c r="H92" s="11"/>
      <c r="I92" s="10"/>
      <c r="J92" s="29">
        <f t="shared" si="13"/>
        <v>0</v>
      </c>
      <c r="K92" s="29"/>
      <c r="L92" s="223">
        <f t="shared" ref="L92:L98" si="22">(J92+G92)-K92</f>
        <v>0</v>
      </c>
      <c r="M92" s="12"/>
      <c r="N92" s="218" t="str">
        <f t="shared" si="21"/>
        <v xml:space="preserve"> </v>
      </c>
      <c r="O92" s="189"/>
      <c r="P92" s="189"/>
      <c r="Q92" s="189"/>
      <c r="R92" s="189" t="str">
        <f t="shared" si="19"/>
        <v xml:space="preserve"> </v>
      </c>
      <c r="S92" s="189"/>
      <c r="T92" s="217"/>
      <c r="U92" s="13"/>
      <c r="V92" s="217"/>
      <c r="W92" s="217"/>
      <c r="X92" s="16"/>
    </row>
    <row r="93" spans="1:24" s="187" customFormat="1" ht="15" customHeight="1" x14ac:dyDescent="0.35">
      <c r="A93" s="23"/>
      <c r="B93" s="24"/>
      <c r="C93" s="211"/>
      <c r="D93" s="15"/>
      <c r="E93" s="15"/>
      <c r="F93" s="9">
        <v>880</v>
      </c>
      <c r="G93" s="29">
        <f t="shared" si="17"/>
        <v>0</v>
      </c>
      <c r="H93" s="11"/>
      <c r="I93" s="10"/>
      <c r="J93" s="29">
        <f t="shared" si="13"/>
        <v>0</v>
      </c>
      <c r="K93" s="29"/>
      <c r="L93" s="223">
        <f t="shared" si="22"/>
        <v>0</v>
      </c>
      <c r="M93" s="12"/>
      <c r="N93" s="218" t="str">
        <f t="shared" si="21"/>
        <v xml:space="preserve"> </v>
      </c>
      <c r="O93" s="189"/>
      <c r="P93" s="189"/>
      <c r="Q93" s="189"/>
      <c r="R93" s="189" t="str">
        <f t="shared" si="19"/>
        <v xml:space="preserve"> </v>
      </c>
      <c r="S93" s="189"/>
      <c r="T93" s="217"/>
      <c r="U93" s="13"/>
      <c r="V93" s="217"/>
      <c r="W93" s="217"/>
      <c r="X93" s="16"/>
    </row>
    <row r="94" spans="1:24" s="187" customFormat="1" ht="15" customHeight="1" x14ac:dyDescent="0.35">
      <c r="A94" s="23"/>
      <c r="B94" s="24"/>
      <c r="C94" s="212"/>
      <c r="D94" s="15"/>
      <c r="E94" s="15"/>
      <c r="F94" s="9">
        <v>860</v>
      </c>
      <c r="G94" s="29">
        <f t="shared" si="17"/>
        <v>0</v>
      </c>
      <c r="H94" s="11"/>
      <c r="I94" s="10"/>
      <c r="J94" s="29">
        <f t="shared" si="13"/>
        <v>0</v>
      </c>
      <c r="K94" s="29"/>
      <c r="L94" s="223">
        <f t="shared" si="22"/>
        <v>0</v>
      </c>
      <c r="M94" s="12"/>
      <c r="N94" s="218" t="str">
        <f t="shared" si="21"/>
        <v xml:space="preserve"> </v>
      </c>
      <c r="O94" s="189"/>
      <c r="P94" s="189"/>
      <c r="Q94" s="189"/>
      <c r="R94" s="189" t="str">
        <f t="shared" si="19"/>
        <v xml:space="preserve"> </v>
      </c>
      <c r="S94" s="189"/>
      <c r="T94" s="217"/>
      <c r="U94" s="13"/>
      <c r="V94" s="217"/>
      <c r="W94" s="217"/>
      <c r="X94" s="16"/>
    </row>
    <row r="95" spans="1:24" s="187" customFormat="1" ht="15" customHeight="1" x14ac:dyDescent="0.35">
      <c r="A95" s="23"/>
      <c r="B95" s="24"/>
      <c r="C95" s="211"/>
      <c r="D95" s="15"/>
      <c r="E95" s="15"/>
      <c r="F95" s="9">
        <v>880</v>
      </c>
      <c r="G95" s="29">
        <f t="shared" si="17"/>
        <v>0</v>
      </c>
      <c r="H95" s="11"/>
      <c r="I95" s="10"/>
      <c r="J95" s="29">
        <f t="shared" si="13"/>
        <v>0</v>
      </c>
      <c r="K95" s="29"/>
      <c r="L95" s="223">
        <f t="shared" si="22"/>
        <v>0</v>
      </c>
      <c r="M95" s="12"/>
      <c r="N95" s="218" t="str">
        <f t="shared" si="21"/>
        <v xml:space="preserve"> </v>
      </c>
      <c r="O95" s="189"/>
      <c r="P95" s="189"/>
      <c r="Q95" s="189"/>
      <c r="R95" s="189" t="str">
        <f t="shared" si="19"/>
        <v xml:space="preserve"> </v>
      </c>
      <c r="S95" s="189"/>
      <c r="T95" s="217"/>
      <c r="U95" s="13"/>
      <c r="V95" s="217"/>
      <c r="W95" s="217"/>
      <c r="X95" s="16"/>
    </row>
    <row r="96" spans="1:24" s="187" customFormat="1" ht="15" customHeight="1" x14ac:dyDescent="0.35">
      <c r="A96" s="23"/>
      <c r="B96" s="24"/>
      <c r="C96" s="212"/>
      <c r="D96" s="15"/>
      <c r="E96" s="15"/>
      <c r="F96" s="9">
        <v>880</v>
      </c>
      <c r="G96" s="29">
        <f t="shared" si="17"/>
        <v>0</v>
      </c>
      <c r="H96" s="11"/>
      <c r="I96" s="10"/>
      <c r="J96" s="29">
        <f t="shared" si="13"/>
        <v>0</v>
      </c>
      <c r="K96" s="29"/>
      <c r="L96" s="223">
        <f t="shared" si="22"/>
        <v>0</v>
      </c>
      <c r="M96" s="12"/>
      <c r="N96" s="218" t="str">
        <f t="shared" si="21"/>
        <v xml:space="preserve"> </v>
      </c>
      <c r="O96" s="189"/>
      <c r="P96" s="189"/>
      <c r="Q96" s="189"/>
      <c r="R96" s="189" t="str">
        <f t="shared" si="19"/>
        <v xml:space="preserve"> </v>
      </c>
      <c r="S96" s="189"/>
      <c r="T96" s="217"/>
      <c r="U96" s="13"/>
      <c r="V96" s="217"/>
      <c r="W96" s="217"/>
      <c r="X96" s="16"/>
    </row>
    <row r="97" spans="1:27" s="187" customFormat="1" ht="15" customHeight="1" x14ac:dyDescent="0.35">
      <c r="A97" s="227"/>
      <c r="B97" s="24"/>
      <c r="C97" s="211"/>
      <c r="D97" s="15"/>
      <c r="E97" s="15"/>
      <c r="F97" s="9">
        <v>800</v>
      </c>
      <c r="G97" s="29">
        <f t="shared" si="17"/>
        <v>0</v>
      </c>
      <c r="H97" s="11"/>
      <c r="I97" s="10"/>
      <c r="J97" s="29">
        <f t="shared" si="13"/>
        <v>0</v>
      </c>
      <c r="K97" s="29"/>
      <c r="L97" s="223">
        <f t="shared" si="22"/>
        <v>0</v>
      </c>
      <c r="M97" s="12"/>
      <c r="N97" s="218" t="str">
        <f t="shared" si="21"/>
        <v xml:space="preserve"> </v>
      </c>
      <c r="O97" s="189"/>
      <c r="P97" s="189"/>
      <c r="Q97" s="189"/>
      <c r="R97" s="189" t="str">
        <f t="shared" si="19"/>
        <v xml:space="preserve"> </v>
      </c>
      <c r="S97" s="189"/>
      <c r="T97" s="217"/>
      <c r="U97" s="13"/>
      <c r="V97" s="217"/>
      <c r="W97" s="217"/>
      <c r="X97" s="16"/>
    </row>
    <row r="98" spans="1:27" ht="15" customHeight="1" x14ac:dyDescent="0.35">
      <c r="A98" s="227"/>
      <c r="B98" s="24"/>
      <c r="C98" s="206"/>
      <c r="D98" s="15"/>
      <c r="E98" s="15"/>
      <c r="F98" s="9">
        <v>696.08</v>
      </c>
      <c r="G98" s="29">
        <f t="shared" si="17"/>
        <v>0</v>
      </c>
      <c r="H98" s="11"/>
      <c r="I98" s="10"/>
      <c r="J98" s="29">
        <f t="shared" si="13"/>
        <v>0</v>
      </c>
      <c r="K98" s="29"/>
      <c r="L98" s="223">
        <f t="shared" si="22"/>
        <v>0</v>
      </c>
      <c r="M98" s="12"/>
      <c r="N98" s="218" t="str">
        <f t="shared" si="21"/>
        <v xml:space="preserve"> </v>
      </c>
      <c r="O98" s="189"/>
      <c r="P98" s="189"/>
      <c r="Q98" s="189"/>
      <c r="R98" s="189" t="str">
        <f t="shared" si="19"/>
        <v xml:space="preserve"> </v>
      </c>
      <c r="S98" s="189"/>
      <c r="T98" s="3"/>
      <c r="U98" s="13"/>
      <c r="V98" s="3"/>
      <c r="W98" s="3"/>
      <c r="X98" s="16"/>
      <c r="Y98" s="187"/>
      <c r="Z98" s="187"/>
      <c r="AA98" s="187"/>
    </row>
    <row r="99" spans="1:27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17"/>
        <v>0</v>
      </c>
      <c r="H99" s="11"/>
      <c r="I99" s="10"/>
      <c r="J99" s="29">
        <f t="shared" si="13"/>
        <v>0</v>
      </c>
      <c r="K99" s="29"/>
      <c r="L99" s="223">
        <f>(J99+G99)-K99</f>
        <v>0</v>
      </c>
      <c r="M99" s="12"/>
      <c r="N99" s="218" t="str">
        <f t="shared" si="21"/>
        <v xml:space="preserve"> </v>
      </c>
      <c r="O99" s="189"/>
      <c r="P99" s="189"/>
      <c r="Q99" s="189"/>
      <c r="R99" s="189" t="str">
        <f t="shared" si="19"/>
        <v xml:space="preserve"> </v>
      </c>
      <c r="S99" s="189"/>
      <c r="T99" s="3"/>
      <c r="U99" s="13"/>
      <c r="V99" s="3"/>
      <c r="W99" s="3"/>
      <c r="X99" s="16"/>
      <c r="Y99" s="187"/>
      <c r="Z99" s="187"/>
      <c r="AA99" s="187"/>
    </row>
    <row r="100" spans="1:27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17"/>
        <v>0</v>
      </c>
      <c r="H100" s="11"/>
      <c r="I100" s="10"/>
      <c r="J100" s="29">
        <f t="shared" si="13"/>
        <v>0</v>
      </c>
      <c r="K100" s="29"/>
      <c r="L100" s="223">
        <f>(J100+G100)-K100</f>
        <v>0</v>
      </c>
      <c r="M100" s="12"/>
      <c r="N100" s="218" t="str">
        <f t="shared" si="21"/>
        <v xml:space="preserve"> </v>
      </c>
      <c r="O100" s="189"/>
      <c r="P100" s="189"/>
      <c r="Q100" s="189"/>
      <c r="R100" s="189" t="str">
        <f t="shared" si="19"/>
        <v xml:space="preserve"> </v>
      </c>
      <c r="S100" s="189"/>
      <c r="T100" s="3"/>
      <c r="U100" s="13"/>
      <c r="V100" s="3"/>
      <c r="W100" s="3"/>
      <c r="X100" s="16"/>
    </row>
    <row r="101" spans="1:27" ht="16" x14ac:dyDescent="0.5">
      <c r="D101" s="21">
        <f>SUM(D4:D100)</f>
        <v>75</v>
      </c>
      <c r="E101" s="21">
        <f>SUM(E4:E100)</f>
        <v>65</v>
      </c>
      <c r="G101" s="198">
        <f>SUM(G4:G100)</f>
        <v>121930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121930</v>
      </c>
      <c r="M101" s="198"/>
      <c r="N101" s="218" t="str">
        <f t="shared" si="21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-7620</v>
      </c>
      <c r="S101" s="199">
        <f>SUM(S4:S100)</f>
        <v>0</v>
      </c>
    </row>
    <row r="102" spans="1:27" x14ac:dyDescent="0.35">
      <c r="D102" s="290">
        <f>D101+E101</f>
        <v>140</v>
      </c>
      <c r="E102" s="291"/>
      <c r="G102" s="22"/>
      <c r="I102" s="5"/>
      <c r="J102" s="22"/>
      <c r="K102" s="22"/>
    </row>
    <row r="103" spans="1:27" x14ac:dyDescent="0.35">
      <c r="I103" s="5"/>
      <c r="J103" s="6"/>
      <c r="K103" s="6"/>
    </row>
    <row r="108" spans="1:27" x14ac:dyDescent="0.35">
      <c r="C108" s="211" t="s">
        <v>82</v>
      </c>
    </row>
    <row r="109" spans="1:27" x14ac:dyDescent="0.35">
      <c r="C109" s="211" t="s">
        <v>103</v>
      </c>
    </row>
    <row r="110" spans="1:27" x14ac:dyDescent="0.35">
      <c r="C110" s="211" t="s">
        <v>82</v>
      </c>
    </row>
    <row r="111" spans="1:27" x14ac:dyDescent="0.35">
      <c r="C111" s="211" t="s">
        <v>15</v>
      </c>
    </row>
    <row r="112" spans="1:27" x14ac:dyDescent="0.35">
      <c r="C112" s="212" t="s">
        <v>100</v>
      </c>
    </row>
    <row r="113" spans="3:3" x14ac:dyDescent="0.35">
      <c r="C113" s="211" t="s">
        <v>81</v>
      </c>
    </row>
    <row r="114" spans="3:3" x14ac:dyDescent="0.35">
      <c r="C114" s="211" t="s">
        <v>82</v>
      </c>
    </row>
    <row r="115" spans="3:3" x14ac:dyDescent="0.35">
      <c r="C115" s="211" t="s">
        <v>82</v>
      </c>
    </row>
    <row r="116" spans="3:3" x14ac:dyDescent="0.35">
      <c r="C116" s="211" t="s">
        <v>82</v>
      </c>
    </row>
    <row r="117" spans="3:3" x14ac:dyDescent="0.35">
      <c r="C117" s="211" t="s">
        <v>103</v>
      </c>
    </row>
    <row r="118" spans="3:3" x14ac:dyDescent="0.35">
      <c r="C118" s="212"/>
    </row>
    <row r="119" spans="3:3" x14ac:dyDescent="0.35">
      <c r="C119" s="211"/>
    </row>
    <row r="120" spans="3:3" x14ac:dyDescent="0.35">
      <c r="C120" s="212" t="s">
        <v>112</v>
      </c>
    </row>
    <row r="121" spans="3:3" x14ac:dyDescent="0.35">
      <c r="C121" s="211" t="s">
        <v>102</v>
      </c>
    </row>
    <row r="122" spans="3:3" x14ac:dyDescent="0.35">
      <c r="C122" s="211" t="s">
        <v>15</v>
      </c>
    </row>
    <row r="123" spans="3:3" x14ac:dyDescent="0.35">
      <c r="C123" s="211"/>
    </row>
    <row r="124" spans="3:3" x14ac:dyDescent="0.35">
      <c r="C124" s="211"/>
    </row>
    <row r="125" spans="3:3" x14ac:dyDescent="0.35">
      <c r="C125" s="211" t="s">
        <v>82</v>
      </c>
    </row>
    <row r="126" spans="3:3" x14ac:dyDescent="0.35">
      <c r="C126" s="212" t="s">
        <v>100</v>
      </c>
    </row>
    <row r="127" spans="3:3" x14ac:dyDescent="0.35">
      <c r="C127" s="211" t="s">
        <v>82</v>
      </c>
    </row>
    <row r="128" spans="3:3" x14ac:dyDescent="0.35">
      <c r="C128" s="211" t="s">
        <v>81</v>
      </c>
    </row>
    <row r="129" spans="3:3" x14ac:dyDescent="0.35">
      <c r="C129" s="211" t="s">
        <v>115</v>
      </c>
    </row>
    <row r="130" spans="3:3" x14ac:dyDescent="0.35">
      <c r="C130" s="212" t="s">
        <v>101</v>
      </c>
    </row>
    <row r="131" spans="3:3" x14ac:dyDescent="0.35">
      <c r="C131" s="211" t="s">
        <v>82</v>
      </c>
    </row>
    <row r="132" spans="3:3" x14ac:dyDescent="0.35">
      <c r="C132" s="211" t="s">
        <v>111</v>
      </c>
    </row>
    <row r="133" spans="3:3" x14ac:dyDescent="0.35">
      <c r="C133" s="206"/>
    </row>
    <row r="134" spans="3:3" x14ac:dyDescent="0.35">
      <c r="C134" s="212"/>
    </row>
    <row r="135" spans="3:3" x14ac:dyDescent="0.35">
      <c r="C135" s="212" t="s">
        <v>101</v>
      </c>
    </row>
    <row r="136" spans="3:3" x14ac:dyDescent="0.35">
      <c r="C136" s="212" t="s">
        <v>15</v>
      </c>
    </row>
    <row r="137" spans="3:3" x14ac:dyDescent="0.35">
      <c r="C137" s="211" t="s">
        <v>81</v>
      </c>
    </row>
    <row r="138" spans="3:3" x14ac:dyDescent="0.35">
      <c r="C138" s="211" t="s">
        <v>103</v>
      </c>
    </row>
    <row r="1048434" spans="15:21" x14ac:dyDescent="0.35">
      <c r="O1048434" s="189"/>
      <c r="P1048434" s="189"/>
      <c r="Q1048434" s="189"/>
      <c r="R1048434" s="189"/>
      <c r="S1048434" s="189"/>
      <c r="U1048434" s="13"/>
    </row>
  </sheetData>
  <autoFilter ref="B3:AA102" xr:uid="{00000000-0009-0000-0000-000007000000}"/>
  <mergeCells count="15">
    <mergeCell ref="A2:A3"/>
    <mergeCell ref="V2:V3"/>
    <mergeCell ref="X2:X3"/>
    <mergeCell ref="T2:T3"/>
    <mergeCell ref="B2:B3"/>
    <mergeCell ref="C2:C3"/>
    <mergeCell ref="D2:G2"/>
    <mergeCell ref="H2:J2"/>
    <mergeCell ref="L2:L3"/>
    <mergeCell ref="O2:S2"/>
    <mergeCell ref="M2:M3"/>
    <mergeCell ref="O3:O4"/>
    <mergeCell ref="N2:N3"/>
    <mergeCell ref="K2:K3"/>
    <mergeCell ref="U2:U3"/>
  </mergeCells>
  <conditionalFormatting sqref="B2 B100:B1048576 A65 A93:A94 A82:A91 A75:A76 A78:A80 A67 A62:A63 A69 A40:A45 A51:A60">
    <cfRule type="containsText" dxfId="2409" priority="734" operator="containsText" text="OK">
      <formula>NOT(ISERROR(SEARCH("OK",A2)))</formula>
    </cfRule>
  </conditionalFormatting>
  <conditionalFormatting sqref="B2 B100:B1048576 A65 A93:A94 A82:A91 A75:A76 A78:A80 A67 A62:A63 A69 A40:A45 A51:A60">
    <cfRule type="containsText" dxfId="2408" priority="733" operator="containsText" text="ok">
      <formula>NOT(ISERROR(SEARCH("ok",A2)))</formula>
    </cfRule>
  </conditionalFormatting>
  <conditionalFormatting sqref="B54:B65 B67">
    <cfRule type="containsText" dxfId="2407" priority="664" operator="containsText" text="OK">
      <formula>NOT(ISERROR(SEARCH("OK",B54)))</formula>
    </cfRule>
  </conditionalFormatting>
  <conditionalFormatting sqref="B54:B65 B67">
    <cfRule type="containsText" dxfId="2406" priority="663" operator="containsText" text="ok">
      <formula>NOT(ISERROR(SEARCH("ok",B54)))</formula>
    </cfRule>
  </conditionalFormatting>
  <conditionalFormatting sqref="B91">
    <cfRule type="containsText" dxfId="2405" priority="594" operator="containsText" text="OK">
      <formula>NOT(ISERROR(SEARCH("OK",B91)))</formula>
    </cfRule>
  </conditionalFormatting>
  <conditionalFormatting sqref="B91">
    <cfRule type="containsText" dxfId="2404" priority="593" operator="containsText" text="ok">
      <formula>NOT(ISERROR(SEARCH("ok",B91)))</formula>
    </cfRule>
  </conditionalFormatting>
  <conditionalFormatting sqref="A2 A100:A1048576">
    <cfRule type="containsText" dxfId="2403" priority="576" operator="containsText" text="OK">
      <formula>NOT(ISERROR(SEARCH("OK",A2)))</formula>
    </cfRule>
  </conditionalFormatting>
  <conditionalFormatting sqref="A2 A100:A1048576">
    <cfRule type="containsText" dxfId="2402" priority="575" operator="containsText" text="ok">
      <formula>NOT(ISERROR(SEARCH("ok",A2)))</formula>
    </cfRule>
  </conditionalFormatting>
  <conditionalFormatting sqref="A95">
    <cfRule type="containsText" dxfId="2401" priority="476" operator="containsText" text="OK">
      <formula>NOT(ISERROR(SEARCH("OK",A95)))</formula>
    </cfRule>
  </conditionalFormatting>
  <conditionalFormatting sqref="A95">
    <cfRule type="containsText" dxfId="2400" priority="475" operator="containsText" text="ok">
      <formula>NOT(ISERROR(SEARCH("ok",A95)))</formula>
    </cfRule>
  </conditionalFormatting>
  <conditionalFormatting sqref="A96">
    <cfRule type="containsText" dxfId="2399" priority="474" operator="containsText" text="OK">
      <formula>NOT(ISERROR(SEARCH("OK",A96)))</formula>
    </cfRule>
  </conditionalFormatting>
  <conditionalFormatting sqref="A96">
    <cfRule type="containsText" dxfId="2398" priority="473" operator="containsText" text="ok">
      <formula>NOT(ISERROR(SEARCH("ok",A96)))</formula>
    </cfRule>
  </conditionalFormatting>
  <conditionalFormatting sqref="A97">
    <cfRule type="containsText" dxfId="2397" priority="472" operator="containsText" text="OK">
      <formula>NOT(ISERROR(SEARCH("OK",A97)))</formula>
    </cfRule>
  </conditionalFormatting>
  <conditionalFormatting sqref="A97">
    <cfRule type="containsText" dxfId="2396" priority="471" operator="containsText" text="ok">
      <formula>NOT(ISERROR(SEARCH("ok",A97)))</formula>
    </cfRule>
  </conditionalFormatting>
  <conditionalFormatting sqref="A98">
    <cfRule type="containsText" dxfId="2395" priority="470" operator="containsText" text="OK">
      <formula>NOT(ISERROR(SEARCH("OK",A98)))</formula>
    </cfRule>
  </conditionalFormatting>
  <conditionalFormatting sqref="A98">
    <cfRule type="containsText" dxfId="2394" priority="469" operator="containsText" text="ok">
      <formula>NOT(ISERROR(SEARCH("ok",A98)))</formula>
    </cfRule>
  </conditionalFormatting>
  <conditionalFormatting sqref="A99">
    <cfRule type="containsText" dxfId="2393" priority="468" operator="containsText" text="OK">
      <formula>NOT(ISERROR(SEARCH("OK",A99)))</formula>
    </cfRule>
  </conditionalFormatting>
  <conditionalFormatting sqref="A99">
    <cfRule type="containsText" dxfId="2392" priority="467" operator="containsText" text="ok">
      <formula>NOT(ISERROR(SEARCH("ok",A99)))</formula>
    </cfRule>
  </conditionalFormatting>
  <conditionalFormatting sqref="B87">
    <cfRule type="containsText" dxfId="2391" priority="426" operator="containsText" text="OK">
      <formula>NOT(ISERROR(SEARCH("OK",B87)))</formula>
    </cfRule>
  </conditionalFormatting>
  <conditionalFormatting sqref="B87">
    <cfRule type="containsText" dxfId="2390" priority="425" operator="containsText" text="ok">
      <formula>NOT(ISERROR(SEARCH("ok",B87)))</formula>
    </cfRule>
  </conditionalFormatting>
  <conditionalFormatting sqref="B82">
    <cfRule type="containsText" dxfId="2389" priority="396" operator="containsText" text="OK">
      <formula>NOT(ISERROR(SEARCH("OK",B82)))</formula>
    </cfRule>
  </conditionalFormatting>
  <conditionalFormatting sqref="B82">
    <cfRule type="containsText" dxfId="2388" priority="395" operator="containsText" text="ok">
      <formula>NOT(ISERROR(SEARCH("ok",B82)))</formula>
    </cfRule>
  </conditionalFormatting>
  <conditionalFormatting sqref="B83">
    <cfRule type="containsText" dxfId="2387" priority="394" operator="containsText" text="OK">
      <formula>NOT(ISERROR(SEARCH("OK",B83)))</formula>
    </cfRule>
  </conditionalFormatting>
  <conditionalFormatting sqref="B83">
    <cfRule type="containsText" dxfId="2386" priority="393" operator="containsText" text="ok">
      <formula>NOT(ISERROR(SEARCH("ok",B83)))</formula>
    </cfRule>
  </conditionalFormatting>
  <conditionalFormatting sqref="B84">
    <cfRule type="containsText" dxfId="2385" priority="392" operator="containsText" text="OK">
      <formula>NOT(ISERROR(SEARCH("OK",B84)))</formula>
    </cfRule>
  </conditionalFormatting>
  <conditionalFormatting sqref="B84">
    <cfRule type="containsText" dxfId="2384" priority="391" operator="containsText" text="ok">
      <formula>NOT(ISERROR(SEARCH("ok",B84)))</formula>
    </cfRule>
  </conditionalFormatting>
  <conditionalFormatting sqref="B85">
    <cfRule type="containsText" dxfId="2383" priority="390" operator="containsText" text="OK">
      <formula>NOT(ISERROR(SEARCH("OK",B85)))</formula>
    </cfRule>
  </conditionalFormatting>
  <conditionalFormatting sqref="B85">
    <cfRule type="containsText" dxfId="2382" priority="389" operator="containsText" text="ok">
      <formula>NOT(ISERROR(SEARCH("ok",B85)))</formula>
    </cfRule>
  </conditionalFormatting>
  <conditionalFormatting sqref="B86">
    <cfRule type="containsText" dxfId="2381" priority="388" operator="containsText" text="OK">
      <formula>NOT(ISERROR(SEARCH("OK",B86)))</formula>
    </cfRule>
  </conditionalFormatting>
  <conditionalFormatting sqref="B86">
    <cfRule type="containsText" dxfId="2380" priority="387" operator="containsText" text="ok">
      <formula>NOT(ISERROR(SEARCH("ok",B86)))</formula>
    </cfRule>
  </conditionalFormatting>
  <conditionalFormatting sqref="A45">
    <cfRule type="containsText" dxfId="2379" priority="374" operator="containsText" text="OK">
      <formula>NOT(ISERROR(SEARCH("OK",A45)))</formula>
    </cfRule>
  </conditionalFormatting>
  <conditionalFormatting sqref="A45">
    <cfRule type="containsText" dxfId="2378" priority="373" operator="containsText" text="ok">
      <formula>NOT(ISERROR(SEARCH("ok",A45)))</formula>
    </cfRule>
  </conditionalFormatting>
  <conditionalFormatting sqref="B69">
    <cfRule type="containsText" dxfId="2377" priority="358" operator="containsText" text="OK">
      <formula>NOT(ISERROR(SEARCH("OK",B69)))</formula>
    </cfRule>
  </conditionalFormatting>
  <conditionalFormatting sqref="B69">
    <cfRule type="containsText" dxfId="2376" priority="357" operator="containsText" text="ok">
      <formula>NOT(ISERROR(SEARCH("ok",B69)))</formula>
    </cfRule>
  </conditionalFormatting>
  <conditionalFormatting sqref="B88">
    <cfRule type="containsText" dxfId="2375" priority="342" operator="containsText" text="OK">
      <formula>NOT(ISERROR(SEARCH("OK",B88)))</formula>
    </cfRule>
  </conditionalFormatting>
  <conditionalFormatting sqref="B88">
    <cfRule type="containsText" dxfId="2374" priority="341" operator="containsText" text="ok">
      <formula>NOT(ISERROR(SEARCH("ok",B88)))</formula>
    </cfRule>
  </conditionalFormatting>
  <conditionalFormatting sqref="A92">
    <cfRule type="containsText" dxfId="2373" priority="340" operator="containsText" text="OK">
      <formula>NOT(ISERROR(SEARCH("OK",A92)))</formula>
    </cfRule>
  </conditionalFormatting>
  <conditionalFormatting sqref="A92">
    <cfRule type="containsText" dxfId="2372" priority="339" operator="containsText" text="ok">
      <formula>NOT(ISERROR(SEARCH("ok",A92)))</formula>
    </cfRule>
  </conditionalFormatting>
  <conditionalFormatting sqref="B87">
    <cfRule type="containsText" dxfId="2371" priority="336" operator="containsText" text="OK">
      <formula>NOT(ISERROR(SEARCH("OK",B87)))</formula>
    </cfRule>
  </conditionalFormatting>
  <conditionalFormatting sqref="B87">
    <cfRule type="containsText" dxfId="2370" priority="335" operator="containsText" text="ok">
      <formula>NOT(ISERROR(SEARCH("ok",B87)))</formula>
    </cfRule>
  </conditionalFormatting>
  <conditionalFormatting sqref="B83">
    <cfRule type="containsText" dxfId="2369" priority="334" operator="containsText" text="OK">
      <formula>NOT(ISERROR(SEARCH("OK",B83)))</formula>
    </cfRule>
  </conditionalFormatting>
  <conditionalFormatting sqref="B83">
    <cfRule type="containsText" dxfId="2368" priority="333" operator="containsText" text="ok">
      <formula>NOT(ISERROR(SEARCH("ok",B83)))</formula>
    </cfRule>
  </conditionalFormatting>
  <conditionalFormatting sqref="B84">
    <cfRule type="containsText" dxfId="2367" priority="332" operator="containsText" text="OK">
      <formula>NOT(ISERROR(SEARCH("OK",B84)))</formula>
    </cfRule>
  </conditionalFormatting>
  <conditionalFormatting sqref="B84">
    <cfRule type="containsText" dxfId="2366" priority="331" operator="containsText" text="ok">
      <formula>NOT(ISERROR(SEARCH("ok",B84)))</formula>
    </cfRule>
  </conditionalFormatting>
  <conditionalFormatting sqref="A88">
    <cfRule type="containsText" dxfId="2365" priority="330" operator="containsText" text="OK">
      <formula>NOT(ISERROR(SEARCH("OK",A88)))</formula>
    </cfRule>
  </conditionalFormatting>
  <conditionalFormatting sqref="A88">
    <cfRule type="containsText" dxfId="2364" priority="329" operator="containsText" text="ok">
      <formula>NOT(ISERROR(SEARCH("ok",A88)))</formula>
    </cfRule>
  </conditionalFormatting>
  <conditionalFormatting sqref="A81">
    <cfRule type="containsText" dxfId="2363" priority="328" operator="containsText" text="OK">
      <formula>NOT(ISERROR(SEARCH("OK",A81)))</formula>
    </cfRule>
  </conditionalFormatting>
  <conditionalFormatting sqref="A81">
    <cfRule type="containsText" dxfId="2362" priority="327" operator="containsText" text="ok">
      <formula>NOT(ISERROR(SEARCH("ok",A81)))</formula>
    </cfRule>
  </conditionalFormatting>
  <conditionalFormatting sqref="B81">
    <cfRule type="containsText" dxfId="2361" priority="326" operator="containsText" text="OK">
      <formula>NOT(ISERROR(SEARCH("OK",B81)))</formula>
    </cfRule>
  </conditionalFormatting>
  <conditionalFormatting sqref="B81">
    <cfRule type="containsText" dxfId="2360" priority="325" operator="containsText" text="ok">
      <formula>NOT(ISERROR(SEARCH("ok",B81)))</formula>
    </cfRule>
  </conditionalFormatting>
  <conditionalFormatting sqref="A61">
    <cfRule type="containsText" dxfId="2359" priority="320" operator="containsText" text="OK">
      <formula>NOT(ISERROR(SEARCH("OK",A61)))</formula>
    </cfRule>
  </conditionalFormatting>
  <conditionalFormatting sqref="A61">
    <cfRule type="containsText" dxfId="2358" priority="319" operator="containsText" text="ok">
      <formula>NOT(ISERROR(SEARCH("ok",A61)))</formula>
    </cfRule>
  </conditionalFormatting>
  <conditionalFormatting sqref="B66">
    <cfRule type="containsText" dxfId="2357" priority="314" operator="containsText" text="OK">
      <formula>NOT(ISERROR(SEARCH("OK",B66)))</formula>
    </cfRule>
  </conditionalFormatting>
  <conditionalFormatting sqref="B66">
    <cfRule type="containsText" dxfId="2356" priority="313" operator="containsText" text="ok">
      <formula>NOT(ISERROR(SEARCH("ok",B66)))</formula>
    </cfRule>
  </conditionalFormatting>
  <conditionalFormatting sqref="A66">
    <cfRule type="containsText" dxfId="2355" priority="316" operator="containsText" text="OK">
      <formula>NOT(ISERROR(SEARCH("OK",A66)))</formula>
    </cfRule>
  </conditionalFormatting>
  <conditionalFormatting sqref="A66">
    <cfRule type="containsText" dxfId="2354" priority="315" operator="containsText" text="ok">
      <formula>NOT(ISERROR(SEARCH("ok",A66)))</formula>
    </cfRule>
  </conditionalFormatting>
  <conditionalFormatting sqref="B75">
    <cfRule type="containsText" dxfId="2353" priority="308" operator="containsText" text="OK">
      <formula>NOT(ISERROR(SEARCH("OK",B75)))</formula>
    </cfRule>
  </conditionalFormatting>
  <conditionalFormatting sqref="B75">
    <cfRule type="containsText" dxfId="2352" priority="307" operator="containsText" text="ok">
      <formula>NOT(ISERROR(SEARCH("ok",B75)))</formula>
    </cfRule>
  </conditionalFormatting>
  <conditionalFormatting sqref="B74">
    <cfRule type="containsText" dxfId="2351" priority="310" operator="containsText" text="OK">
      <formula>NOT(ISERROR(SEARCH("OK",B74)))</formula>
    </cfRule>
  </conditionalFormatting>
  <conditionalFormatting sqref="B74">
    <cfRule type="containsText" dxfId="2350" priority="309" operator="containsText" text="ok">
      <formula>NOT(ISERROR(SEARCH("ok",B74)))</formula>
    </cfRule>
  </conditionalFormatting>
  <conditionalFormatting sqref="B76">
    <cfRule type="containsText" dxfId="2349" priority="306" operator="containsText" text="OK">
      <formula>NOT(ISERROR(SEARCH("OK",B76)))</formula>
    </cfRule>
  </conditionalFormatting>
  <conditionalFormatting sqref="B76">
    <cfRule type="containsText" dxfId="2348" priority="305" operator="containsText" text="ok">
      <formula>NOT(ISERROR(SEARCH("ok",B76)))</formula>
    </cfRule>
  </conditionalFormatting>
  <conditionalFormatting sqref="B77">
    <cfRule type="containsText" dxfId="2347" priority="304" operator="containsText" text="OK">
      <formula>NOT(ISERROR(SEARCH("OK",B77)))</formula>
    </cfRule>
  </conditionalFormatting>
  <conditionalFormatting sqref="B77">
    <cfRule type="containsText" dxfId="2346" priority="303" operator="containsText" text="ok">
      <formula>NOT(ISERROR(SEARCH("ok",B77)))</formula>
    </cfRule>
  </conditionalFormatting>
  <conditionalFormatting sqref="B78">
    <cfRule type="containsText" dxfId="2345" priority="302" operator="containsText" text="OK">
      <formula>NOT(ISERROR(SEARCH("OK",B78)))</formula>
    </cfRule>
  </conditionalFormatting>
  <conditionalFormatting sqref="B78">
    <cfRule type="containsText" dxfId="2344" priority="301" operator="containsText" text="ok">
      <formula>NOT(ISERROR(SEARCH("ok",B78)))</formula>
    </cfRule>
  </conditionalFormatting>
  <conditionalFormatting sqref="A77">
    <cfRule type="containsText" dxfId="2343" priority="300" operator="containsText" text="OK">
      <formula>NOT(ISERROR(SEARCH("OK",A77)))</formula>
    </cfRule>
  </conditionalFormatting>
  <conditionalFormatting sqref="A77">
    <cfRule type="containsText" dxfId="2342" priority="299" operator="containsText" text="ok">
      <formula>NOT(ISERROR(SEARCH("ok",A77)))</formula>
    </cfRule>
  </conditionalFormatting>
  <conditionalFormatting sqref="A74">
    <cfRule type="containsText" dxfId="2341" priority="284" operator="containsText" text="OK">
      <formula>NOT(ISERROR(SEARCH("OK",A74)))</formula>
    </cfRule>
  </conditionalFormatting>
  <conditionalFormatting sqref="A74">
    <cfRule type="containsText" dxfId="2340" priority="283" operator="containsText" text="ok">
      <formula>NOT(ISERROR(SEARCH("ok",A74)))</formula>
    </cfRule>
  </conditionalFormatting>
  <conditionalFormatting sqref="A44">
    <cfRule type="containsText" dxfId="2339" priority="282" operator="containsText" text="OK">
      <formula>NOT(ISERROR(SEARCH("OK",A44)))</formula>
    </cfRule>
  </conditionalFormatting>
  <conditionalFormatting sqref="A44">
    <cfRule type="containsText" dxfId="2338" priority="281" operator="containsText" text="ok">
      <formula>NOT(ISERROR(SEARCH("ok",A44)))</formula>
    </cfRule>
  </conditionalFormatting>
  <conditionalFormatting sqref="A64">
    <cfRule type="containsText" dxfId="2337" priority="278" operator="containsText" text="OK">
      <formula>NOT(ISERROR(SEARCH("OK",A64)))</formula>
    </cfRule>
  </conditionalFormatting>
  <conditionalFormatting sqref="A64">
    <cfRule type="containsText" dxfId="2336" priority="277" operator="containsText" text="ok">
      <formula>NOT(ISERROR(SEARCH("ok",A64)))</formula>
    </cfRule>
  </conditionalFormatting>
  <conditionalFormatting sqref="A46">
    <cfRule type="containsText" dxfId="2335" priority="254" operator="containsText" text="OK">
      <formula>NOT(ISERROR(SEARCH("OK",A46)))</formula>
    </cfRule>
  </conditionalFormatting>
  <conditionalFormatting sqref="A46">
    <cfRule type="containsText" dxfId="2334" priority="253" operator="containsText" text="ok">
      <formula>NOT(ISERROR(SEARCH("ok",A46)))</formula>
    </cfRule>
  </conditionalFormatting>
  <conditionalFormatting sqref="A68">
    <cfRule type="containsText" dxfId="2333" priority="250" operator="containsText" text="OK">
      <formula>NOT(ISERROR(SEARCH("OK",A68)))</formula>
    </cfRule>
  </conditionalFormatting>
  <conditionalFormatting sqref="A68">
    <cfRule type="containsText" dxfId="2332" priority="249" operator="containsText" text="ok">
      <formula>NOT(ISERROR(SEARCH("ok",A68)))</formula>
    </cfRule>
  </conditionalFormatting>
  <conditionalFormatting sqref="B68">
    <cfRule type="containsText" dxfId="2331" priority="248" operator="containsText" text="OK">
      <formula>NOT(ISERROR(SEARCH("OK",B68)))</formula>
    </cfRule>
  </conditionalFormatting>
  <conditionalFormatting sqref="B68">
    <cfRule type="containsText" dxfId="2330" priority="247" operator="containsText" text="ok">
      <formula>NOT(ISERROR(SEARCH("ok",B68)))</formula>
    </cfRule>
  </conditionalFormatting>
  <conditionalFormatting sqref="A66">
    <cfRule type="containsText" dxfId="2329" priority="246" operator="containsText" text="OK">
      <formula>NOT(ISERROR(SEARCH("OK",A66)))</formula>
    </cfRule>
  </conditionalFormatting>
  <conditionalFormatting sqref="A66">
    <cfRule type="containsText" dxfId="2328" priority="245" operator="containsText" text="ok">
      <formula>NOT(ISERROR(SEARCH("ok",A66)))</formula>
    </cfRule>
  </conditionalFormatting>
  <conditionalFormatting sqref="B66">
    <cfRule type="containsText" dxfId="2327" priority="244" operator="containsText" text="OK">
      <formula>NOT(ISERROR(SEARCH("OK",B66)))</formula>
    </cfRule>
  </conditionalFormatting>
  <conditionalFormatting sqref="B66">
    <cfRule type="containsText" dxfId="2326" priority="243" operator="containsText" text="ok">
      <formula>NOT(ISERROR(SEARCH("ok",B66)))</formula>
    </cfRule>
  </conditionalFormatting>
  <conditionalFormatting sqref="B65">
    <cfRule type="containsText" dxfId="2325" priority="240" operator="containsText" text="OK">
      <formula>NOT(ISERROR(SEARCH("OK",B65)))</formula>
    </cfRule>
  </conditionalFormatting>
  <conditionalFormatting sqref="B65">
    <cfRule type="containsText" dxfId="2324" priority="239" operator="containsText" text="ok">
      <formula>NOT(ISERROR(SEARCH("ok",B65)))</formula>
    </cfRule>
  </conditionalFormatting>
  <conditionalFormatting sqref="A65">
    <cfRule type="containsText" dxfId="2323" priority="242" operator="containsText" text="OK">
      <formula>NOT(ISERROR(SEARCH("OK",A65)))</formula>
    </cfRule>
  </conditionalFormatting>
  <conditionalFormatting sqref="A65">
    <cfRule type="containsText" dxfId="2322" priority="241" operator="containsText" text="ok">
      <formula>NOT(ISERROR(SEARCH("ok",A65)))</formula>
    </cfRule>
  </conditionalFormatting>
  <conditionalFormatting sqref="A67">
    <cfRule type="containsText" dxfId="2321" priority="238" operator="containsText" text="OK">
      <formula>NOT(ISERROR(SEARCH("OK",A67)))</formula>
    </cfRule>
  </conditionalFormatting>
  <conditionalFormatting sqref="A67">
    <cfRule type="containsText" dxfId="2320" priority="237" operator="containsText" text="ok">
      <formula>NOT(ISERROR(SEARCH("ok",A67)))</formula>
    </cfRule>
  </conditionalFormatting>
  <conditionalFormatting sqref="B67">
    <cfRule type="containsText" dxfId="2319" priority="236" operator="containsText" text="OK">
      <formula>NOT(ISERROR(SEARCH("OK",B67)))</formula>
    </cfRule>
  </conditionalFormatting>
  <conditionalFormatting sqref="B67">
    <cfRule type="containsText" dxfId="2318" priority="235" operator="containsText" text="ok">
      <formula>NOT(ISERROR(SEARCH("ok",B67)))</formula>
    </cfRule>
  </conditionalFormatting>
  <conditionalFormatting sqref="B70">
    <cfRule type="containsText" dxfId="2317" priority="234" operator="containsText" text="OK">
      <formula>NOT(ISERROR(SEARCH("OK",B70)))</formula>
    </cfRule>
  </conditionalFormatting>
  <conditionalFormatting sqref="B70">
    <cfRule type="containsText" dxfId="2316" priority="233" operator="containsText" text="ok">
      <formula>NOT(ISERROR(SEARCH("ok",B70)))</formula>
    </cfRule>
  </conditionalFormatting>
  <conditionalFormatting sqref="A70">
    <cfRule type="containsText" dxfId="2315" priority="232" operator="containsText" text="OK">
      <formula>NOT(ISERROR(SEARCH("OK",A70)))</formula>
    </cfRule>
  </conditionalFormatting>
  <conditionalFormatting sqref="A70">
    <cfRule type="containsText" dxfId="2314" priority="231" operator="containsText" text="ok">
      <formula>NOT(ISERROR(SEARCH("ok",A70)))</formula>
    </cfRule>
  </conditionalFormatting>
  <conditionalFormatting sqref="A71">
    <cfRule type="containsText" dxfId="2313" priority="230" operator="containsText" text="OK">
      <formula>NOT(ISERROR(SEARCH("OK",A71)))</formula>
    </cfRule>
  </conditionalFormatting>
  <conditionalFormatting sqref="A71">
    <cfRule type="containsText" dxfId="2312" priority="229" operator="containsText" text="ok">
      <formula>NOT(ISERROR(SEARCH("ok",A71)))</formula>
    </cfRule>
  </conditionalFormatting>
  <conditionalFormatting sqref="B71">
    <cfRule type="containsText" dxfId="2311" priority="228" operator="containsText" text="OK">
      <formula>NOT(ISERROR(SEARCH("OK",B71)))</formula>
    </cfRule>
  </conditionalFormatting>
  <conditionalFormatting sqref="B71">
    <cfRule type="containsText" dxfId="2310" priority="227" operator="containsText" text="ok">
      <formula>NOT(ISERROR(SEARCH("ok",B71)))</formula>
    </cfRule>
  </conditionalFormatting>
  <conditionalFormatting sqref="A71">
    <cfRule type="containsText" dxfId="2309" priority="226" operator="containsText" text="OK">
      <formula>NOT(ISERROR(SEARCH("OK",A71)))</formula>
    </cfRule>
  </conditionalFormatting>
  <conditionalFormatting sqref="A71">
    <cfRule type="containsText" dxfId="2308" priority="225" operator="containsText" text="ok">
      <formula>NOT(ISERROR(SEARCH("ok",A71)))</formula>
    </cfRule>
  </conditionalFormatting>
  <conditionalFormatting sqref="B71">
    <cfRule type="containsText" dxfId="2307" priority="224" operator="containsText" text="OK">
      <formula>NOT(ISERROR(SEARCH("OK",B71)))</formula>
    </cfRule>
  </conditionalFormatting>
  <conditionalFormatting sqref="B71">
    <cfRule type="containsText" dxfId="2306" priority="223" operator="containsText" text="ok">
      <formula>NOT(ISERROR(SEARCH("ok",B71)))</formula>
    </cfRule>
  </conditionalFormatting>
  <conditionalFormatting sqref="A72">
    <cfRule type="containsText" dxfId="2305" priority="222" operator="containsText" text="OK">
      <formula>NOT(ISERROR(SEARCH("OK",A72)))</formula>
    </cfRule>
  </conditionalFormatting>
  <conditionalFormatting sqref="A72">
    <cfRule type="containsText" dxfId="2304" priority="221" operator="containsText" text="ok">
      <formula>NOT(ISERROR(SEARCH("ok",A72)))</formula>
    </cfRule>
  </conditionalFormatting>
  <conditionalFormatting sqref="B72">
    <cfRule type="containsText" dxfId="2303" priority="220" operator="containsText" text="OK">
      <formula>NOT(ISERROR(SEARCH("OK",B72)))</formula>
    </cfRule>
  </conditionalFormatting>
  <conditionalFormatting sqref="B72">
    <cfRule type="containsText" dxfId="2302" priority="219" operator="containsText" text="ok">
      <formula>NOT(ISERROR(SEARCH("ok",B72)))</formula>
    </cfRule>
  </conditionalFormatting>
  <conditionalFormatting sqref="B73">
    <cfRule type="containsText" dxfId="2301" priority="216" operator="containsText" text="OK">
      <formula>NOT(ISERROR(SEARCH("OK",B73)))</formula>
    </cfRule>
  </conditionalFormatting>
  <conditionalFormatting sqref="B73">
    <cfRule type="containsText" dxfId="2300" priority="215" operator="containsText" text="ok">
      <formula>NOT(ISERROR(SEARCH("ok",B73)))</formula>
    </cfRule>
  </conditionalFormatting>
  <conditionalFormatting sqref="A73">
    <cfRule type="containsText" dxfId="2299" priority="218" operator="containsText" text="OK">
      <formula>NOT(ISERROR(SEARCH("OK",A73)))</formula>
    </cfRule>
  </conditionalFormatting>
  <conditionalFormatting sqref="A73">
    <cfRule type="containsText" dxfId="2298" priority="217" operator="containsText" text="ok">
      <formula>NOT(ISERROR(SEARCH("ok",A73)))</formula>
    </cfRule>
  </conditionalFormatting>
  <conditionalFormatting sqref="A73">
    <cfRule type="containsText" dxfId="2297" priority="214" operator="containsText" text="OK">
      <formula>NOT(ISERROR(SEARCH("OK",A73)))</formula>
    </cfRule>
  </conditionalFormatting>
  <conditionalFormatting sqref="A73">
    <cfRule type="containsText" dxfId="2296" priority="213" operator="containsText" text="ok">
      <formula>NOT(ISERROR(SEARCH("ok",A73)))</formula>
    </cfRule>
  </conditionalFormatting>
  <conditionalFormatting sqref="B73">
    <cfRule type="containsText" dxfId="2295" priority="212" operator="containsText" text="OK">
      <formula>NOT(ISERROR(SEARCH("OK",B73)))</formula>
    </cfRule>
  </conditionalFormatting>
  <conditionalFormatting sqref="B73">
    <cfRule type="containsText" dxfId="2294" priority="211" operator="containsText" text="ok">
      <formula>NOT(ISERROR(SEARCH("ok",B73)))</formula>
    </cfRule>
  </conditionalFormatting>
  <conditionalFormatting sqref="B72">
    <cfRule type="containsText" dxfId="2293" priority="208" operator="containsText" text="OK">
      <formula>NOT(ISERROR(SEARCH("OK",B72)))</formula>
    </cfRule>
  </conditionalFormatting>
  <conditionalFormatting sqref="B72">
    <cfRule type="containsText" dxfId="2292" priority="207" operator="containsText" text="ok">
      <formula>NOT(ISERROR(SEARCH("ok",B72)))</formula>
    </cfRule>
  </conditionalFormatting>
  <conditionalFormatting sqref="A72">
    <cfRule type="containsText" dxfId="2291" priority="210" operator="containsText" text="OK">
      <formula>NOT(ISERROR(SEARCH("OK",A72)))</formula>
    </cfRule>
  </conditionalFormatting>
  <conditionalFormatting sqref="A72">
    <cfRule type="containsText" dxfId="2290" priority="209" operator="containsText" text="ok">
      <formula>NOT(ISERROR(SEARCH("ok",A72)))</formula>
    </cfRule>
  </conditionalFormatting>
  <conditionalFormatting sqref="A46">
    <cfRule type="containsText" dxfId="2289" priority="158" operator="containsText" text="OK">
      <formula>NOT(ISERROR(SEARCH("OK",A46)))</formula>
    </cfRule>
  </conditionalFormatting>
  <conditionalFormatting sqref="A46">
    <cfRule type="containsText" dxfId="2288" priority="157" operator="containsText" text="ok">
      <formula>NOT(ISERROR(SEARCH("ok",A46)))</formula>
    </cfRule>
  </conditionalFormatting>
  <conditionalFormatting sqref="A44">
    <cfRule type="containsText" dxfId="2287" priority="156" operator="containsText" text="OK">
      <formula>NOT(ISERROR(SEARCH("OK",A44)))</formula>
    </cfRule>
  </conditionalFormatting>
  <conditionalFormatting sqref="A44">
    <cfRule type="containsText" dxfId="2286" priority="155" operator="containsText" text="ok">
      <formula>NOT(ISERROR(SEARCH("ok",A44)))</formula>
    </cfRule>
  </conditionalFormatting>
  <conditionalFormatting sqref="A43">
    <cfRule type="containsText" dxfId="2285" priority="154" operator="containsText" text="OK">
      <formula>NOT(ISERROR(SEARCH("OK",A43)))</formula>
    </cfRule>
  </conditionalFormatting>
  <conditionalFormatting sqref="A43">
    <cfRule type="containsText" dxfId="2284" priority="153" operator="containsText" text="ok">
      <formula>NOT(ISERROR(SEARCH("ok",A43)))</formula>
    </cfRule>
  </conditionalFormatting>
  <conditionalFormatting sqref="A45">
    <cfRule type="containsText" dxfId="2283" priority="152" operator="containsText" text="OK">
      <formula>NOT(ISERROR(SEARCH("OK",A45)))</formula>
    </cfRule>
  </conditionalFormatting>
  <conditionalFormatting sqref="A45">
    <cfRule type="containsText" dxfId="2282" priority="151" operator="containsText" text="ok">
      <formula>NOT(ISERROR(SEARCH("ok",A45)))</formula>
    </cfRule>
  </conditionalFormatting>
  <conditionalFormatting sqref="A46">
    <cfRule type="containsText" dxfId="2281" priority="150" operator="containsText" text="OK">
      <formula>NOT(ISERROR(SEARCH("OK",A46)))</formula>
    </cfRule>
  </conditionalFormatting>
  <conditionalFormatting sqref="A46">
    <cfRule type="containsText" dxfId="2280" priority="149" operator="containsText" text="ok">
      <formula>NOT(ISERROR(SEARCH("ok",A46)))</formula>
    </cfRule>
  </conditionalFormatting>
  <conditionalFormatting sqref="A46">
    <cfRule type="containsText" dxfId="2279" priority="148" operator="containsText" text="OK">
      <formula>NOT(ISERROR(SEARCH("OK",A46)))</formula>
    </cfRule>
  </conditionalFormatting>
  <conditionalFormatting sqref="A46">
    <cfRule type="containsText" dxfId="2278" priority="147" operator="containsText" text="ok">
      <formula>NOT(ISERROR(SEARCH("ok",A46)))</formula>
    </cfRule>
  </conditionalFormatting>
  <conditionalFormatting sqref="A45">
    <cfRule type="containsText" dxfId="2277" priority="146" operator="containsText" text="OK">
      <formula>NOT(ISERROR(SEARCH("OK",A45)))</formula>
    </cfRule>
  </conditionalFormatting>
  <conditionalFormatting sqref="A45">
    <cfRule type="containsText" dxfId="2276" priority="145" operator="containsText" text="ok">
      <formula>NOT(ISERROR(SEARCH("ok",A45)))</formula>
    </cfRule>
  </conditionalFormatting>
  <conditionalFormatting sqref="A7 A35:A36 A24:A33 A17:A18 A20:A22 A9 A4:A5 A11">
    <cfRule type="containsText" dxfId="2275" priority="138" operator="containsText" text="OK">
      <formula>NOT(ISERROR(SEARCH("OK",A4)))</formula>
    </cfRule>
  </conditionalFormatting>
  <conditionalFormatting sqref="A7 A35:A36 A24:A33 A17:A18 A20:A22 A9 A4:A5 A11">
    <cfRule type="containsText" dxfId="2274" priority="137" operator="containsText" text="ok">
      <formula>NOT(ISERROR(SEARCH("ok",A4)))</formula>
    </cfRule>
  </conditionalFormatting>
  <conditionalFormatting sqref="B4:B7 B9">
    <cfRule type="containsText" dxfId="2273" priority="136" operator="containsText" text="OK">
      <formula>NOT(ISERROR(SEARCH("OK",B4)))</formula>
    </cfRule>
  </conditionalFormatting>
  <conditionalFormatting sqref="B4:B7 B9">
    <cfRule type="containsText" dxfId="2272" priority="135" operator="containsText" text="ok">
      <formula>NOT(ISERROR(SEARCH("ok",B4)))</formula>
    </cfRule>
  </conditionalFormatting>
  <conditionalFormatting sqref="B33">
    <cfRule type="containsText" dxfId="2271" priority="134" operator="containsText" text="OK">
      <formula>NOT(ISERROR(SEARCH("OK",B33)))</formula>
    </cfRule>
  </conditionalFormatting>
  <conditionalFormatting sqref="B33">
    <cfRule type="containsText" dxfId="2270" priority="133" operator="containsText" text="ok">
      <formula>NOT(ISERROR(SEARCH("ok",B33)))</formula>
    </cfRule>
  </conditionalFormatting>
  <conditionalFormatting sqref="A37">
    <cfRule type="containsText" dxfId="2269" priority="132" operator="containsText" text="OK">
      <formula>NOT(ISERROR(SEARCH("OK",A37)))</formula>
    </cfRule>
  </conditionalFormatting>
  <conditionalFormatting sqref="A37">
    <cfRule type="containsText" dxfId="2268" priority="131" operator="containsText" text="ok">
      <formula>NOT(ISERROR(SEARCH("ok",A37)))</formula>
    </cfRule>
  </conditionalFormatting>
  <conditionalFormatting sqref="A38">
    <cfRule type="containsText" dxfId="2267" priority="130" operator="containsText" text="OK">
      <formula>NOT(ISERROR(SEARCH("OK",A38)))</formula>
    </cfRule>
  </conditionalFormatting>
  <conditionalFormatting sqref="A38">
    <cfRule type="containsText" dxfId="2266" priority="129" operator="containsText" text="ok">
      <formula>NOT(ISERROR(SEARCH("ok",A38)))</formula>
    </cfRule>
  </conditionalFormatting>
  <conditionalFormatting sqref="A39">
    <cfRule type="containsText" dxfId="2265" priority="128" operator="containsText" text="OK">
      <formula>NOT(ISERROR(SEARCH("OK",A39)))</formula>
    </cfRule>
  </conditionalFormatting>
  <conditionalFormatting sqref="A39">
    <cfRule type="containsText" dxfId="2264" priority="127" operator="containsText" text="ok">
      <formula>NOT(ISERROR(SEARCH("ok",A39)))</formula>
    </cfRule>
  </conditionalFormatting>
  <conditionalFormatting sqref="B29">
    <cfRule type="containsText" dxfId="2263" priority="126" operator="containsText" text="OK">
      <formula>NOT(ISERROR(SEARCH("OK",B29)))</formula>
    </cfRule>
  </conditionalFormatting>
  <conditionalFormatting sqref="B29">
    <cfRule type="containsText" dxfId="2262" priority="125" operator="containsText" text="ok">
      <formula>NOT(ISERROR(SEARCH("ok",B29)))</formula>
    </cfRule>
  </conditionalFormatting>
  <conditionalFormatting sqref="B24">
    <cfRule type="containsText" dxfId="2261" priority="124" operator="containsText" text="OK">
      <formula>NOT(ISERROR(SEARCH("OK",B24)))</formula>
    </cfRule>
  </conditionalFormatting>
  <conditionalFormatting sqref="B24">
    <cfRule type="containsText" dxfId="2260" priority="123" operator="containsText" text="ok">
      <formula>NOT(ISERROR(SEARCH("ok",B24)))</formula>
    </cfRule>
  </conditionalFormatting>
  <conditionalFormatting sqref="B25">
    <cfRule type="containsText" dxfId="2259" priority="122" operator="containsText" text="OK">
      <formula>NOT(ISERROR(SEARCH("OK",B25)))</formula>
    </cfRule>
  </conditionalFormatting>
  <conditionalFormatting sqref="B25">
    <cfRule type="containsText" dxfId="2258" priority="121" operator="containsText" text="ok">
      <formula>NOT(ISERROR(SEARCH("ok",B25)))</formula>
    </cfRule>
  </conditionalFormatting>
  <conditionalFormatting sqref="B26">
    <cfRule type="containsText" dxfId="2257" priority="120" operator="containsText" text="OK">
      <formula>NOT(ISERROR(SEARCH("OK",B26)))</formula>
    </cfRule>
  </conditionalFormatting>
  <conditionalFormatting sqref="B26">
    <cfRule type="containsText" dxfId="2256" priority="119" operator="containsText" text="ok">
      <formula>NOT(ISERROR(SEARCH("ok",B26)))</formula>
    </cfRule>
  </conditionalFormatting>
  <conditionalFormatting sqref="B27">
    <cfRule type="containsText" dxfId="2255" priority="118" operator="containsText" text="OK">
      <formula>NOT(ISERROR(SEARCH("OK",B27)))</formula>
    </cfRule>
  </conditionalFormatting>
  <conditionalFormatting sqref="B27">
    <cfRule type="containsText" dxfId="2254" priority="117" operator="containsText" text="ok">
      <formula>NOT(ISERROR(SEARCH("ok",B27)))</formula>
    </cfRule>
  </conditionalFormatting>
  <conditionalFormatting sqref="B28">
    <cfRule type="containsText" dxfId="2253" priority="116" operator="containsText" text="OK">
      <formula>NOT(ISERROR(SEARCH("OK",B28)))</formula>
    </cfRule>
  </conditionalFormatting>
  <conditionalFormatting sqref="B28">
    <cfRule type="containsText" dxfId="2252" priority="115" operator="containsText" text="ok">
      <formula>NOT(ISERROR(SEARCH("ok",B28)))</formula>
    </cfRule>
  </conditionalFormatting>
  <conditionalFormatting sqref="B11">
    <cfRule type="containsText" dxfId="2251" priority="114" operator="containsText" text="OK">
      <formula>NOT(ISERROR(SEARCH("OK",B11)))</formula>
    </cfRule>
  </conditionalFormatting>
  <conditionalFormatting sqref="B11">
    <cfRule type="containsText" dxfId="2250" priority="113" operator="containsText" text="ok">
      <formula>NOT(ISERROR(SEARCH("ok",B11)))</formula>
    </cfRule>
  </conditionalFormatting>
  <conditionalFormatting sqref="B30">
    <cfRule type="containsText" dxfId="2249" priority="112" operator="containsText" text="OK">
      <formula>NOT(ISERROR(SEARCH("OK",B30)))</formula>
    </cfRule>
  </conditionalFormatting>
  <conditionalFormatting sqref="B30">
    <cfRule type="containsText" dxfId="2248" priority="111" operator="containsText" text="ok">
      <formula>NOT(ISERROR(SEARCH("ok",B30)))</formula>
    </cfRule>
  </conditionalFormatting>
  <conditionalFormatting sqref="A34">
    <cfRule type="containsText" dxfId="2247" priority="110" operator="containsText" text="OK">
      <formula>NOT(ISERROR(SEARCH("OK",A34)))</formula>
    </cfRule>
  </conditionalFormatting>
  <conditionalFormatting sqref="A34">
    <cfRule type="containsText" dxfId="2246" priority="109" operator="containsText" text="ok">
      <formula>NOT(ISERROR(SEARCH("ok",A34)))</formula>
    </cfRule>
  </conditionalFormatting>
  <conditionalFormatting sqref="B29">
    <cfRule type="containsText" dxfId="2245" priority="108" operator="containsText" text="OK">
      <formula>NOT(ISERROR(SEARCH("OK",B29)))</formula>
    </cfRule>
  </conditionalFormatting>
  <conditionalFormatting sqref="B29">
    <cfRule type="containsText" dxfId="2244" priority="107" operator="containsText" text="ok">
      <formula>NOT(ISERROR(SEARCH("ok",B29)))</formula>
    </cfRule>
  </conditionalFormatting>
  <conditionalFormatting sqref="B25">
    <cfRule type="containsText" dxfId="2243" priority="106" operator="containsText" text="OK">
      <formula>NOT(ISERROR(SEARCH("OK",B25)))</formula>
    </cfRule>
  </conditionalFormatting>
  <conditionalFormatting sqref="B25">
    <cfRule type="containsText" dxfId="2242" priority="105" operator="containsText" text="ok">
      <formula>NOT(ISERROR(SEARCH("ok",B25)))</formula>
    </cfRule>
  </conditionalFormatting>
  <conditionalFormatting sqref="B26">
    <cfRule type="containsText" dxfId="2241" priority="104" operator="containsText" text="OK">
      <formula>NOT(ISERROR(SEARCH("OK",B26)))</formula>
    </cfRule>
  </conditionalFormatting>
  <conditionalFormatting sqref="B26">
    <cfRule type="containsText" dxfId="2240" priority="103" operator="containsText" text="ok">
      <formula>NOT(ISERROR(SEARCH("ok",B26)))</formula>
    </cfRule>
  </conditionalFormatting>
  <conditionalFormatting sqref="A30">
    <cfRule type="containsText" dxfId="2239" priority="102" operator="containsText" text="OK">
      <formula>NOT(ISERROR(SEARCH("OK",A30)))</formula>
    </cfRule>
  </conditionalFormatting>
  <conditionalFormatting sqref="A30">
    <cfRule type="containsText" dxfId="2238" priority="101" operator="containsText" text="ok">
      <formula>NOT(ISERROR(SEARCH("ok",A30)))</formula>
    </cfRule>
  </conditionalFormatting>
  <conditionalFormatting sqref="A23">
    <cfRule type="containsText" dxfId="2237" priority="100" operator="containsText" text="OK">
      <formula>NOT(ISERROR(SEARCH("OK",A23)))</formula>
    </cfRule>
  </conditionalFormatting>
  <conditionalFormatting sqref="A23">
    <cfRule type="containsText" dxfId="2236" priority="99" operator="containsText" text="ok">
      <formula>NOT(ISERROR(SEARCH("ok",A23)))</formula>
    </cfRule>
  </conditionalFormatting>
  <conditionalFormatting sqref="B23">
    <cfRule type="containsText" dxfId="2235" priority="98" operator="containsText" text="OK">
      <formula>NOT(ISERROR(SEARCH("OK",B23)))</formula>
    </cfRule>
  </conditionalFormatting>
  <conditionalFormatting sqref="B23">
    <cfRule type="containsText" dxfId="2234" priority="97" operator="containsText" text="ok">
      <formula>NOT(ISERROR(SEARCH("ok",B23)))</formula>
    </cfRule>
  </conditionalFormatting>
  <conditionalFormatting sqref="B8">
    <cfRule type="containsText" dxfId="2233" priority="94" operator="containsText" text="OK">
      <formula>NOT(ISERROR(SEARCH("OK",B8)))</formula>
    </cfRule>
  </conditionalFormatting>
  <conditionalFormatting sqref="B8">
    <cfRule type="containsText" dxfId="2232" priority="93" operator="containsText" text="ok">
      <formula>NOT(ISERROR(SEARCH("ok",B8)))</formula>
    </cfRule>
  </conditionalFormatting>
  <conditionalFormatting sqref="A8">
    <cfRule type="containsText" dxfId="2231" priority="96" operator="containsText" text="OK">
      <formula>NOT(ISERROR(SEARCH("OK",A8)))</formula>
    </cfRule>
  </conditionalFormatting>
  <conditionalFormatting sqref="A8">
    <cfRule type="containsText" dxfId="2230" priority="95" operator="containsText" text="ok">
      <formula>NOT(ISERROR(SEARCH("ok",A8)))</formula>
    </cfRule>
  </conditionalFormatting>
  <conditionalFormatting sqref="B17">
    <cfRule type="containsText" dxfId="2229" priority="90" operator="containsText" text="OK">
      <formula>NOT(ISERROR(SEARCH("OK",B17)))</formula>
    </cfRule>
  </conditionalFormatting>
  <conditionalFormatting sqref="B17">
    <cfRule type="containsText" dxfId="2228" priority="89" operator="containsText" text="ok">
      <formula>NOT(ISERROR(SEARCH("ok",B17)))</formula>
    </cfRule>
  </conditionalFormatting>
  <conditionalFormatting sqref="B16">
    <cfRule type="containsText" dxfId="2227" priority="92" operator="containsText" text="OK">
      <formula>NOT(ISERROR(SEARCH("OK",B16)))</formula>
    </cfRule>
  </conditionalFormatting>
  <conditionalFormatting sqref="B16">
    <cfRule type="containsText" dxfId="2226" priority="91" operator="containsText" text="ok">
      <formula>NOT(ISERROR(SEARCH("ok",B16)))</formula>
    </cfRule>
  </conditionalFormatting>
  <conditionalFormatting sqref="B18">
    <cfRule type="containsText" dxfId="2225" priority="88" operator="containsText" text="OK">
      <formula>NOT(ISERROR(SEARCH("OK",B18)))</formula>
    </cfRule>
  </conditionalFormatting>
  <conditionalFormatting sqref="B18">
    <cfRule type="containsText" dxfId="2224" priority="87" operator="containsText" text="ok">
      <formula>NOT(ISERROR(SEARCH("ok",B18)))</formula>
    </cfRule>
  </conditionalFormatting>
  <conditionalFormatting sqref="B19">
    <cfRule type="containsText" dxfId="2223" priority="86" operator="containsText" text="OK">
      <formula>NOT(ISERROR(SEARCH("OK",B19)))</formula>
    </cfRule>
  </conditionalFormatting>
  <conditionalFormatting sqref="B19">
    <cfRule type="containsText" dxfId="2222" priority="85" operator="containsText" text="ok">
      <formula>NOT(ISERROR(SEARCH("ok",B19)))</formula>
    </cfRule>
  </conditionalFormatting>
  <conditionalFormatting sqref="B20">
    <cfRule type="containsText" dxfId="2221" priority="84" operator="containsText" text="OK">
      <formula>NOT(ISERROR(SEARCH("OK",B20)))</formula>
    </cfRule>
  </conditionalFormatting>
  <conditionalFormatting sqref="B20">
    <cfRule type="containsText" dxfId="2220" priority="83" operator="containsText" text="ok">
      <formula>NOT(ISERROR(SEARCH("ok",B20)))</formula>
    </cfRule>
  </conditionalFormatting>
  <conditionalFormatting sqref="A19">
    <cfRule type="containsText" dxfId="2219" priority="82" operator="containsText" text="OK">
      <formula>NOT(ISERROR(SEARCH("OK",A19)))</formula>
    </cfRule>
  </conditionalFormatting>
  <conditionalFormatting sqref="A19">
    <cfRule type="containsText" dxfId="2218" priority="81" operator="containsText" text="ok">
      <formula>NOT(ISERROR(SEARCH("ok",A19)))</formula>
    </cfRule>
  </conditionalFormatting>
  <conditionalFormatting sqref="A16">
    <cfRule type="containsText" dxfId="2217" priority="80" operator="containsText" text="OK">
      <formula>NOT(ISERROR(SEARCH("OK",A16)))</formula>
    </cfRule>
  </conditionalFormatting>
  <conditionalFormatting sqref="A16">
    <cfRule type="containsText" dxfId="2216" priority="79" operator="containsText" text="ok">
      <formula>NOT(ISERROR(SEARCH("ok",A16)))</formula>
    </cfRule>
  </conditionalFormatting>
  <conditionalFormatting sqref="A6">
    <cfRule type="containsText" dxfId="2215" priority="78" operator="containsText" text="OK">
      <formula>NOT(ISERROR(SEARCH("OK",A6)))</formula>
    </cfRule>
  </conditionalFormatting>
  <conditionalFormatting sqref="A6">
    <cfRule type="containsText" dxfId="2214" priority="77" operator="containsText" text="ok">
      <formula>NOT(ISERROR(SEARCH("ok",A6)))</formula>
    </cfRule>
  </conditionalFormatting>
  <conditionalFormatting sqref="A10">
    <cfRule type="containsText" dxfId="2213" priority="76" operator="containsText" text="OK">
      <formula>NOT(ISERROR(SEARCH("OK",A10)))</formula>
    </cfRule>
  </conditionalFormatting>
  <conditionalFormatting sqref="A10">
    <cfRule type="containsText" dxfId="2212" priority="75" operator="containsText" text="ok">
      <formula>NOT(ISERROR(SEARCH("ok",A10)))</formula>
    </cfRule>
  </conditionalFormatting>
  <conditionalFormatting sqref="B10">
    <cfRule type="containsText" dxfId="2211" priority="74" operator="containsText" text="OK">
      <formula>NOT(ISERROR(SEARCH("OK",B10)))</formula>
    </cfRule>
  </conditionalFormatting>
  <conditionalFormatting sqref="B10">
    <cfRule type="containsText" dxfId="2210" priority="73" operator="containsText" text="ok">
      <formula>NOT(ISERROR(SEARCH("ok",B10)))</formula>
    </cfRule>
  </conditionalFormatting>
  <conditionalFormatting sqref="A8">
    <cfRule type="containsText" dxfId="2209" priority="72" operator="containsText" text="OK">
      <formula>NOT(ISERROR(SEARCH("OK",A8)))</formula>
    </cfRule>
  </conditionalFormatting>
  <conditionalFormatting sqref="A8">
    <cfRule type="containsText" dxfId="2208" priority="71" operator="containsText" text="ok">
      <formula>NOT(ISERROR(SEARCH("ok",A8)))</formula>
    </cfRule>
  </conditionalFormatting>
  <conditionalFormatting sqref="B8">
    <cfRule type="containsText" dxfId="2207" priority="70" operator="containsText" text="OK">
      <formula>NOT(ISERROR(SEARCH("OK",B8)))</formula>
    </cfRule>
  </conditionalFormatting>
  <conditionalFormatting sqref="B8">
    <cfRule type="containsText" dxfId="2206" priority="69" operator="containsText" text="ok">
      <formula>NOT(ISERROR(SEARCH("ok",B8)))</formula>
    </cfRule>
  </conditionalFormatting>
  <conditionalFormatting sqref="B7">
    <cfRule type="containsText" dxfId="2205" priority="66" operator="containsText" text="OK">
      <formula>NOT(ISERROR(SEARCH("OK",B7)))</formula>
    </cfRule>
  </conditionalFormatting>
  <conditionalFormatting sqref="B7">
    <cfRule type="containsText" dxfId="2204" priority="65" operator="containsText" text="ok">
      <formula>NOT(ISERROR(SEARCH("ok",B7)))</formula>
    </cfRule>
  </conditionalFormatting>
  <conditionalFormatting sqref="A7">
    <cfRule type="containsText" dxfId="2203" priority="68" operator="containsText" text="OK">
      <formula>NOT(ISERROR(SEARCH("OK",A7)))</formula>
    </cfRule>
  </conditionalFormatting>
  <conditionalFormatting sqref="A7">
    <cfRule type="containsText" dxfId="2202" priority="67" operator="containsText" text="ok">
      <formula>NOT(ISERROR(SEARCH("ok",A7)))</formula>
    </cfRule>
  </conditionalFormatting>
  <conditionalFormatting sqref="A9">
    <cfRule type="containsText" dxfId="2201" priority="64" operator="containsText" text="OK">
      <formula>NOT(ISERROR(SEARCH("OK",A9)))</formula>
    </cfRule>
  </conditionalFormatting>
  <conditionalFormatting sqref="A9">
    <cfRule type="containsText" dxfId="2200" priority="63" operator="containsText" text="ok">
      <formula>NOT(ISERROR(SEARCH("ok",A9)))</formula>
    </cfRule>
  </conditionalFormatting>
  <conditionalFormatting sqref="B9">
    <cfRule type="containsText" dxfId="2199" priority="62" operator="containsText" text="OK">
      <formula>NOT(ISERROR(SEARCH("OK",B9)))</formula>
    </cfRule>
  </conditionalFormatting>
  <conditionalFormatting sqref="B9">
    <cfRule type="containsText" dxfId="2198" priority="61" operator="containsText" text="ok">
      <formula>NOT(ISERROR(SEARCH("ok",B9)))</formula>
    </cfRule>
  </conditionalFormatting>
  <conditionalFormatting sqref="B12">
    <cfRule type="containsText" dxfId="2197" priority="60" operator="containsText" text="OK">
      <formula>NOT(ISERROR(SEARCH("OK",B12)))</formula>
    </cfRule>
  </conditionalFormatting>
  <conditionalFormatting sqref="B12">
    <cfRule type="containsText" dxfId="2196" priority="59" operator="containsText" text="ok">
      <formula>NOT(ISERROR(SEARCH("ok",B12)))</formula>
    </cfRule>
  </conditionalFormatting>
  <conditionalFormatting sqref="A12">
    <cfRule type="containsText" dxfId="2195" priority="58" operator="containsText" text="OK">
      <formula>NOT(ISERROR(SEARCH("OK",A12)))</formula>
    </cfRule>
  </conditionalFormatting>
  <conditionalFormatting sqref="A12">
    <cfRule type="containsText" dxfId="2194" priority="57" operator="containsText" text="ok">
      <formula>NOT(ISERROR(SEARCH("ok",A12)))</formula>
    </cfRule>
  </conditionalFormatting>
  <conditionalFormatting sqref="A13">
    <cfRule type="containsText" dxfId="2193" priority="56" operator="containsText" text="OK">
      <formula>NOT(ISERROR(SEARCH("OK",A13)))</formula>
    </cfRule>
  </conditionalFormatting>
  <conditionalFormatting sqref="A13">
    <cfRule type="containsText" dxfId="2192" priority="55" operator="containsText" text="ok">
      <formula>NOT(ISERROR(SEARCH("ok",A13)))</formula>
    </cfRule>
  </conditionalFormatting>
  <conditionalFormatting sqref="B13">
    <cfRule type="containsText" dxfId="2191" priority="54" operator="containsText" text="OK">
      <formula>NOT(ISERROR(SEARCH("OK",B13)))</formula>
    </cfRule>
  </conditionalFormatting>
  <conditionalFormatting sqref="B13">
    <cfRule type="containsText" dxfId="2190" priority="53" operator="containsText" text="ok">
      <formula>NOT(ISERROR(SEARCH("ok",B13)))</formula>
    </cfRule>
  </conditionalFormatting>
  <conditionalFormatting sqref="A13">
    <cfRule type="containsText" dxfId="2189" priority="52" operator="containsText" text="OK">
      <formula>NOT(ISERROR(SEARCH("OK",A13)))</formula>
    </cfRule>
  </conditionalFormatting>
  <conditionalFormatting sqref="A13">
    <cfRule type="containsText" dxfId="2188" priority="51" operator="containsText" text="ok">
      <formula>NOT(ISERROR(SEARCH("ok",A13)))</formula>
    </cfRule>
  </conditionalFormatting>
  <conditionalFormatting sqref="B13">
    <cfRule type="containsText" dxfId="2187" priority="50" operator="containsText" text="OK">
      <formula>NOT(ISERROR(SEARCH("OK",B13)))</formula>
    </cfRule>
  </conditionalFormatting>
  <conditionalFormatting sqref="B13">
    <cfRule type="containsText" dxfId="2186" priority="49" operator="containsText" text="ok">
      <formula>NOT(ISERROR(SEARCH("ok",B13)))</formula>
    </cfRule>
  </conditionalFormatting>
  <conditionalFormatting sqref="A14">
    <cfRule type="containsText" dxfId="2185" priority="48" operator="containsText" text="OK">
      <formula>NOT(ISERROR(SEARCH("OK",A14)))</formula>
    </cfRule>
  </conditionalFormatting>
  <conditionalFormatting sqref="A14">
    <cfRule type="containsText" dxfId="2184" priority="47" operator="containsText" text="ok">
      <formula>NOT(ISERROR(SEARCH("ok",A14)))</formula>
    </cfRule>
  </conditionalFormatting>
  <conditionalFormatting sqref="B14">
    <cfRule type="containsText" dxfId="2183" priority="46" operator="containsText" text="OK">
      <formula>NOT(ISERROR(SEARCH("OK",B14)))</formula>
    </cfRule>
  </conditionalFormatting>
  <conditionalFormatting sqref="B14">
    <cfRule type="containsText" dxfId="2182" priority="45" operator="containsText" text="ok">
      <formula>NOT(ISERROR(SEARCH("ok",B14)))</formula>
    </cfRule>
  </conditionalFormatting>
  <conditionalFormatting sqref="B15">
    <cfRule type="containsText" dxfId="2181" priority="42" operator="containsText" text="OK">
      <formula>NOT(ISERROR(SEARCH("OK",B15)))</formula>
    </cfRule>
  </conditionalFormatting>
  <conditionalFormatting sqref="B15">
    <cfRule type="containsText" dxfId="2180" priority="41" operator="containsText" text="ok">
      <formula>NOT(ISERROR(SEARCH("ok",B15)))</formula>
    </cfRule>
  </conditionalFormatting>
  <conditionalFormatting sqref="A15">
    <cfRule type="containsText" dxfId="2179" priority="44" operator="containsText" text="OK">
      <formula>NOT(ISERROR(SEARCH("OK",A15)))</formula>
    </cfRule>
  </conditionalFormatting>
  <conditionalFormatting sqref="A15">
    <cfRule type="containsText" dxfId="2178" priority="43" operator="containsText" text="ok">
      <formula>NOT(ISERROR(SEARCH("ok",A15)))</formula>
    </cfRule>
  </conditionalFormatting>
  <conditionalFormatting sqref="A15">
    <cfRule type="containsText" dxfId="2177" priority="40" operator="containsText" text="OK">
      <formula>NOT(ISERROR(SEARCH("OK",A15)))</formula>
    </cfRule>
  </conditionalFormatting>
  <conditionalFormatting sqref="A15">
    <cfRule type="containsText" dxfId="2176" priority="39" operator="containsText" text="ok">
      <formula>NOT(ISERROR(SEARCH("ok",A15)))</formula>
    </cfRule>
  </conditionalFormatting>
  <conditionalFormatting sqref="B15">
    <cfRule type="containsText" dxfId="2175" priority="38" operator="containsText" text="OK">
      <formula>NOT(ISERROR(SEARCH("OK",B15)))</formula>
    </cfRule>
  </conditionalFormatting>
  <conditionalFormatting sqref="B15">
    <cfRule type="containsText" dxfId="2174" priority="37" operator="containsText" text="ok">
      <formula>NOT(ISERROR(SEARCH("ok",B15)))</formula>
    </cfRule>
  </conditionalFormatting>
  <conditionalFormatting sqref="B14">
    <cfRule type="containsText" dxfId="2173" priority="34" operator="containsText" text="OK">
      <formula>NOT(ISERROR(SEARCH("OK",B14)))</formula>
    </cfRule>
  </conditionalFormatting>
  <conditionalFormatting sqref="B14">
    <cfRule type="containsText" dxfId="2172" priority="33" operator="containsText" text="ok">
      <formula>NOT(ISERROR(SEARCH("ok",B14)))</formula>
    </cfRule>
  </conditionalFormatting>
  <conditionalFormatting sqref="A14">
    <cfRule type="containsText" dxfId="2171" priority="36" operator="containsText" text="OK">
      <formula>NOT(ISERROR(SEARCH("OK",A14)))</formula>
    </cfRule>
  </conditionalFormatting>
  <conditionalFormatting sqref="A14">
    <cfRule type="containsText" dxfId="2170" priority="35" operator="containsText" text="ok">
      <formula>NOT(ISERROR(SEARCH("ok",A14)))</formula>
    </cfRule>
  </conditionalFormatting>
  <conditionalFormatting sqref="A47">
    <cfRule type="containsText" dxfId="2169" priority="32" operator="containsText" text="OK">
      <formula>NOT(ISERROR(SEARCH("OK",A47)))</formula>
    </cfRule>
  </conditionalFormatting>
  <conditionalFormatting sqref="A47">
    <cfRule type="containsText" dxfId="2168" priority="31" operator="containsText" text="ok">
      <formula>NOT(ISERROR(SEARCH("ok",A47)))</formula>
    </cfRule>
  </conditionalFormatting>
  <conditionalFormatting sqref="A47">
    <cfRule type="containsText" dxfId="2167" priority="30" operator="containsText" text="OK">
      <formula>NOT(ISERROR(SEARCH("OK",A47)))</formula>
    </cfRule>
  </conditionalFormatting>
  <conditionalFormatting sqref="A47">
    <cfRule type="containsText" dxfId="2166" priority="29" operator="containsText" text="ok">
      <formula>NOT(ISERROR(SEARCH("ok",A47)))</formula>
    </cfRule>
  </conditionalFormatting>
  <conditionalFormatting sqref="A47">
    <cfRule type="containsText" dxfId="2165" priority="28" operator="containsText" text="OK">
      <formula>NOT(ISERROR(SEARCH("OK",A47)))</formula>
    </cfRule>
  </conditionalFormatting>
  <conditionalFormatting sqref="A47">
    <cfRule type="containsText" dxfId="2164" priority="27" operator="containsText" text="ok">
      <formula>NOT(ISERROR(SEARCH("ok",A47)))</formula>
    </cfRule>
  </conditionalFormatting>
  <conditionalFormatting sqref="A47">
    <cfRule type="containsText" dxfId="2163" priority="26" operator="containsText" text="OK">
      <formula>NOT(ISERROR(SEARCH("OK",A47)))</formula>
    </cfRule>
  </conditionalFormatting>
  <conditionalFormatting sqref="A47">
    <cfRule type="containsText" dxfId="2162" priority="25" operator="containsText" text="ok">
      <formula>NOT(ISERROR(SEARCH("ok",A47)))</formula>
    </cfRule>
  </conditionalFormatting>
  <conditionalFormatting sqref="A48">
    <cfRule type="containsText" dxfId="2161" priority="24" operator="containsText" text="OK">
      <formula>NOT(ISERROR(SEARCH("OK",A48)))</formula>
    </cfRule>
  </conditionalFormatting>
  <conditionalFormatting sqref="A48">
    <cfRule type="containsText" dxfId="2160" priority="23" operator="containsText" text="ok">
      <formula>NOT(ISERROR(SEARCH("ok",A48)))</formula>
    </cfRule>
  </conditionalFormatting>
  <conditionalFormatting sqref="A48">
    <cfRule type="containsText" dxfId="2159" priority="22" operator="containsText" text="OK">
      <formula>NOT(ISERROR(SEARCH("OK",A48)))</formula>
    </cfRule>
  </conditionalFormatting>
  <conditionalFormatting sqref="A48">
    <cfRule type="containsText" dxfId="2158" priority="21" operator="containsText" text="ok">
      <formula>NOT(ISERROR(SEARCH("ok",A48)))</formula>
    </cfRule>
  </conditionalFormatting>
  <conditionalFormatting sqref="A48">
    <cfRule type="containsText" dxfId="2157" priority="20" operator="containsText" text="OK">
      <formula>NOT(ISERROR(SEARCH("OK",A48)))</formula>
    </cfRule>
  </conditionalFormatting>
  <conditionalFormatting sqref="A48">
    <cfRule type="containsText" dxfId="2156" priority="19" operator="containsText" text="ok">
      <formula>NOT(ISERROR(SEARCH("ok",A48)))</formula>
    </cfRule>
  </conditionalFormatting>
  <conditionalFormatting sqref="A48">
    <cfRule type="containsText" dxfId="2155" priority="18" operator="containsText" text="OK">
      <formula>NOT(ISERROR(SEARCH("OK",A48)))</formula>
    </cfRule>
  </conditionalFormatting>
  <conditionalFormatting sqref="A48">
    <cfRule type="containsText" dxfId="2154" priority="17" operator="containsText" text="ok">
      <formula>NOT(ISERROR(SEARCH("ok",A48)))</formula>
    </cfRule>
  </conditionalFormatting>
  <conditionalFormatting sqref="A49">
    <cfRule type="containsText" dxfId="2153" priority="16" operator="containsText" text="OK">
      <formula>NOT(ISERROR(SEARCH("OK",A49)))</formula>
    </cfRule>
  </conditionalFormatting>
  <conditionalFormatting sqref="A49">
    <cfRule type="containsText" dxfId="2152" priority="15" operator="containsText" text="ok">
      <formula>NOT(ISERROR(SEARCH("ok",A49)))</formula>
    </cfRule>
  </conditionalFormatting>
  <conditionalFormatting sqref="A49">
    <cfRule type="containsText" dxfId="2151" priority="14" operator="containsText" text="OK">
      <formula>NOT(ISERROR(SEARCH("OK",A49)))</formula>
    </cfRule>
  </conditionalFormatting>
  <conditionalFormatting sqref="A49">
    <cfRule type="containsText" dxfId="2150" priority="13" operator="containsText" text="ok">
      <formula>NOT(ISERROR(SEARCH("ok",A49)))</formula>
    </cfRule>
  </conditionalFormatting>
  <conditionalFormatting sqref="A49">
    <cfRule type="containsText" dxfId="2149" priority="12" operator="containsText" text="OK">
      <formula>NOT(ISERROR(SEARCH("OK",A49)))</formula>
    </cfRule>
  </conditionalFormatting>
  <conditionalFormatting sqref="A49">
    <cfRule type="containsText" dxfId="2148" priority="11" operator="containsText" text="ok">
      <formula>NOT(ISERROR(SEARCH("ok",A49)))</formula>
    </cfRule>
  </conditionalFormatting>
  <conditionalFormatting sqref="A49">
    <cfRule type="containsText" dxfId="2147" priority="10" operator="containsText" text="OK">
      <formula>NOT(ISERROR(SEARCH("OK",A49)))</formula>
    </cfRule>
  </conditionalFormatting>
  <conditionalFormatting sqref="A49">
    <cfRule type="containsText" dxfId="2146" priority="9" operator="containsText" text="ok">
      <formula>NOT(ISERROR(SEARCH("ok",A49)))</formula>
    </cfRule>
  </conditionalFormatting>
  <conditionalFormatting sqref="A50">
    <cfRule type="containsText" dxfId="2145" priority="8" operator="containsText" text="OK">
      <formula>NOT(ISERROR(SEARCH("OK",A50)))</formula>
    </cfRule>
  </conditionalFormatting>
  <conditionalFormatting sqref="A50">
    <cfRule type="containsText" dxfId="2144" priority="7" operator="containsText" text="ok">
      <formula>NOT(ISERROR(SEARCH("ok",A50)))</formula>
    </cfRule>
  </conditionalFormatting>
  <conditionalFormatting sqref="A50">
    <cfRule type="containsText" dxfId="2143" priority="6" operator="containsText" text="OK">
      <formula>NOT(ISERROR(SEARCH("OK",A50)))</formula>
    </cfRule>
  </conditionalFormatting>
  <conditionalFormatting sqref="A50">
    <cfRule type="containsText" dxfId="2142" priority="5" operator="containsText" text="ok">
      <formula>NOT(ISERROR(SEARCH("ok",A50)))</formula>
    </cfRule>
  </conditionalFormatting>
  <conditionalFormatting sqref="A50">
    <cfRule type="containsText" dxfId="2141" priority="4" operator="containsText" text="OK">
      <formula>NOT(ISERROR(SEARCH("OK",A50)))</formula>
    </cfRule>
  </conditionalFormatting>
  <conditionalFormatting sqref="A50">
    <cfRule type="containsText" dxfId="2140" priority="3" operator="containsText" text="ok">
      <formula>NOT(ISERROR(SEARCH("ok",A50)))</formula>
    </cfRule>
  </conditionalFormatting>
  <conditionalFormatting sqref="A50">
    <cfRule type="containsText" dxfId="2139" priority="2" operator="containsText" text="OK">
      <formula>NOT(ISERROR(SEARCH("OK",A50)))</formula>
    </cfRule>
  </conditionalFormatting>
  <conditionalFormatting sqref="A50">
    <cfRule type="containsText" dxfId="2138" priority="1" operator="containsText" text="ok">
      <formula>NOT(ISERROR(SEARCH("ok",A50)))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102" max="16383" man="1"/>
  </rowBreaks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48434"/>
  <sheetViews>
    <sheetView zoomScale="86" zoomScaleNormal="86" workbookViewId="0">
      <pane xSplit="3" ySplit="3" topLeftCell="D29" activePane="bottomRight" state="frozen"/>
      <selection activeCell="C83" sqref="C83"/>
      <selection pane="topRight" activeCell="C83" sqref="C83"/>
      <selection pane="bottomLeft" activeCell="C83" sqref="C83"/>
      <selection pane="bottomRight" activeCell="A48" sqref="A48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187" customWidth="1"/>
    <col min="4" max="4" width="14.54296875" style="187" bestFit="1" customWidth="1"/>
    <col min="5" max="5" width="13.1796875" style="187" bestFit="1" customWidth="1"/>
    <col min="6" max="6" width="11.54296875" style="5" bestFit="1" customWidth="1"/>
    <col min="7" max="7" width="14.453125" style="6" bestFit="1" customWidth="1"/>
    <col min="8" max="8" width="8.81640625" style="187" hidden="1" customWidth="1"/>
    <col min="9" max="9" width="13.26953125" style="187" hidden="1" customWidth="1"/>
    <col min="10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187" hidden="1" customWidth="1"/>
    <col min="21" max="21" width="10.26953125" style="7" hidden="1" customWidth="1"/>
    <col min="22" max="22" width="9.81640625" style="187" hidden="1" customWidth="1"/>
    <col min="23" max="23" width="18.81640625" style="187" hidden="1" customWidth="1"/>
    <col min="24" max="24" width="30.26953125" style="187" customWidth="1"/>
    <col min="25" max="25" width="14.7265625" style="187" bestFit="1" customWidth="1"/>
    <col min="26" max="26" width="5" style="187" bestFit="1" customWidth="1"/>
    <col min="27" max="27" width="14.26953125" style="187" customWidth="1"/>
    <col min="28" max="28" width="14" style="187" bestFit="1" customWidth="1"/>
    <col min="29" max="16384" width="9.1796875" style="187"/>
  </cols>
  <sheetData>
    <row r="1" spans="1:27" x14ac:dyDescent="0.35">
      <c r="A1" s="226" t="s">
        <v>2</v>
      </c>
      <c r="B1" s="192" t="s">
        <v>2</v>
      </c>
      <c r="C1" s="193"/>
      <c r="D1" s="320">
        <f>D102</f>
        <v>120</v>
      </c>
      <c r="E1" s="193"/>
      <c r="F1" s="193"/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19" t="s">
        <v>3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2" t="s">
        <v>16</v>
      </c>
      <c r="X2" s="718" t="s">
        <v>16</v>
      </c>
    </row>
    <row r="3" spans="1:27" ht="29.5" thickBot="1" x14ac:dyDescent="0.4">
      <c r="A3" s="717"/>
      <c r="B3" s="719"/>
      <c r="C3" s="719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2"/>
      <c r="X3" s="718"/>
      <c r="Y3" s="8"/>
    </row>
    <row r="4" spans="1:27" ht="15" customHeight="1" x14ac:dyDescent="0.35">
      <c r="A4" s="245"/>
      <c r="B4" s="246"/>
      <c r="C4" s="211"/>
      <c r="D4" s="15"/>
      <c r="E4" s="15"/>
      <c r="F4" s="9">
        <v>880</v>
      </c>
      <c r="G4" s="29">
        <f t="shared" ref="G4:G67" si="0">(F4*D4)+(E4*F4)</f>
        <v>0</v>
      </c>
      <c r="H4" s="11"/>
      <c r="I4" s="10"/>
      <c r="J4" s="29">
        <f t="shared" ref="J4:J67" si="1">H4*I4</f>
        <v>0</v>
      </c>
      <c r="K4" s="29"/>
      <c r="L4" s="223">
        <f>(J4+G4)-K4</f>
        <v>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>IF(O4&gt;0,SUM(O4-(L4+P4))," ")</f>
        <v xml:space="preserve"> </v>
      </c>
      <c r="S4" s="189"/>
      <c r="T4" s="253" t="s">
        <v>1</v>
      </c>
      <c r="U4" s="13">
        <v>0</v>
      </c>
      <c r="V4" s="253" t="s">
        <v>10</v>
      </c>
      <c r="W4" s="253"/>
      <c r="X4" s="14"/>
    </row>
    <row r="5" spans="1:27" ht="15" customHeight="1" x14ac:dyDescent="0.35">
      <c r="A5" s="245"/>
      <c r="B5" s="246"/>
      <c r="C5" s="212"/>
      <c r="D5" s="15"/>
      <c r="E5" s="15"/>
      <c r="F5" s="9">
        <v>850</v>
      </c>
      <c r="G5" s="29">
        <f t="shared" si="0"/>
        <v>0</v>
      </c>
      <c r="H5" s="11"/>
      <c r="I5" s="10"/>
      <c r="J5" s="29">
        <f t="shared" si="1"/>
        <v>0</v>
      </c>
      <c r="K5" s="29"/>
      <c r="L5" s="223">
        <f t="shared" ref="L5:L68" si="2">(J5+G5)-K5</f>
        <v>0</v>
      </c>
      <c r="M5" s="12"/>
      <c r="N5" s="218" t="str">
        <f t="shared" ref="N5:N61" si="3">IF(M5&gt;0,SUM(L5-M5)," ")</f>
        <v xml:space="preserve"> </v>
      </c>
      <c r="O5" s="189"/>
      <c r="P5" s="189"/>
      <c r="Q5" s="189"/>
      <c r="R5" s="189" t="str">
        <f t="shared" ref="R5:R100" si="4">IF(O5&gt;0,SUM(O5-(L5+P5))," ")</f>
        <v xml:space="preserve"> </v>
      </c>
      <c r="S5" s="189"/>
      <c r="T5" s="253" t="s">
        <v>1</v>
      </c>
      <c r="U5" s="13">
        <v>0</v>
      </c>
      <c r="V5" s="253" t="s">
        <v>10</v>
      </c>
      <c r="W5" s="253"/>
      <c r="X5" s="14"/>
    </row>
    <row r="6" spans="1:27" ht="15" customHeight="1" x14ac:dyDescent="0.35">
      <c r="A6" s="245"/>
      <c r="B6" s="246"/>
      <c r="C6" s="211"/>
      <c r="D6" s="15"/>
      <c r="E6" s="15"/>
      <c r="F6" s="9">
        <v>880</v>
      </c>
      <c r="G6" s="29">
        <f t="shared" si="0"/>
        <v>0</v>
      </c>
      <c r="H6" s="11"/>
      <c r="I6" s="10"/>
      <c r="J6" s="29">
        <f t="shared" si="1"/>
        <v>0</v>
      </c>
      <c r="K6" s="29"/>
      <c r="L6" s="223">
        <f t="shared" si="2"/>
        <v>0</v>
      </c>
      <c r="M6" s="213"/>
      <c r="N6" s="218" t="str">
        <f t="shared" si="3"/>
        <v xml:space="preserve"> </v>
      </c>
      <c r="O6" s="189"/>
      <c r="P6" s="189"/>
      <c r="Q6" s="189"/>
      <c r="R6" s="189" t="str">
        <f t="shared" si="4"/>
        <v xml:space="preserve"> </v>
      </c>
      <c r="S6" s="189"/>
      <c r="T6" s="253" t="s">
        <v>1</v>
      </c>
      <c r="U6" s="13">
        <v>0</v>
      </c>
      <c r="V6" s="253" t="s">
        <v>10</v>
      </c>
      <c r="W6" s="253"/>
      <c r="X6" s="17"/>
    </row>
    <row r="7" spans="1:27" ht="15" customHeight="1" x14ac:dyDescent="0.35">
      <c r="A7" s="245"/>
      <c r="B7" s="245"/>
      <c r="C7" s="211"/>
      <c r="D7" s="15"/>
      <c r="E7" s="15"/>
      <c r="F7" s="9">
        <v>860</v>
      </c>
      <c r="G7" s="29">
        <f t="shared" si="0"/>
        <v>0</v>
      </c>
      <c r="H7" s="11"/>
      <c r="I7" s="10"/>
      <c r="J7" s="29">
        <f t="shared" si="1"/>
        <v>0</v>
      </c>
      <c r="K7" s="29"/>
      <c r="L7" s="223">
        <f t="shared" si="2"/>
        <v>0</v>
      </c>
      <c r="M7" s="12"/>
      <c r="N7" s="218" t="str">
        <f t="shared" si="3"/>
        <v xml:space="preserve"> </v>
      </c>
      <c r="O7" s="189"/>
      <c r="P7" s="189"/>
      <c r="Q7" s="189"/>
      <c r="R7" s="189" t="str">
        <f t="shared" si="4"/>
        <v xml:space="preserve"> </v>
      </c>
      <c r="S7" s="189"/>
      <c r="T7" s="253" t="s">
        <v>1</v>
      </c>
      <c r="U7" s="13">
        <v>0</v>
      </c>
      <c r="V7" s="253" t="s">
        <v>10</v>
      </c>
      <c r="W7" s="253"/>
      <c r="X7" s="16"/>
    </row>
    <row r="8" spans="1:27" ht="15" customHeight="1" x14ac:dyDescent="0.35">
      <c r="A8" s="245"/>
      <c r="B8" s="245"/>
      <c r="C8" s="211"/>
      <c r="D8" s="15"/>
      <c r="E8" s="15"/>
      <c r="F8" s="9">
        <v>880</v>
      </c>
      <c r="G8" s="29">
        <f t="shared" si="0"/>
        <v>0</v>
      </c>
      <c r="H8" s="11"/>
      <c r="I8" s="10"/>
      <c r="J8" s="29">
        <f t="shared" si="1"/>
        <v>0</v>
      </c>
      <c r="K8" s="29"/>
      <c r="L8" s="223">
        <f t="shared" si="2"/>
        <v>0</v>
      </c>
      <c r="M8" s="12"/>
      <c r="N8" s="218" t="str">
        <f t="shared" si="3"/>
        <v xml:space="preserve"> </v>
      </c>
      <c r="O8" s="189">
        <v>1400</v>
      </c>
      <c r="P8" s="189"/>
      <c r="Q8" s="189"/>
      <c r="R8" s="189">
        <f t="shared" si="4"/>
        <v>1400</v>
      </c>
      <c r="S8" s="189"/>
      <c r="T8" s="253" t="s">
        <v>83</v>
      </c>
      <c r="U8" s="13">
        <v>0</v>
      </c>
      <c r="V8" s="253" t="s">
        <v>10</v>
      </c>
      <c r="W8" s="253" t="s">
        <v>84</v>
      </c>
      <c r="X8" s="16"/>
      <c r="Y8" s="187" t="s">
        <v>0</v>
      </c>
      <c r="Z8" s="187" t="s">
        <v>8</v>
      </c>
      <c r="AA8" s="249">
        <f>G101</f>
        <v>104150</v>
      </c>
    </row>
    <row r="9" spans="1:27" ht="15" customHeight="1" x14ac:dyDescent="0.35">
      <c r="A9" s="245">
        <v>44959</v>
      </c>
      <c r="B9" s="245"/>
      <c r="C9" s="212" t="s">
        <v>279</v>
      </c>
      <c r="D9" s="15">
        <v>3</v>
      </c>
      <c r="E9" s="15"/>
      <c r="F9" s="9">
        <v>860</v>
      </c>
      <c r="G9" s="29">
        <f t="shared" si="0"/>
        <v>2580</v>
      </c>
      <c r="H9" s="11"/>
      <c r="I9" s="10"/>
      <c r="J9" s="29">
        <f t="shared" si="1"/>
        <v>0</v>
      </c>
      <c r="K9" s="29"/>
      <c r="L9" s="223">
        <f t="shared" si="2"/>
        <v>2580</v>
      </c>
      <c r="M9" s="12"/>
      <c r="N9" s="218" t="str">
        <f t="shared" si="3"/>
        <v xml:space="preserve"> </v>
      </c>
      <c r="O9" s="189"/>
      <c r="P9" s="189"/>
      <c r="Q9" s="189"/>
      <c r="R9" s="189" t="str">
        <f t="shared" si="4"/>
        <v xml:space="preserve"> </v>
      </c>
      <c r="S9" s="189"/>
      <c r="T9" s="18" t="s">
        <v>1</v>
      </c>
      <c r="U9" s="13">
        <v>0</v>
      </c>
      <c r="V9" s="253" t="s">
        <v>10</v>
      </c>
      <c r="W9" s="253"/>
      <c r="X9" s="16"/>
      <c r="Y9" s="187">
        <v>720</v>
      </c>
      <c r="AA9" s="191">
        <f>Y9*Z9</f>
        <v>0</v>
      </c>
    </row>
    <row r="10" spans="1:27" ht="15" customHeight="1" x14ac:dyDescent="0.35">
      <c r="A10" s="245">
        <v>44960</v>
      </c>
      <c r="B10" s="245"/>
      <c r="C10" s="212" t="s">
        <v>337</v>
      </c>
      <c r="D10" s="15"/>
      <c r="E10" s="15">
        <v>1</v>
      </c>
      <c r="F10" s="9">
        <v>870</v>
      </c>
      <c r="G10" s="29">
        <f t="shared" si="0"/>
        <v>870</v>
      </c>
      <c r="H10" s="11"/>
      <c r="I10" s="10"/>
      <c r="J10" s="29">
        <f t="shared" si="1"/>
        <v>0</v>
      </c>
      <c r="K10" s="29"/>
      <c r="L10" s="223">
        <f t="shared" si="2"/>
        <v>870</v>
      </c>
      <c r="M10" s="12"/>
      <c r="N10" s="218" t="str">
        <f t="shared" si="3"/>
        <v xml:space="preserve"> </v>
      </c>
      <c r="O10" s="189"/>
      <c r="P10" s="189"/>
      <c r="Q10" s="189"/>
      <c r="R10" s="189" t="str">
        <f t="shared" si="4"/>
        <v xml:space="preserve"> </v>
      </c>
      <c r="S10" s="189"/>
      <c r="T10" s="18" t="s">
        <v>1</v>
      </c>
      <c r="U10" s="13">
        <v>0</v>
      </c>
      <c r="V10" s="253" t="s">
        <v>10</v>
      </c>
      <c r="W10" s="253"/>
      <c r="X10" s="16"/>
      <c r="Y10" s="187">
        <v>750</v>
      </c>
      <c r="AA10" s="191">
        <f>Y10*Z10</f>
        <v>0</v>
      </c>
    </row>
    <row r="11" spans="1:27" ht="15" customHeight="1" x14ac:dyDescent="0.35">
      <c r="A11" s="246">
        <v>44960</v>
      </c>
      <c r="B11" s="245"/>
      <c r="C11" s="212" t="s">
        <v>324</v>
      </c>
      <c r="D11" s="15"/>
      <c r="E11" s="15">
        <v>1</v>
      </c>
      <c r="F11" s="9">
        <v>880</v>
      </c>
      <c r="G11" s="29">
        <f t="shared" si="0"/>
        <v>880</v>
      </c>
      <c r="H11" s="11"/>
      <c r="I11" s="10"/>
      <c r="J11" s="29">
        <f t="shared" si="1"/>
        <v>0</v>
      </c>
      <c r="K11" s="29"/>
      <c r="L11" s="223">
        <f t="shared" si="2"/>
        <v>880</v>
      </c>
      <c r="M11" s="213"/>
      <c r="N11" s="218" t="str">
        <f t="shared" si="3"/>
        <v xml:space="preserve"> </v>
      </c>
      <c r="O11" s="189"/>
      <c r="P11" s="189"/>
      <c r="Q11" s="189"/>
      <c r="R11" s="189" t="str">
        <f t="shared" si="4"/>
        <v xml:space="preserve"> </v>
      </c>
      <c r="S11" s="189"/>
      <c r="T11" s="18" t="s">
        <v>1</v>
      </c>
      <c r="U11" s="13">
        <v>0</v>
      </c>
      <c r="V11" s="253" t="s">
        <v>10</v>
      </c>
      <c r="W11" s="253"/>
      <c r="X11" s="16"/>
      <c r="Y11" s="187">
        <v>780</v>
      </c>
      <c r="AA11" s="191">
        <f>Y11*Z11</f>
        <v>0</v>
      </c>
    </row>
    <row r="12" spans="1:27" ht="15" customHeight="1" x14ac:dyDescent="0.35">
      <c r="A12" s="246">
        <v>44960</v>
      </c>
      <c r="B12" s="245"/>
      <c r="C12" s="212" t="s">
        <v>323</v>
      </c>
      <c r="D12" s="15">
        <v>2</v>
      </c>
      <c r="E12" s="15"/>
      <c r="F12" s="9">
        <v>880</v>
      </c>
      <c r="G12" s="29">
        <f t="shared" si="0"/>
        <v>1760</v>
      </c>
      <c r="H12" s="11"/>
      <c r="I12" s="10"/>
      <c r="J12" s="29">
        <f t="shared" si="1"/>
        <v>0</v>
      </c>
      <c r="K12" s="29"/>
      <c r="L12" s="223">
        <f t="shared" si="2"/>
        <v>1760</v>
      </c>
      <c r="M12" s="12"/>
      <c r="N12" s="218" t="str">
        <f t="shared" si="3"/>
        <v xml:space="preserve"> </v>
      </c>
      <c r="O12" s="189"/>
      <c r="P12" s="189"/>
      <c r="Q12" s="189"/>
      <c r="R12" s="189" t="str">
        <f t="shared" si="4"/>
        <v xml:space="preserve"> </v>
      </c>
      <c r="S12" s="189"/>
      <c r="T12" s="253" t="s">
        <v>1</v>
      </c>
      <c r="U12" s="13">
        <v>0</v>
      </c>
      <c r="V12" s="253" t="s">
        <v>10</v>
      </c>
      <c r="W12" s="253"/>
      <c r="X12" s="17"/>
      <c r="Y12" s="187">
        <v>800</v>
      </c>
      <c r="AA12" s="191">
        <f>Y12*Z12</f>
        <v>0</v>
      </c>
    </row>
    <row r="13" spans="1:27" ht="15" customHeight="1" x14ac:dyDescent="0.35">
      <c r="A13" s="246">
        <v>44961</v>
      </c>
      <c r="B13" s="245"/>
      <c r="C13" s="212" t="s">
        <v>328</v>
      </c>
      <c r="D13" s="15">
        <v>4</v>
      </c>
      <c r="E13" s="15"/>
      <c r="F13" s="9">
        <v>860</v>
      </c>
      <c r="G13" s="29">
        <f t="shared" si="0"/>
        <v>3440</v>
      </c>
      <c r="H13" s="11"/>
      <c r="I13" s="10"/>
      <c r="J13" s="29">
        <f t="shared" si="1"/>
        <v>0</v>
      </c>
      <c r="K13" s="29"/>
      <c r="L13" s="223">
        <f t="shared" si="2"/>
        <v>3440</v>
      </c>
      <c r="M13" s="213"/>
      <c r="N13" s="218" t="str">
        <f t="shared" si="3"/>
        <v xml:space="preserve"> </v>
      </c>
      <c r="O13" s="189">
        <v>440</v>
      </c>
      <c r="P13" s="189"/>
      <c r="Q13" s="189"/>
      <c r="R13" s="189">
        <f t="shared" si="4"/>
        <v>-3000</v>
      </c>
      <c r="S13" s="189">
        <f>P13-Q13</f>
        <v>0</v>
      </c>
      <c r="T13" s="253" t="s">
        <v>1</v>
      </c>
      <c r="U13" s="13">
        <v>30</v>
      </c>
      <c r="V13" s="253" t="s">
        <v>10</v>
      </c>
      <c r="W13" s="253" t="s">
        <v>92</v>
      </c>
      <c r="X13" s="16"/>
      <c r="AA13" s="251">
        <f>AA8-(SUM(AA9:AA12))</f>
        <v>104150</v>
      </c>
    </row>
    <row r="14" spans="1:27" ht="15" customHeight="1" x14ac:dyDescent="0.35">
      <c r="A14" s="246">
        <v>44961</v>
      </c>
      <c r="B14" s="245"/>
      <c r="C14" s="212" t="s">
        <v>321</v>
      </c>
      <c r="D14" s="15">
        <v>2</v>
      </c>
      <c r="E14" s="15"/>
      <c r="F14" s="9">
        <v>880</v>
      </c>
      <c r="G14" s="29">
        <f t="shared" si="0"/>
        <v>1760</v>
      </c>
      <c r="H14" s="11"/>
      <c r="I14" s="10"/>
      <c r="J14" s="29">
        <f t="shared" si="1"/>
        <v>0</v>
      </c>
      <c r="K14" s="29"/>
      <c r="L14" s="223">
        <f t="shared" si="2"/>
        <v>1760</v>
      </c>
      <c r="M14" s="12"/>
      <c r="N14" s="218" t="str">
        <f t="shared" si="3"/>
        <v xml:space="preserve"> </v>
      </c>
      <c r="O14" s="190"/>
      <c r="P14" s="190"/>
      <c r="Q14" s="190"/>
      <c r="R14" s="189" t="str">
        <f t="shared" si="4"/>
        <v xml:space="preserve"> </v>
      </c>
      <c r="S14" s="190"/>
      <c r="T14" s="253"/>
      <c r="U14" s="19"/>
      <c r="V14" s="253"/>
      <c r="W14" s="253"/>
      <c r="X14" s="16"/>
    </row>
    <row r="15" spans="1:27" ht="15" customHeight="1" x14ac:dyDescent="0.35">
      <c r="A15" s="246">
        <v>44963</v>
      </c>
      <c r="B15" s="245"/>
      <c r="C15" s="212" t="s">
        <v>280</v>
      </c>
      <c r="D15" s="15"/>
      <c r="E15" s="15">
        <v>2</v>
      </c>
      <c r="F15" s="9">
        <v>880</v>
      </c>
      <c r="G15" s="29">
        <f t="shared" si="0"/>
        <v>1760</v>
      </c>
      <c r="H15" s="11"/>
      <c r="I15" s="10"/>
      <c r="J15" s="29">
        <f t="shared" si="1"/>
        <v>0</v>
      </c>
      <c r="K15" s="29"/>
      <c r="L15" s="223">
        <f t="shared" si="2"/>
        <v>1760</v>
      </c>
      <c r="M15" s="12"/>
      <c r="N15" s="218" t="str">
        <f t="shared" si="3"/>
        <v xml:space="preserve"> </v>
      </c>
      <c r="O15" s="190"/>
      <c r="P15" s="190"/>
      <c r="Q15" s="190"/>
      <c r="R15" s="189" t="str">
        <f t="shared" si="4"/>
        <v xml:space="preserve"> </v>
      </c>
      <c r="S15" s="190"/>
      <c r="T15" s="253"/>
      <c r="U15" s="19"/>
      <c r="V15" s="253"/>
      <c r="W15" s="253"/>
      <c r="X15" s="16"/>
    </row>
    <row r="16" spans="1:27" ht="15" customHeight="1" x14ac:dyDescent="0.35">
      <c r="A16" s="246">
        <v>44964</v>
      </c>
      <c r="B16" s="245"/>
      <c r="C16" s="212" t="s">
        <v>112</v>
      </c>
      <c r="D16" s="15"/>
      <c r="E16" s="15">
        <v>10</v>
      </c>
      <c r="F16" s="9">
        <v>850</v>
      </c>
      <c r="G16" s="29">
        <f t="shared" si="0"/>
        <v>8500</v>
      </c>
      <c r="H16" s="11"/>
      <c r="I16" s="10"/>
      <c r="J16" s="29">
        <f t="shared" si="1"/>
        <v>0</v>
      </c>
      <c r="K16" s="29"/>
      <c r="L16" s="223">
        <f t="shared" si="2"/>
        <v>8500</v>
      </c>
      <c r="M16" s="12"/>
      <c r="N16" s="218" t="str">
        <f t="shared" si="3"/>
        <v xml:space="preserve"> </v>
      </c>
      <c r="O16" s="189"/>
      <c r="P16" s="189"/>
      <c r="Q16" s="189"/>
      <c r="R16" s="189" t="str">
        <f t="shared" si="4"/>
        <v xml:space="preserve"> </v>
      </c>
      <c r="S16" s="189"/>
      <c r="T16" s="253"/>
      <c r="U16" s="13"/>
      <c r="V16" s="253"/>
      <c r="W16" s="253"/>
      <c r="X16" s="16"/>
    </row>
    <row r="17" spans="1:24" ht="15" customHeight="1" x14ac:dyDescent="0.35">
      <c r="A17" s="246">
        <v>44964</v>
      </c>
      <c r="B17" s="245"/>
      <c r="C17" s="212" t="s">
        <v>318</v>
      </c>
      <c r="D17" s="15"/>
      <c r="E17" s="15">
        <v>1</v>
      </c>
      <c r="F17" s="9">
        <v>900</v>
      </c>
      <c r="G17" s="29">
        <f t="shared" si="0"/>
        <v>900</v>
      </c>
      <c r="H17" s="11"/>
      <c r="I17" s="10"/>
      <c r="J17" s="29">
        <f t="shared" si="1"/>
        <v>0</v>
      </c>
      <c r="K17" s="29"/>
      <c r="L17" s="223">
        <f t="shared" si="2"/>
        <v>900</v>
      </c>
      <c r="M17" s="223"/>
      <c r="N17" s="218" t="str">
        <f t="shared" si="3"/>
        <v xml:space="preserve"> </v>
      </c>
      <c r="O17" s="189"/>
      <c r="P17" s="189"/>
      <c r="Q17" s="189"/>
      <c r="R17" s="189" t="str">
        <f t="shared" si="4"/>
        <v xml:space="preserve"> </v>
      </c>
      <c r="S17" s="189"/>
      <c r="T17" s="253"/>
      <c r="U17" s="13"/>
      <c r="V17" s="253"/>
      <c r="W17" s="253"/>
      <c r="X17" s="16"/>
    </row>
    <row r="18" spans="1:24" ht="15" customHeight="1" x14ac:dyDescent="0.35">
      <c r="A18" s="245">
        <v>44965</v>
      </c>
      <c r="B18" s="245"/>
      <c r="C18" s="212" t="s">
        <v>321</v>
      </c>
      <c r="D18" s="15">
        <v>1</v>
      </c>
      <c r="E18" s="15"/>
      <c r="F18" s="9">
        <v>880</v>
      </c>
      <c r="G18" s="29">
        <f t="shared" si="0"/>
        <v>880</v>
      </c>
      <c r="H18" s="11"/>
      <c r="I18" s="10"/>
      <c r="J18" s="29">
        <f t="shared" si="1"/>
        <v>0</v>
      </c>
      <c r="K18" s="29"/>
      <c r="L18" s="223">
        <f t="shared" si="2"/>
        <v>880</v>
      </c>
      <c r="M18" s="213"/>
      <c r="N18" s="218" t="str">
        <f t="shared" si="3"/>
        <v xml:space="preserve"> </v>
      </c>
      <c r="O18" s="189"/>
      <c r="P18" s="189"/>
      <c r="Q18" s="189"/>
      <c r="R18" s="189" t="str">
        <f t="shared" si="4"/>
        <v xml:space="preserve"> </v>
      </c>
      <c r="S18" s="189"/>
      <c r="T18" s="253"/>
      <c r="U18" s="13"/>
      <c r="V18" s="253"/>
      <c r="W18" s="253"/>
      <c r="X18" s="16"/>
    </row>
    <row r="19" spans="1:24" ht="15" customHeight="1" x14ac:dyDescent="0.35">
      <c r="A19" s="245">
        <v>44965</v>
      </c>
      <c r="B19" s="245"/>
      <c r="C19" s="212" t="s">
        <v>152</v>
      </c>
      <c r="D19" s="15">
        <v>8</v>
      </c>
      <c r="E19" s="15"/>
      <c r="F19" s="9">
        <v>860</v>
      </c>
      <c r="G19" s="29">
        <f t="shared" si="0"/>
        <v>6880</v>
      </c>
      <c r="H19" s="11"/>
      <c r="I19" s="10"/>
      <c r="J19" s="29">
        <f t="shared" si="1"/>
        <v>0</v>
      </c>
      <c r="K19" s="29"/>
      <c r="L19" s="223">
        <f t="shared" si="2"/>
        <v>6880</v>
      </c>
      <c r="M19" s="223"/>
      <c r="N19" s="218" t="str">
        <f t="shared" si="3"/>
        <v xml:space="preserve"> </v>
      </c>
      <c r="O19" s="189"/>
      <c r="P19" s="189"/>
      <c r="Q19" s="189"/>
      <c r="R19" s="189" t="str">
        <f t="shared" si="4"/>
        <v xml:space="preserve"> </v>
      </c>
      <c r="S19" s="189"/>
      <c r="T19" s="253"/>
      <c r="U19" s="13"/>
      <c r="V19" s="253"/>
      <c r="W19" s="253"/>
      <c r="X19" s="16"/>
    </row>
    <row r="20" spans="1:24" ht="15" customHeight="1" x14ac:dyDescent="0.35">
      <c r="A20" s="245">
        <v>44966</v>
      </c>
      <c r="B20" s="245"/>
      <c r="C20" s="212" t="s">
        <v>323</v>
      </c>
      <c r="D20" s="15">
        <v>2</v>
      </c>
      <c r="E20" s="15"/>
      <c r="F20" s="9">
        <v>880</v>
      </c>
      <c r="G20" s="29">
        <f t="shared" si="0"/>
        <v>1760</v>
      </c>
      <c r="H20" s="11"/>
      <c r="I20" s="10"/>
      <c r="J20" s="29">
        <f t="shared" si="1"/>
        <v>0</v>
      </c>
      <c r="K20" s="29"/>
      <c r="L20" s="223">
        <f t="shared" si="2"/>
        <v>1760</v>
      </c>
      <c r="M20" s="12"/>
      <c r="N20" s="218" t="str">
        <f t="shared" si="3"/>
        <v xml:space="preserve"> </v>
      </c>
      <c r="O20" s="189"/>
      <c r="P20" s="189"/>
      <c r="Q20" s="189"/>
      <c r="R20" s="189" t="str">
        <f t="shared" si="4"/>
        <v xml:space="preserve"> </v>
      </c>
      <c r="S20" s="189"/>
      <c r="T20" s="253"/>
      <c r="U20" s="13"/>
      <c r="V20" s="253"/>
      <c r="W20" s="253"/>
      <c r="X20" s="16"/>
    </row>
    <row r="21" spans="1:24" ht="15" customHeight="1" x14ac:dyDescent="0.35">
      <c r="A21" s="245">
        <v>44966</v>
      </c>
      <c r="B21" s="245"/>
      <c r="C21" s="212" t="s">
        <v>279</v>
      </c>
      <c r="D21" s="15"/>
      <c r="E21" s="15">
        <v>6</v>
      </c>
      <c r="F21" s="9">
        <v>860</v>
      </c>
      <c r="G21" s="29">
        <f t="shared" si="0"/>
        <v>5160</v>
      </c>
      <c r="H21" s="11"/>
      <c r="I21" s="10"/>
      <c r="J21" s="29">
        <f t="shared" si="1"/>
        <v>0</v>
      </c>
      <c r="K21" s="29"/>
      <c r="L21" s="223">
        <f t="shared" si="2"/>
        <v>5160</v>
      </c>
      <c r="M21" s="12"/>
      <c r="N21" s="218" t="str">
        <f t="shared" si="3"/>
        <v xml:space="preserve"> </v>
      </c>
      <c r="O21" s="189"/>
      <c r="P21" s="189"/>
      <c r="Q21" s="189"/>
      <c r="R21" s="189" t="str">
        <f t="shared" si="4"/>
        <v xml:space="preserve"> </v>
      </c>
      <c r="S21" s="189"/>
      <c r="T21" s="253"/>
      <c r="U21" s="13"/>
      <c r="V21" s="253"/>
      <c r="W21" s="253"/>
      <c r="X21" s="16"/>
    </row>
    <row r="22" spans="1:24" ht="15" customHeight="1" x14ac:dyDescent="0.35">
      <c r="A22" s="245">
        <v>44966</v>
      </c>
      <c r="B22" s="245"/>
      <c r="C22" s="212" t="s">
        <v>281</v>
      </c>
      <c r="D22" s="15"/>
      <c r="E22" s="15">
        <v>6</v>
      </c>
      <c r="F22" s="9">
        <v>860</v>
      </c>
      <c r="G22" s="29">
        <f t="shared" si="0"/>
        <v>5160</v>
      </c>
      <c r="H22" s="11"/>
      <c r="I22" s="10"/>
      <c r="J22" s="29">
        <f t="shared" si="1"/>
        <v>0</v>
      </c>
      <c r="K22" s="29"/>
      <c r="L22" s="223">
        <f t="shared" si="2"/>
        <v>5160</v>
      </c>
      <c r="M22" s="12"/>
      <c r="N22" s="218" t="str">
        <f t="shared" si="3"/>
        <v xml:space="preserve"> </v>
      </c>
      <c r="O22" s="189"/>
      <c r="P22" s="189"/>
      <c r="Q22" s="189"/>
      <c r="R22" s="189" t="str">
        <f t="shared" si="4"/>
        <v xml:space="preserve"> </v>
      </c>
      <c r="S22" s="189"/>
      <c r="T22" s="253"/>
      <c r="U22" s="13"/>
      <c r="V22" s="253"/>
      <c r="W22" s="253"/>
      <c r="X22" s="16"/>
    </row>
    <row r="23" spans="1:24" ht="15" customHeight="1" x14ac:dyDescent="0.35">
      <c r="A23" s="245">
        <v>44966</v>
      </c>
      <c r="B23" s="245"/>
      <c r="C23" s="212" t="s">
        <v>330</v>
      </c>
      <c r="D23" s="15"/>
      <c r="E23" s="15">
        <v>3</v>
      </c>
      <c r="F23" s="9">
        <v>880</v>
      </c>
      <c r="G23" s="29">
        <f t="shared" si="0"/>
        <v>2640</v>
      </c>
      <c r="H23" s="11"/>
      <c r="I23" s="10"/>
      <c r="J23" s="29">
        <f t="shared" si="1"/>
        <v>0</v>
      </c>
      <c r="K23" s="29"/>
      <c r="L23" s="223">
        <f t="shared" si="2"/>
        <v>2640</v>
      </c>
      <c r="M23" s="12"/>
      <c r="N23" s="218" t="str">
        <f t="shared" si="3"/>
        <v xml:space="preserve"> </v>
      </c>
      <c r="O23" s="189"/>
      <c r="P23" s="189"/>
      <c r="Q23" s="189"/>
      <c r="R23" s="189" t="str">
        <f t="shared" si="4"/>
        <v xml:space="preserve"> </v>
      </c>
      <c r="S23" s="189"/>
      <c r="T23" s="253"/>
      <c r="U23" s="13"/>
      <c r="V23" s="253"/>
      <c r="W23" s="253"/>
      <c r="X23" s="16"/>
    </row>
    <row r="24" spans="1:24" ht="15" customHeight="1" x14ac:dyDescent="0.35">
      <c r="A24" s="250">
        <v>44966</v>
      </c>
      <c r="B24" s="250"/>
      <c r="C24" s="212" t="s">
        <v>326</v>
      </c>
      <c r="D24" s="15"/>
      <c r="E24" s="15">
        <v>1</v>
      </c>
      <c r="F24" s="9">
        <v>900</v>
      </c>
      <c r="G24" s="29">
        <f t="shared" si="0"/>
        <v>900</v>
      </c>
      <c r="H24" s="11"/>
      <c r="I24" s="10"/>
      <c r="J24" s="29">
        <f t="shared" si="1"/>
        <v>0</v>
      </c>
      <c r="K24" s="29"/>
      <c r="L24" s="223">
        <f t="shared" si="2"/>
        <v>900</v>
      </c>
      <c r="M24" s="12"/>
      <c r="N24" s="218" t="str">
        <f t="shared" si="3"/>
        <v xml:space="preserve"> </v>
      </c>
      <c r="O24" s="189"/>
      <c r="P24" s="189"/>
      <c r="Q24" s="189"/>
      <c r="R24" s="189" t="str">
        <f t="shared" si="4"/>
        <v xml:space="preserve"> </v>
      </c>
      <c r="S24" s="189"/>
      <c r="T24" s="253"/>
      <c r="U24" s="13"/>
      <c r="V24" s="253"/>
      <c r="W24" s="253"/>
      <c r="X24" s="16"/>
    </row>
    <row r="25" spans="1:24" ht="15" customHeight="1" x14ac:dyDescent="0.35">
      <c r="A25" s="245">
        <v>44967</v>
      </c>
      <c r="B25" s="245"/>
      <c r="C25" s="211" t="s">
        <v>328</v>
      </c>
      <c r="D25" s="15">
        <v>4</v>
      </c>
      <c r="E25" s="15"/>
      <c r="F25" s="9">
        <v>860</v>
      </c>
      <c r="G25" s="29">
        <f t="shared" si="0"/>
        <v>3440</v>
      </c>
      <c r="H25" s="11"/>
      <c r="I25" s="10"/>
      <c r="J25" s="29">
        <f t="shared" si="1"/>
        <v>0</v>
      </c>
      <c r="K25" s="29"/>
      <c r="L25" s="223">
        <f t="shared" si="2"/>
        <v>3440</v>
      </c>
      <c r="M25" s="12"/>
      <c r="N25" s="218" t="str">
        <f t="shared" si="3"/>
        <v xml:space="preserve"> </v>
      </c>
      <c r="O25" s="189"/>
      <c r="P25" s="189"/>
      <c r="Q25" s="189"/>
      <c r="R25" s="189" t="str">
        <f t="shared" si="4"/>
        <v xml:space="preserve"> </v>
      </c>
      <c r="S25" s="189"/>
      <c r="T25" s="253"/>
      <c r="U25" s="13"/>
      <c r="V25" s="253"/>
      <c r="W25" s="253"/>
      <c r="X25" s="16"/>
    </row>
    <row r="26" spans="1:24" ht="15" customHeight="1" x14ac:dyDescent="0.35">
      <c r="A26" s="246">
        <v>44967</v>
      </c>
      <c r="B26" s="245"/>
      <c r="C26" s="211" t="s">
        <v>338</v>
      </c>
      <c r="D26" s="15">
        <v>1</v>
      </c>
      <c r="E26" s="15"/>
      <c r="F26" s="9">
        <v>860</v>
      </c>
      <c r="G26" s="29">
        <f t="shared" si="0"/>
        <v>860</v>
      </c>
      <c r="H26" s="11"/>
      <c r="I26" s="10"/>
      <c r="J26" s="29">
        <f t="shared" si="1"/>
        <v>0</v>
      </c>
      <c r="K26" s="29"/>
      <c r="L26" s="223">
        <f t="shared" si="2"/>
        <v>860</v>
      </c>
      <c r="M26" s="12"/>
      <c r="N26" s="218" t="str">
        <f t="shared" si="3"/>
        <v xml:space="preserve"> </v>
      </c>
      <c r="O26" s="189"/>
      <c r="P26" s="189"/>
      <c r="Q26" s="189"/>
      <c r="R26" s="189" t="str">
        <f t="shared" si="4"/>
        <v xml:space="preserve"> </v>
      </c>
      <c r="S26" s="189"/>
      <c r="T26" s="253"/>
      <c r="U26" s="13"/>
      <c r="V26" s="253"/>
      <c r="W26" s="253"/>
      <c r="X26" s="16"/>
    </row>
    <row r="27" spans="1:24" ht="15" customHeight="1" x14ac:dyDescent="0.35">
      <c r="A27" s="245">
        <v>44968</v>
      </c>
      <c r="B27" s="245"/>
      <c r="C27" s="212" t="s">
        <v>321</v>
      </c>
      <c r="D27" s="15">
        <v>2</v>
      </c>
      <c r="E27" s="15"/>
      <c r="F27" s="9">
        <v>880</v>
      </c>
      <c r="G27" s="29">
        <f t="shared" si="0"/>
        <v>1760</v>
      </c>
      <c r="H27" s="11"/>
      <c r="I27" s="10"/>
      <c r="J27" s="29">
        <f t="shared" si="1"/>
        <v>0</v>
      </c>
      <c r="K27" s="29"/>
      <c r="L27" s="223">
        <f t="shared" si="2"/>
        <v>1760</v>
      </c>
      <c r="M27" s="12"/>
      <c r="N27" s="218" t="str">
        <f t="shared" si="3"/>
        <v xml:space="preserve"> </v>
      </c>
      <c r="O27" s="189"/>
      <c r="P27" s="189"/>
      <c r="Q27" s="189"/>
      <c r="R27" s="189" t="str">
        <f t="shared" si="4"/>
        <v xml:space="preserve"> </v>
      </c>
      <c r="S27" s="189"/>
      <c r="T27" s="253"/>
      <c r="U27" s="13"/>
      <c r="V27" s="253"/>
      <c r="W27" s="253"/>
      <c r="X27" s="16"/>
    </row>
    <row r="28" spans="1:24" ht="15" customHeight="1" x14ac:dyDescent="0.35">
      <c r="A28" s="245">
        <v>44968</v>
      </c>
      <c r="B28" s="245"/>
      <c r="C28" s="212" t="s">
        <v>322</v>
      </c>
      <c r="D28" s="15">
        <v>1</v>
      </c>
      <c r="E28" s="15"/>
      <c r="F28" s="9">
        <v>900</v>
      </c>
      <c r="G28" s="29">
        <f t="shared" si="0"/>
        <v>900</v>
      </c>
      <c r="H28" s="11"/>
      <c r="I28" s="10"/>
      <c r="J28" s="29">
        <f t="shared" si="1"/>
        <v>0</v>
      </c>
      <c r="K28" s="29"/>
      <c r="L28" s="223">
        <f t="shared" si="2"/>
        <v>900</v>
      </c>
      <c r="M28" s="12"/>
      <c r="N28" s="218" t="str">
        <f t="shared" si="3"/>
        <v xml:space="preserve"> </v>
      </c>
      <c r="O28" s="189"/>
      <c r="P28" s="189"/>
      <c r="Q28" s="189"/>
      <c r="R28" s="189" t="str">
        <f t="shared" si="4"/>
        <v xml:space="preserve"> </v>
      </c>
      <c r="S28" s="189"/>
      <c r="T28" s="253"/>
      <c r="U28" s="13"/>
      <c r="V28" s="253"/>
      <c r="W28" s="253"/>
      <c r="X28" s="16"/>
    </row>
    <row r="29" spans="1:24" ht="15" customHeight="1" x14ac:dyDescent="0.35">
      <c r="A29" s="245">
        <v>44968</v>
      </c>
      <c r="B29" s="245"/>
      <c r="C29" s="248" t="s">
        <v>339</v>
      </c>
      <c r="D29" s="15">
        <v>4</v>
      </c>
      <c r="E29" s="15"/>
      <c r="F29" s="9">
        <v>860</v>
      </c>
      <c r="G29" s="29">
        <f t="shared" si="0"/>
        <v>3440</v>
      </c>
      <c r="H29" s="11"/>
      <c r="I29" s="10"/>
      <c r="J29" s="29">
        <f t="shared" si="1"/>
        <v>0</v>
      </c>
      <c r="K29" s="29"/>
      <c r="L29" s="223">
        <f t="shared" si="2"/>
        <v>3440</v>
      </c>
      <c r="M29" s="12"/>
      <c r="N29" s="239" t="str">
        <f t="shared" si="3"/>
        <v xml:space="preserve"> </v>
      </c>
      <c r="O29" s="189"/>
      <c r="P29" s="189"/>
      <c r="Q29" s="189"/>
      <c r="R29" s="189" t="str">
        <f t="shared" si="4"/>
        <v xml:space="preserve"> </v>
      </c>
      <c r="S29" s="189"/>
      <c r="T29" s="253"/>
      <c r="U29" s="13"/>
      <c r="V29" s="253"/>
      <c r="W29" s="253"/>
      <c r="X29" s="16"/>
    </row>
    <row r="30" spans="1:24" ht="15" customHeight="1" x14ac:dyDescent="0.35">
      <c r="A30" s="245">
        <v>44970</v>
      </c>
      <c r="B30" s="245"/>
      <c r="C30" s="248" t="s">
        <v>296</v>
      </c>
      <c r="D30" s="15"/>
      <c r="E30" s="15">
        <v>4</v>
      </c>
      <c r="F30" s="9">
        <v>900</v>
      </c>
      <c r="G30" s="29">
        <f t="shared" si="0"/>
        <v>3600</v>
      </c>
      <c r="H30" s="11"/>
      <c r="I30" s="10"/>
      <c r="J30" s="29">
        <f t="shared" si="1"/>
        <v>0</v>
      </c>
      <c r="K30" s="29"/>
      <c r="L30" s="223">
        <f t="shared" si="2"/>
        <v>3600</v>
      </c>
      <c r="M30" s="207"/>
      <c r="N30" s="218" t="str">
        <f t="shared" si="3"/>
        <v xml:space="preserve"> </v>
      </c>
      <c r="O30" s="189"/>
      <c r="P30" s="189"/>
      <c r="Q30" s="189"/>
      <c r="R30" s="189" t="str">
        <f t="shared" si="4"/>
        <v xml:space="preserve"> </v>
      </c>
      <c r="S30" s="189"/>
      <c r="T30" s="253"/>
      <c r="U30" s="13"/>
      <c r="V30" s="253"/>
      <c r="W30" s="253"/>
      <c r="X30" s="16"/>
    </row>
    <row r="31" spans="1:24" ht="15" customHeight="1" x14ac:dyDescent="0.35">
      <c r="A31" s="245">
        <v>44971</v>
      </c>
      <c r="B31" s="245"/>
      <c r="C31" s="212" t="s">
        <v>279</v>
      </c>
      <c r="D31" s="15"/>
      <c r="E31" s="15">
        <v>6</v>
      </c>
      <c r="F31" s="9">
        <v>860</v>
      </c>
      <c r="G31" s="29">
        <f t="shared" si="0"/>
        <v>5160</v>
      </c>
      <c r="H31" s="11"/>
      <c r="I31" s="10"/>
      <c r="J31" s="29">
        <f t="shared" si="1"/>
        <v>0</v>
      </c>
      <c r="K31" s="29"/>
      <c r="L31" s="223">
        <f t="shared" si="2"/>
        <v>5160</v>
      </c>
      <c r="M31" s="12"/>
      <c r="N31" s="218" t="str">
        <f t="shared" si="3"/>
        <v xml:space="preserve"> </v>
      </c>
      <c r="O31" s="189"/>
      <c r="P31" s="189"/>
      <c r="Q31" s="189"/>
      <c r="R31" s="189" t="str">
        <f t="shared" si="4"/>
        <v xml:space="preserve"> </v>
      </c>
      <c r="S31" s="189"/>
      <c r="T31" s="253"/>
      <c r="U31" s="13"/>
      <c r="V31" s="253"/>
      <c r="W31" s="253"/>
      <c r="X31" s="16"/>
    </row>
    <row r="32" spans="1:24" ht="15" customHeight="1" x14ac:dyDescent="0.35">
      <c r="A32" s="245">
        <v>44971</v>
      </c>
      <c r="B32" s="245"/>
      <c r="C32" s="211" t="s">
        <v>324</v>
      </c>
      <c r="D32" s="15"/>
      <c r="E32" s="15">
        <v>2</v>
      </c>
      <c r="F32" s="9">
        <v>880</v>
      </c>
      <c r="G32" s="29">
        <f t="shared" si="0"/>
        <v>1760</v>
      </c>
      <c r="H32" s="11"/>
      <c r="I32" s="10"/>
      <c r="J32" s="29">
        <f t="shared" si="1"/>
        <v>0</v>
      </c>
      <c r="K32" s="29"/>
      <c r="L32" s="223">
        <f t="shared" si="2"/>
        <v>1760</v>
      </c>
      <c r="M32" s="213"/>
      <c r="N32" s="218" t="str">
        <f t="shared" si="3"/>
        <v xml:space="preserve"> </v>
      </c>
      <c r="O32" s="189"/>
      <c r="P32" s="189"/>
      <c r="Q32" s="189"/>
      <c r="R32" s="189" t="str">
        <f t="shared" si="4"/>
        <v xml:space="preserve"> </v>
      </c>
      <c r="S32" s="189"/>
      <c r="T32" s="253"/>
      <c r="U32" s="13"/>
      <c r="V32" s="253"/>
      <c r="W32" s="253"/>
      <c r="X32" s="16"/>
    </row>
    <row r="33" spans="1:24" ht="15" customHeight="1" x14ac:dyDescent="0.35">
      <c r="A33" s="245">
        <v>44974</v>
      </c>
      <c r="B33" s="245"/>
      <c r="C33" s="211" t="s">
        <v>296</v>
      </c>
      <c r="D33" s="15">
        <v>2</v>
      </c>
      <c r="E33" s="15"/>
      <c r="F33" s="9">
        <v>900</v>
      </c>
      <c r="G33" s="29">
        <f t="shared" si="0"/>
        <v>1800</v>
      </c>
      <c r="H33" s="11"/>
      <c r="I33" s="10"/>
      <c r="J33" s="29">
        <f t="shared" si="1"/>
        <v>0</v>
      </c>
      <c r="K33" s="29"/>
      <c r="L33" s="223">
        <f t="shared" si="2"/>
        <v>1800</v>
      </c>
      <c r="M33" s="12"/>
      <c r="N33" s="218" t="str">
        <f t="shared" si="3"/>
        <v xml:space="preserve"> </v>
      </c>
      <c r="O33" s="189"/>
      <c r="P33" s="189"/>
      <c r="Q33" s="189"/>
      <c r="R33" s="189" t="str">
        <f t="shared" si="4"/>
        <v xml:space="preserve"> </v>
      </c>
      <c r="S33" s="189"/>
      <c r="T33" s="253"/>
      <c r="U33" s="13"/>
      <c r="V33" s="253"/>
      <c r="W33" s="253"/>
      <c r="X33" s="16"/>
    </row>
    <row r="34" spans="1:24" ht="15" customHeight="1" x14ac:dyDescent="0.35">
      <c r="A34" s="245">
        <v>44975</v>
      </c>
      <c r="B34" s="245"/>
      <c r="C34" s="212" t="s">
        <v>323</v>
      </c>
      <c r="D34" s="15">
        <v>1</v>
      </c>
      <c r="E34" s="15"/>
      <c r="F34" s="9">
        <v>880</v>
      </c>
      <c r="G34" s="29">
        <f t="shared" si="0"/>
        <v>880</v>
      </c>
      <c r="H34" s="11"/>
      <c r="I34" s="10"/>
      <c r="J34" s="29">
        <f t="shared" si="1"/>
        <v>0</v>
      </c>
      <c r="K34" s="29"/>
      <c r="L34" s="223">
        <f t="shared" si="2"/>
        <v>880</v>
      </c>
      <c r="M34" s="12"/>
      <c r="N34" s="218" t="str">
        <f t="shared" si="3"/>
        <v xml:space="preserve"> </v>
      </c>
      <c r="O34" s="189"/>
      <c r="P34" s="189"/>
      <c r="Q34" s="189"/>
      <c r="R34" s="189" t="str">
        <f t="shared" si="4"/>
        <v xml:space="preserve"> </v>
      </c>
      <c r="S34" s="189"/>
      <c r="T34" s="253"/>
      <c r="U34" s="13"/>
      <c r="V34" s="253"/>
      <c r="W34" s="253"/>
      <c r="X34" s="16"/>
    </row>
    <row r="35" spans="1:24" ht="15" customHeight="1" x14ac:dyDescent="0.35">
      <c r="A35" s="245">
        <v>44980</v>
      </c>
      <c r="B35" s="246"/>
      <c r="C35" s="211" t="s">
        <v>280</v>
      </c>
      <c r="D35" s="15">
        <v>2</v>
      </c>
      <c r="E35" s="15"/>
      <c r="F35" s="9">
        <v>880</v>
      </c>
      <c r="G35" s="29">
        <f t="shared" si="0"/>
        <v>1760</v>
      </c>
      <c r="H35" s="11"/>
      <c r="I35" s="10"/>
      <c r="J35" s="29">
        <f t="shared" si="1"/>
        <v>0</v>
      </c>
      <c r="K35" s="29"/>
      <c r="L35" s="223">
        <f t="shared" si="2"/>
        <v>1760</v>
      </c>
      <c r="M35" s="12"/>
      <c r="N35" s="218" t="str">
        <f t="shared" si="3"/>
        <v xml:space="preserve"> </v>
      </c>
      <c r="O35" s="189"/>
      <c r="P35" s="189"/>
      <c r="Q35" s="189"/>
      <c r="R35" s="189" t="str">
        <f t="shared" si="4"/>
        <v xml:space="preserve"> </v>
      </c>
      <c r="S35" s="189"/>
      <c r="T35" s="253"/>
      <c r="U35" s="13"/>
      <c r="V35" s="253"/>
      <c r="W35" s="253"/>
      <c r="X35" s="16"/>
    </row>
    <row r="36" spans="1:24" ht="15" customHeight="1" x14ac:dyDescent="0.35">
      <c r="A36" s="245">
        <v>44980</v>
      </c>
      <c r="B36" s="246"/>
      <c r="C36" s="212" t="s">
        <v>296</v>
      </c>
      <c r="D36" s="15">
        <v>4</v>
      </c>
      <c r="E36" s="15"/>
      <c r="F36" s="9">
        <v>900</v>
      </c>
      <c r="G36" s="29">
        <f t="shared" si="0"/>
        <v>3600</v>
      </c>
      <c r="H36" s="11"/>
      <c r="I36" s="10"/>
      <c r="J36" s="29">
        <f t="shared" si="1"/>
        <v>0</v>
      </c>
      <c r="K36" s="29"/>
      <c r="L36" s="223">
        <f t="shared" si="2"/>
        <v>3600</v>
      </c>
      <c r="M36" s="12"/>
      <c r="N36" s="218" t="str">
        <f t="shared" si="3"/>
        <v xml:space="preserve"> </v>
      </c>
      <c r="O36" s="189"/>
      <c r="P36" s="189"/>
      <c r="Q36" s="189"/>
      <c r="R36" s="189" t="str">
        <f t="shared" si="4"/>
        <v xml:space="preserve"> </v>
      </c>
      <c r="S36" s="189"/>
      <c r="T36" s="253"/>
      <c r="U36" s="13"/>
      <c r="V36" s="253"/>
      <c r="W36" s="253"/>
      <c r="X36" s="16"/>
    </row>
    <row r="37" spans="1:24" ht="15" customHeight="1" x14ac:dyDescent="0.35">
      <c r="A37" s="245">
        <v>44981</v>
      </c>
      <c r="B37" s="246"/>
      <c r="C37" s="211" t="s">
        <v>321</v>
      </c>
      <c r="D37" s="15">
        <v>3</v>
      </c>
      <c r="E37" s="15"/>
      <c r="F37" s="9">
        <v>880</v>
      </c>
      <c r="G37" s="29">
        <f t="shared" si="0"/>
        <v>2640</v>
      </c>
      <c r="H37" s="11"/>
      <c r="I37" s="10"/>
      <c r="J37" s="29">
        <f t="shared" si="1"/>
        <v>0</v>
      </c>
      <c r="K37" s="29"/>
      <c r="L37" s="223">
        <f t="shared" si="2"/>
        <v>2640</v>
      </c>
      <c r="M37" s="12"/>
      <c r="N37" s="218" t="str">
        <f t="shared" si="3"/>
        <v xml:space="preserve"> </v>
      </c>
      <c r="O37" s="189"/>
      <c r="P37" s="189"/>
      <c r="Q37" s="189"/>
      <c r="R37" s="189" t="str">
        <f t="shared" si="4"/>
        <v xml:space="preserve"> </v>
      </c>
      <c r="S37" s="189"/>
      <c r="T37" s="253"/>
      <c r="U37" s="13"/>
      <c r="V37" s="253"/>
      <c r="W37" s="253"/>
      <c r="X37" s="16"/>
    </row>
    <row r="38" spans="1:24" ht="15" customHeight="1" x14ac:dyDescent="0.35">
      <c r="A38" s="245">
        <v>44981</v>
      </c>
      <c r="B38" s="246"/>
      <c r="C38" s="212" t="s">
        <v>152</v>
      </c>
      <c r="D38" s="15">
        <v>4</v>
      </c>
      <c r="E38" s="15"/>
      <c r="F38" s="9">
        <v>860</v>
      </c>
      <c r="G38" s="29">
        <f t="shared" si="0"/>
        <v>3440</v>
      </c>
      <c r="H38" s="11"/>
      <c r="I38" s="10"/>
      <c r="J38" s="29">
        <f t="shared" si="1"/>
        <v>0</v>
      </c>
      <c r="K38" s="29"/>
      <c r="L38" s="223">
        <f t="shared" si="2"/>
        <v>3440</v>
      </c>
      <c r="M38" s="12"/>
      <c r="N38" s="218" t="str">
        <f t="shared" si="3"/>
        <v xml:space="preserve"> </v>
      </c>
      <c r="O38" s="189"/>
      <c r="P38" s="189"/>
      <c r="Q38" s="189"/>
      <c r="R38" s="189" t="str">
        <f t="shared" si="4"/>
        <v xml:space="preserve"> </v>
      </c>
      <c r="S38" s="189"/>
      <c r="T38" s="253"/>
      <c r="U38" s="13"/>
      <c r="V38" s="253"/>
      <c r="W38" s="253"/>
      <c r="X38" s="16"/>
    </row>
    <row r="39" spans="1:24" ht="15" customHeight="1" x14ac:dyDescent="0.35">
      <c r="A39" s="245">
        <v>44981</v>
      </c>
      <c r="B39" s="246"/>
      <c r="C39" s="211" t="s">
        <v>340</v>
      </c>
      <c r="D39" s="15">
        <v>2</v>
      </c>
      <c r="E39" s="15"/>
      <c r="F39" s="9">
        <v>860</v>
      </c>
      <c r="G39" s="29">
        <f t="shared" si="0"/>
        <v>1720</v>
      </c>
      <c r="H39" s="11"/>
      <c r="I39" s="10"/>
      <c r="J39" s="29">
        <f t="shared" si="1"/>
        <v>0</v>
      </c>
      <c r="K39" s="29"/>
      <c r="L39" s="223">
        <f t="shared" si="2"/>
        <v>1720</v>
      </c>
      <c r="M39" s="12"/>
      <c r="N39" s="218" t="str">
        <f t="shared" si="3"/>
        <v xml:space="preserve"> </v>
      </c>
      <c r="O39" s="189"/>
      <c r="P39" s="189"/>
      <c r="Q39" s="189"/>
      <c r="R39" s="189" t="str">
        <f t="shared" si="4"/>
        <v xml:space="preserve"> </v>
      </c>
      <c r="S39" s="189"/>
      <c r="T39" s="253"/>
      <c r="U39" s="13"/>
      <c r="V39" s="253"/>
      <c r="W39" s="253"/>
      <c r="X39" s="16"/>
    </row>
    <row r="40" spans="1:24" ht="15" customHeight="1" x14ac:dyDescent="0.35">
      <c r="A40" s="245">
        <v>44982</v>
      </c>
      <c r="B40" s="246"/>
      <c r="C40" s="212" t="s">
        <v>323</v>
      </c>
      <c r="D40" s="15">
        <v>1</v>
      </c>
      <c r="E40" s="15"/>
      <c r="F40" s="9">
        <v>880</v>
      </c>
      <c r="G40" s="29">
        <f t="shared" si="0"/>
        <v>880</v>
      </c>
      <c r="H40" s="11"/>
      <c r="I40" s="10"/>
      <c r="J40" s="29">
        <f t="shared" si="1"/>
        <v>0</v>
      </c>
      <c r="K40" s="29"/>
      <c r="L40" s="223">
        <f t="shared" si="2"/>
        <v>880</v>
      </c>
      <c r="M40" s="12"/>
      <c r="N40" s="218" t="str">
        <f t="shared" si="3"/>
        <v xml:space="preserve"> </v>
      </c>
      <c r="O40" s="189"/>
      <c r="P40" s="189"/>
      <c r="Q40" s="189"/>
      <c r="R40" s="189" t="str">
        <f t="shared" si="4"/>
        <v xml:space="preserve"> </v>
      </c>
      <c r="S40" s="189"/>
      <c r="T40" s="253"/>
      <c r="U40" s="13"/>
      <c r="V40" s="253"/>
      <c r="W40" s="253"/>
      <c r="X40" s="16"/>
    </row>
    <row r="41" spans="1:24" ht="15" customHeight="1" x14ac:dyDescent="0.35">
      <c r="A41" s="245">
        <v>44982</v>
      </c>
      <c r="B41" s="246"/>
      <c r="C41" s="211" t="s">
        <v>339</v>
      </c>
      <c r="D41" s="15">
        <v>3</v>
      </c>
      <c r="E41" s="15"/>
      <c r="F41" s="9">
        <v>860</v>
      </c>
      <c r="G41" s="29">
        <f t="shared" si="0"/>
        <v>2580</v>
      </c>
      <c r="H41" s="11"/>
      <c r="I41" s="10"/>
      <c r="J41" s="29">
        <f t="shared" si="1"/>
        <v>0</v>
      </c>
      <c r="K41" s="29"/>
      <c r="L41" s="223">
        <f t="shared" si="2"/>
        <v>2580</v>
      </c>
      <c r="M41" s="12"/>
      <c r="N41" s="218" t="str">
        <f t="shared" si="3"/>
        <v xml:space="preserve"> </v>
      </c>
      <c r="O41" s="189"/>
      <c r="P41" s="189"/>
      <c r="Q41" s="189"/>
      <c r="R41" s="189" t="str">
        <f t="shared" si="4"/>
        <v xml:space="preserve"> </v>
      </c>
      <c r="S41" s="189"/>
      <c r="T41" s="253"/>
      <c r="U41" s="13"/>
      <c r="V41" s="253"/>
      <c r="W41" s="253"/>
      <c r="X41" s="16"/>
    </row>
    <row r="42" spans="1:24" ht="15" customHeight="1" x14ac:dyDescent="0.35">
      <c r="A42" s="245">
        <v>44984</v>
      </c>
      <c r="B42" s="246"/>
      <c r="C42" s="212" t="s">
        <v>322</v>
      </c>
      <c r="D42" s="15">
        <v>1</v>
      </c>
      <c r="E42" s="15"/>
      <c r="F42" s="9">
        <v>900</v>
      </c>
      <c r="G42" s="29">
        <f t="shared" si="0"/>
        <v>900</v>
      </c>
      <c r="H42" s="11"/>
      <c r="I42" s="10"/>
      <c r="J42" s="29">
        <f t="shared" si="1"/>
        <v>0</v>
      </c>
      <c r="K42" s="29"/>
      <c r="L42" s="223">
        <f t="shared" si="2"/>
        <v>900</v>
      </c>
      <c r="M42" s="12"/>
      <c r="N42" s="218" t="str">
        <f t="shared" si="3"/>
        <v xml:space="preserve"> </v>
      </c>
      <c r="O42" s="189"/>
      <c r="P42" s="189"/>
      <c r="Q42" s="189"/>
      <c r="R42" s="189" t="str">
        <f t="shared" si="4"/>
        <v xml:space="preserve"> </v>
      </c>
      <c r="S42" s="189"/>
      <c r="T42" s="253"/>
      <c r="U42" s="13"/>
      <c r="V42" s="253"/>
      <c r="W42" s="253"/>
      <c r="X42" s="16"/>
    </row>
    <row r="43" spans="1:24" ht="15" customHeight="1" x14ac:dyDescent="0.35">
      <c r="A43" s="245">
        <v>44984</v>
      </c>
      <c r="B43" s="246"/>
      <c r="C43" s="212" t="s">
        <v>153</v>
      </c>
      <c r="D43" s="15">
        <v>1</v>
      </c>
      <c r="E43" s="15"/>
      <c r="F43" s="9">
        <v>880</v>
      </c>
      <c r="G43" s="29">
        <f t="shared" si="0"/>
        <v>880</v>
      </c>
      <c r="H43" s="11"/>
      <c r="I43" s="10"/>
      <c r="J43" s="29">
        <f t="shared" si="1"/>
        <v>0</v>
      </c>
      <c r="K43" s="29"/>
      <c r="L43" s="223">
        <f t="shared" si="2"/>
        <v>880</v>
      </c>
      <c r="M43" s="12"/>
      <c r="N43" s="218" t="str">
        <f t="shared" si="3"/>
        <v xml:space="preserve"> </v>
      </c>
      <c r="O43" s="189"/>
      <c r="P43" s="189"/>
      <c r="Q43" s="189"/>
      <c r="R43" s="189" t="str">
        <f t="shared" si="4"/>
        <v xml:space="preserve"> </v>
      </c>
      <c r="S43" s="189"/>
      <c r="T43" s="253"/>
      <c r="U43" s="13"/>
      <c r="V43" s="253"/>
      <c r="W43" s="253"/>
      <c r="X43" s="16"/>
    </row>
    <row r="44" spans="1:24" ht="15" customHeight="1" x14ac:dyDescent="0.35">
      <c r="A44" s="245">
        <v>44984</v>
      </c>
      <c r="B44" s="246"/>
      <c r="C44" s="211" t="s">
        <v>319</v>
      </c>
      <c r="D44" s="15">
        <v>2</v>
      </c>
      <c r="E44" s="15"/>
      <c r="F44" s="9">
        <v>880</v>
      </c>
      <c r="G44" s="29">
        <f t="shared" si="0"/>
        <v>1760</v>
      </c>
      <c r="H44" s="11"/>
      <c r="I44" s="10"/>
      <c r="J44" s="29">
        <f t="shared" si="1"/>
        <v>0</v>
      </c>
      <c r="K44" s="29"/>
      <c r="L44" s="223">
        <f t="shared" si="2"/>
        <v>1760</v>
      </c>
      <c r="M44" s="213"/>
      <c r="N44" s="218" t="str">
        <f t="shared" si="3"/>
        <v xml:space="preserve"> </v>
      </c>
      <c r="O44" s="189"/>
      <c r="P44" s="189"/>
      <c r="Q44" s="189"/>
      <c r="R44" s="189" t="str">
        <f t="shared" si="4"/>
        <v xml:space="preserve"> </v>
      </c>
      <c r="S44" s="189"/>
      <c r="T44" s="253"/>
      <c r="U44" s="13"/>
      <c r="V44" s="253"/>
      <c r="W44" s="253"/>
      <c r="X44" s="16"/>
    </row>
    <row r="45" spans="1:24" ht="15" customHeight="1" x14ac:dyDescent="0.35">
      <c r="A45" s="245">
        <v>44985</v>
      </c>
      <c r="B45" s="246"/>
      <c r="C45" s="211" t="s">
        <v>325</v>
      </c>
      <c r="D45" s="15">
        <v>1</v>
      </c>
      <c r="E45" s="15"/>
      <c r="F45" s="9">
        <v>900</v>
      </c>
      <c r="G45" s="29">
        <f t="shared" si="0"/>
        <v>900</v>
      </c>
      <c r="H45" s="11"/>
      <c r="I45" s="10"/>
      <c r="J45" s="29">
        <f t="shared" si="1"/>
        <v>0</v>
      </c>
      <c r="K45" s="29"/>
      <c r="L45" s="223">
        <f t="shared" si="2"/>
        <v>900</v>
      </c>
      <c r="M45" s="213"/>
      <c r="N45" s="218" t="str">
        <f t="shared" si="3"/>
        <v xml:space="preserve"> </v>
      </c>
      <c r="O45" s="189"/>
      <c r="P45" s="189"/>
      <c r="Q45" s="189"/>
      <c r="R45" s="189" t="str">
        <f t="shared" si="4"/>
        <v xml:space="preserve"> </v>
      </c>
      <c r="S45" s="189"/>
      <c r="T45" s="253"/>
      <c r="U45" s="13"/>
      <c r="V45" s="253"/>
      <c r="W45" s="253"/>
      <c r="X45" s="16"/>
    </row>
    <row r="46" spans="1:24" ht="15" customHeight="1" x14ac:dyDescent="0.35">
      <c r="A46" s="245">
        <v>44985</v>
      </c>
      <c r="B46" s="246"/>
      <c r="C46" s="211" t="s">
        <v>279</v>
      </c>
      <c r="D46" s="15">
        <v>6</v>
      </c>
      <c r="E46" s="15"/>
      <c r="F46" s="9">
        <v>860</v>
      </c>
      <c r="G46" s="29">
        <f t="shared" si="0"/>
        <v>5160</v>
      </c>
      <c r="H46" s="11"/>
      <c r="I46" s="10"/>
      <c r="J46" s="29">
        <f t="shared" si="1"/>
        <v>0</v>
      </c>
      <c r="K46" s="29"/>
      <c r="L46" s="223">
        <f t="shared" si="2"/>
        <v>5160</v>
      </c>
      <c r="M46" s="12"/>
      <c r="N46" s="218" t="str">
        <f>IF(M46&gt;0,SUM(L46-M46)," ")</f>
        <v xml:space="preserve"> </v>
      </c>
      <c r="O46" s="189"/>
      <c r="P46" s="189"/>
      <c r="Q46" s="189"/>
      <c r="R46" s="189" t="str">
        <f t="shared" si="4"/>
        <v xml:space="preserve"> </v>
      </c>
      <c r="S46" s="189"/>
      <c r="T46" s="253"/>
      <c r="U46" s="13"/>
      <c r="V46" s="253"/>
      <c r="W46" s="253"/>
      <c r="X46" s="16"/>
    </row>
    <row r="47" spans="1:24" ht="15" customHeight="1" x14ac:dyDescent="0.35">
      <c r="A47" s="245">
        <v>44985</v>
      </c>
      <c r="B47" s="246"/>
      <c r="C47" s="211" t="s">
        <v>112</v>
      </c>
      <c r="D47" s="15">
        <v>10</v>
      </c>
      <c r="E47" s="15"/>
      <c r="F47" s="9">
        <v>850</v>
      </c>
      <c r="G47" s="29">
        <f t="shared" si="0"/>
        <v>8500</v>
      </c>
      <c r="H47" s="11"/>
      <c r="I47" s="10"/>
      <c r="J47" s="29">
        <f t="shared" si="1"/>
        <v>0</v>
      </c>
      <c r="K47" s="29"/>
      <c r="L47" s="223">
        <f t="shared" si="2"/>
        <v>8500</v>
      </c>
      <c r="M47" s="12"/>
      <c r="N47" s="218" t="str">
        <f>IF(M47&gt;0,SUM(L47-M47)," ")</f>
        <v xml:space="preserve"> </v>
      </c>
      <c r="O47" s="189"/>
      <c r="P47" s="189"/>
      <c r="Q47" s="189"/>
      <c r="R47" s="189" t="str">
        <f t="shared" si="4"/>
        <v xml:space="preserve"> </v>
      </c>
      <c r="S47" s="189"/>
      <c r="T47" s="253"/>
      <c r="U47" s="13"/>
      <c r="V47" s="253"/>
      <c r="W47" s="253"/>
      <c r="X47" s="16"/>
    </row>
    <row r="48" spans="1:24" ht="15" customHeight="1" x14ac:dyDescent="0.35">
      <c r="A48" s="245"/>
      <c r="B48" s="246"/>
      <c r="C48" s="211"/>
      <c r="D48" s="15"/>
      <c r="E48" s="15"/>
      <c r="F48" s="9">
        <v>880</v>
      </c>
      <c r="G48" s="29">
        <f t="shared" si="0"/>
        <v>0</v>
      </c>
      <c r="H48" s="11"/>
      <c r="I48" s="10"/>
      <c r="J48" s="29">
        <f t="shared" si="1"/>
        <v>0</v>
      </c>
      <c r="K48" s="29"/>
      <c r="L48" s="223">
        <f t="shared" si="2"/>
        <v>0</v>
      </c>
      <c r="M48" s="213"/>
      <c r="N48" s="218" t="str">
        <f t="shared" si="3"/>
        <v xml:space="preserve"> </v>
      </c>
      <c r="O48" s="189"/>
      <c r="P48" s="189"/>
      <c r="Q48" s="189"/>
      <c r="R48" s="189" t="str">
        <f t="shared" si="4"/>
        <v xml:space="preserve"> </v>
      </c>
      <c r="S48" s="189"/>
      <c r="T48" s="253"/>
      <c r="U48" s="13"/>
      <c r="V48" s="253"/>
      <c r="W48" s="253"/>
      <c r="X48" s="16"/>
    </row>
    <row r="49" spans="1:24" ht="15" customHeight="1" x14ac:dyDescent="0.35">
      <c r="A49" s="245"/>
      <c r="B49" s="246"/>
      <c r="C49" s="212"/>
      <c r="D49" s="15"/>
      <c r="E49" s="15"/>
      <c r="F49" s="9">
        <v>880</v>
      </c>
      <c r="G49" s="29">
        <f t="shared" si="0"/>
        <v>0</v>
      </c>
      <c r="H49" s="11"/>
      <c r="I49" s="10"/>
      <c r="J49" s="29">
        <f t="shared" si="1"/>
        <v>0</v>
      </c>
      <c r="K49" s="29"/>
      <c r="L49" s="223">
        <f t="shared" si="2"/>
        <v>0</v>
      </c>
      <c r="M49" s="12"/>
      <c r="N49" s="218" t="str">
        <f t="shared" si="3"/>
        <v xml:space="preserve"> </v>
      </c>
      <c r="O49" s="189"/>
      <c r="P49" s="189"/>
      <c r="Q49" s="189"/>
      <c r="R49" s="189" t="str">
        <f t="shared" si="4"/>
        <v xml:space="preserve"> </v>
      </c>
      <c r="S49" s="189"/>
      <c r="T49" s="253"/>
      <c r="U49" s="13"/>
      <c r="V49" s="253"/>
      <c r="W49" s="253"/>
      <c r="X49" s="16"/>
    </row>
    <row r="50" spans="1:24" ht="15" customHeight="1" x14ac:dyDescent="0.35">
      <c r="A50" s="245"/>
      <c r="B50" s="246"/>
      <c r="C50" s="211"/>
      <c r="D50" s="15"/>
      <c r="E50" s="15"/>
      <c r="F50" s="9">
        <v>880</v>
      </c>
      <c r="G50" s="29">
        <f t="shared" si="0"/>
        <v>0</v>
      </c>
      <c r="H50" s="11"/>
      <c r="I50" s="10"/>
      <c r="J50" s="29">
        <f t="shared" si="1"/>
        <v>0</v>
      </c>
      <c r="K50" s="29"/>
      <c r="L50" s="223">
        <f t="shared" si="2"/>
        <v>0</v>
      </c>
      <c r="M50" s="12"/>
      <c r="N50" s="218" t="str">
        <f t="shared" si="3"/>
        <v xml:space="preserve"> </v>
      </c>
      <c r="O50" s="189"/>
      <c r="P50" s="189"/>
      <c r="Q50" s="189"/>
      <c r="R50" s="189" t="str">
        <f t="shared" si="4"/>
        <v xml:space="preserve"> </v>
      </c>
      <c r="S50" s="189"/>
      <c r="T50" s="253"/>
      <c r="U50" s="13"/>
      <c r="V50" s="253"/>
      <c r="W50" s="253"/>
      <c r="X50" s="16"/>
    </row>
    <row r="51" spans="1:24" ht="15" customHeight="1" x14ac:dyDescent="0.35">
      <c r="A51" s="245"/>
      <c r="B51" s="246"/>
      <c r="C51" s="211"/>
      <c r="D51" s="15"/>
      <c r="E51" s="15"/>
      <c r="F51" s="9">
        <v>870</v>
      </c>
      <c r="G51" s="29">
        <f t="shared" si="0"/>
        <v>0</v>
      </c>
      <c r="H51" s="11"/>
      <c r="I51" s="10"/>
      <c r="J51" s="29">
        <f t="shared" si="1"/>
        <v>0</v>
      </c>
      <c r="K51" s="29"/>
      <c r="L51" s="223">
        <f t="shared" si="2"/>
        <v>0</v>
      </c>
      <c r="M51" s="213"/>
      <c r="N51" s="218" t="str">
        <f t="shared" si="3"/>
        <v xml:space="preserve"> </v>
      </c>
      <c r="O51" s="189"/>
      <c r="P51" s="189"/>
      <c r="Q51" s="189"/>
      <c r="R51" s="189" t="str">
        <f t="shared" si="4"/>
        <v xml:space="preserve"> </v>
      </c>
      <c r="S51" s="189"/>
      <c r="T51" s="253"/>
      <c r="U51" s="13"/>
      <c r="V51" s="253"/>
      <c r="W51" s="253"/>
      <c r="X51" s="16"/>
    </row>
    <row r="52" spans="1:24" ht="15" customHeight="1" x14ac:dyDescent="0.35">
      <c r="A52" s="245"/>
      <c r="B52" s="246"/>
      <c r="C52" s="211"/>
      <c r="D52" s="15"/>
      <c r="E52" s="15"/>
      <c r="F52" s="9">
        <v>900</v>
      </c>
      <c r="G52" s="29">
        <f t="shared" si="0"/>
        <v>0</v>
      </c>
      <c r="H52" s="11"/>
      <c r="I52" s="10"/>
      <c r="J52" s="29">
        <f t="shared" si="1"/>
        <v>0</v>
      </c>
      <c r="K52" s="29"/>
      <c r="L52" s="223">
        <f t="shared" si="2"/>
        <v>0</v>
      </c>
      <c r="M52" s="12"/>
      <c r="N52" s="218" t="str">
        <f t="shared" si="3"/>
        <v xml:space="preserve"> </v>
      </c>
      <c r="O52" s="189"/>
      <c r="P52" s="189"/>
      <c r="Q52" s="189"/>
      <c r="R52" s="189" t="str">
        <f t="shared" si="4"/>
        <v xml:space="preserve"> </v>
      </c>
      <c r="S52" s="189"/>
      <c r="T52" s="253"/>
      <c r="U52" s="13"/>
      <c r="V52" s="253"/>
      <c r="W52" s="253"/>
      <c r="X52" s="16"/>
    </row>
    <row r="53" spans="1:24" ht="15" customHeight="1" x14ac:dyDescent="0.35">
      <c r="A53" s="245"/>
      <c r="B53" s="246"/>
      <c r="C53" s="212"/>
      <c r="D53" s="15"/>
      <c r="E53" s="15"/>
      <c r="F53" s="9">
        <v>880</v>
      </c>
      <c r="G53" s="29">
        <f t="shared" si="0"/>
        <v>0</v>
      </c>
      <c r="H53" s="11"/>
      <c r="I53" s="10"/>
      <c r="J53" s="29">
        <f t="shared" si="1"/>
        <v>0</v>
      </c>
      <c r="K53" s="29"/>
      <c r="L53" s="223">
        <f t="shared" si="2"/>
        <v>0</v>
      </c>
      <c r="M53" s="12"/>
      <c r="N53" s="218" t="str">
        <f t="shared" si="3"/>
        <v xml:space="preserve"> </v>
      </c>
      <c r="O53" s="189"/>
      <c r="P53" s="189"/>
      <c r="Q53" s="189"/>
      <c r="R53" s="189" t="str">
        <f t="shared" si="4"/>
        <v xml:space="preserve"> </v>
      </c>
      <c r="S53" s="189"/>
      <c r="T53" s="253"/>
      <c r="U53" s="13"/>
      <c r="V53" s="253"/>
      <c r="W53" s="253"/>
      <c r="X53" s="16"/>
    </row>
    <row r="54" spans="1:24" ht="15" customHeight="1" x14ac:dyDescent="0.35">
      <c r="A54" s="245"/>
      <c r="B54" s="246"/>
      <c r="C54" s="211"/>
      <c r="D54" s="15"/>
      <c r="E54" s="15"/>
      <c r="F54" s="9">
        <v>830</v>
      </c>
      <c r="G54" s="29">
        <f t="shared" si="0"/>
        <v>0</v>
      </c>
      <c r="H54" s="11"/>
      <c r="I54" s="10"/>
      <c r="J54" s="29">
        <f t="shared" si="1"/>
        <v>0</v>
      </c>
      <c r="K54" s="29"/>
      <c r="L54" s="223">
        <f t="shared" si="2"/>
        <v>0</v>
      </c>
      <c r="M54" s="12"/>
      <c r="N54" s="218" t="str">
        <f t="shared" si="3"/>
        <v xml:space="preserve"> </v>
      </c>
      <c r="O54" s="189"/>
      <c r="P54" s="189"/>
      <c r="Q54" s="189"/>
      <c r="R54" s="189" t="str">
        <f t="shared" si="4"/>
        <v xml:space="preserve"> </v>
      </c>
      <c r="S54" s="189"/>
      <c r="T54" s="253"/>
      <c r="U54" s="13"/>
      <c r="V54" s="253"/>
      <c r="W54" s="253"/>
      <c r="X54" s="16"/>
    </row>
    <row r="55" spans="1:24" ht="15" customHeight="1" x14ac:dyDescent="0.35">
      <c r="A55" s="245"/>
      <c r="B55" s="246"/>
      <c r="C55" s="211"/>
      <c r="D55" s="15"/>
      <c r="E55" s="15"/>
      <c r="F55" s="9">
        <v>800</v>
      </c>
      <c r="G55" s="29">
        <f t="shared" si="0"/>
        <v>0</v>
      </c>
      <c r="H55" s="11"/>
      <c r="I55" s="10"/>
      <c r="J55" s="29">
        <f t="shared" si="1"/>
        <v>0</v>
      </c>
      <c r="K55" s="29"/>
      <c r="L55" s="223">
        <f t="shared" si="2"/>
        <v>0</v>
      </c>
      <c r="M55" s="12"/>
      <c r="N55" s="218" t="str">
        <f t="shared" si="3"/>
        <v xml:space="preserve"> </v>
      </c>
      <c r="O55" s="189"/>
      <c r="P55" s="189"/>
      <c r="Q55" s="189"/>
      <c r="R55" s="189" t="str">
        <f t="shared" si="4"/>
        <v xml:space="preserve"> </v>
      </c>
      <c r="S55" s="189"/>
      <c r="T55" s="253"/>
      <c r="U55" s="13"/>
      <c r="V55" s="253"/>
      <c r="W55" s="253"/>
      <c r="X55" s="16"/>
    </row>
    <row r="56" spans="1:24" ht="15" customHeight="1" x14ac:dyDescent="0.35">
      <c r="A56" s="245"/>
      <c r="B56" s="246"/>
      <c r="C56" s="211"/>
      <c r="D56" s="15"/>
      <c r="E56" s="15"/>
      <c r="F56" s="9">
        <v>800</v>
      </c>
      <c r="G56" s="29">
        <f t="shared" si="0"/>
        <v>0</v>
      </c>
      <c r="H56" s="11"/>
      <c r="I56" s="10"/>
      <c r="J56" s="29">
        <f t="shared" si="1"/>
        <v>0</v>
      </c>
      <c r="K56" s="29"/>
      <c r="L56" s="223">
        <f t="shared" si="2"/>
        <v>0</v>
      </c>
      <c r="M56" s="12"/>
      <c r="N56" s="218" t="str">
        <f t="shared" si="3"/>
        <v xml:space="preserve"> </v>
      </c>
      <c r="O56" s="189"/>
      <c r="P56" s="189"/>
      <c r="Q56" s="189"/>
      <c r="R56" s="189" t="str">
        <f t="shared" si="4"/>
        <v xml:space="preserve"> </v>
      </c>
      <c r="S56" s="189"/>
      <c r="T56" s="253"/>
      <c r="U56" s="13"/>
      <c r="V56" s="253"/>
      <c r="W56" s="253"/>
      <c r="X56" s="16"/>
    </row>
    <row r="57" spans="1:24" ht="15" customHeight="1" x14ac:dyDescent="0.35">
      <c r="A57" s="245"/>
      <c r="B57" s="246"/>
      <c r="C57" s="211"/>
      <c r="D57" s="15"/>
      <c r="E57" s="15"/>
      <c r="F57" s="9">
        <v>800</v>
      </c>
      <c r="G57" s="29">
        <f t="shared" si="0"/>
        <v>0</v>
      </c>
      <c r="H57" s="11"/>
      <c r="I57" s="10"/>
      <c r="J57" s="29">
        <f t="shared" si="1"/>
        <v>0</v>
      </c>
      <c r="K57" s="29"/>
      <c r="L57" s="223">
        <f t="shared" si="2"/>
        <v>0</v>
      </c>
      <c r="M57" s="12"/>
      <c r="N57" s="218" t="str">
        <f t="shared" si="3"/>
        <v xml:space="preserve"> </v>
      </c>
      <c r="O57" s="189"/>
      <c r="P57" s="189"/>
      <c r="Q57" s="189"/>
      <c r="R57" s="189" t="str">
        <f t="shared" si="4"/>
        <v xml:space="preserve"> </v>
      </c>
      <c r="S57" s="189"/>
      <c r="T57" s="253"/>
      <c r="U57" s="13"/>
      <c r="V57" s="253"/>
      <c r="W57" s="253"/>
      <c r="X57" s="16"/>
    </row>
    <row r="58" spans="1:24" ht="15" customHeight="1" x14ac:dyDescent="0.35">
      <c r="A58" s="245"/>
      <c r="B58" s="246"/>
      <c r="C58" s="212"/>
      <c r="D58" s="15"/>
      <c r="E58" s="15"/>
      <c r="F58" s="9">
        <v>800</v>
      </c>
      <c r="G58" s="29">
        <f t="shared" si="0"/>
        <v>0</v>
      </c>
      <c r="H58" s="11"/>
      <c r="I58" s="10"/>
      <c r="J58" s="29">
        <f t="shared" si="1"/>
        <v>0</v>
      </c>
      <c r="K58" s="29"/>
      <c r="L58" s="223">
        <f t="shared" si="2"/>
        <v>0</v>
      </c>
      <c r="M58" s="12"/>
      <c r="N58" s="239" t="str">
        <f t="shared" si="3"/>
        <v xml:space="preserve"> </v>
      </c>
      <c r="O58" s="189"/>
      <c r="P58" s="189"/>
      <c r="Q58" s="189"/>
      <c r="R58" s="189" t="str">
        <f t="shared" si="4"/>
        <v xml:space="preserve"> </v>
      </c>
      <c r="S58" s="189"/>
      <c r="T58" s="253"/>
      <c r="U58" s="13"/>
      <c r="V58" s="253"/>
      <c r="W58" s="253"/>
      <c r="X58" s="16"/>
    </row>
    <row r="59" spans="1:24" ht="15" customHeight="1" x14ac:dyDescent="0.35">
      <c r="A59" s="245"/>
      <c r="B59" s="246"/>
      <c r="C59" s="211"/>
      <c r="D59" s="15"/>
      <c r="E59" s="15"/>
      <c r="F59" s="9">
        <v>800</v>
      </c>
      <c r="G59" s="29">
        <f t="shared" si="0"/>
        <v>0</v>
      </c>
      <c r="H59" s="11"/>
      <c r="I59" s="10"/>
      <c r="J59" s="29">
        <f t="shared" si="1"/>
        <v>0</v>
      </c>
      <c r="K59" s="29"/>
      <c r="L59" s="223">
        <f t="shared" si="2"/>
        <v>0</v>
      </c>
      <c r="M59" s="12"/>
      <c r="N59" s="218" t="str">
        <f t="shared" si="3"/>
        <v xml:space="preserve"> </v>
      </c>
      <c r="O59" s="189"/>
      <c r="P59" s="189"/>
      <c r="Q59" s="189"/>
      <c r="R59" s="189" t="str">
        <f t="shared" si="4"/>
        <v xml:space="preserve"> </v>
      </c>
      <c r="S59" s="189"/>
      <c r="T59" s="253"/>
      <c r="U59" s="13"/>
      <c r="V59" s="253"/>
      <c r="W59" s="253"/>
      <c r="X59" s="16"/>
    </row>
    <row r="60" spans="1:24" ht="15" customHeight="1" x14ac:dyDescent="0.35">
      <c r="A60" s="245"/>
      <c r="B60" s="246"/>
      <c r="C60" s="211"/>
      <c r="D60" s="15"/>
      <c r="E60" s="15"/>
      <c r="F60" s="9">
        <v>800</v>
      </c>
      <c r="G60" s="29">
        <f t="shared" si="0"/>
        <v>0</v>
      </c>
      <c r="H60" s="11"/>
      <c r="I60" s="10"/>
      <c r="J60" s="29">
        <f t="shared" si="1"/>
        <v>0</v>
      </c>
      <c r="K60" s="29"/>
      <c r="L60" s="223">
        <f t="shared" si="2"/>
        <v>0</v>
      </c>
      <c r="M60" s="12"/>
      <c r="N60" s="218" t="str">
        <f t="shared" si="3"/>
        <v xml:space="preserve"> </v>
      </c>
      <c r="O60" s="189"/>
      <c r="P60" s="189"/>
      <c r="Q60" s="189"/>
      <c r="R60" s="189" t="str">
        <f>IF(O60&gt;0,SUM(O60-(L60+P60))," ")</f>
        <v xml:space="preserve"> </v>
      </c>
      <c r="S60" s="189"/>
      <c r="T60" s="253"/>
      <c r="U60" s="13"/>
      <c r="V60" s="253"/>
      <c r="W60" s="253"/>
      <c r="X60" s="16"/>
    </row>
    <row r="61" spans="1:24" ht="15" customHeight="1" x14ac:dyDescent="0.35">
      <c r="A61" s="245"/>
      <c r="B61" s="246"/>
      <c r="C61" s="212"/>
      <c r="D61" s="15"/>
      <c r="E61" s="15"/>
      <c r="F61" s="9">
        <v>800</v>
      </c>
      <c r="G61" s="29">
        <f t="shared" si="0"/>
        <v>0</v>
      </c>
      <c r="H61" s="11"/>
      <c r="I61" s="10"/>
      <c r="J61" s="29">
        <f t="shared" si="1"/>
        <v>0</v>
      </c>
      <c r="K61" s="29"/>
      <c r="L61" s="223">
        <f t="shared" si="2"/>
        <v>0</v>
      </c>
      <c r="M61" s="12"/>
      <c r="N61" s="218" t="str">
        <f t="shared" si="3"/>
        <v xml:space="preserve"> </v>
      </c>
      <c r="O61" s="189"/>
      <c r="P61" s="189"/>
      <c r="Q61" s="189"/>
      <c r="R61" s="189" t="str">
        <f>IF(O61&gt;0,SUM(O61-(L61+P61))," ")</f>
        <v xml:space="preserve"> </v>
      </c>
      <c r="S61" s="189"/>
      <c r="T61" s="253"/>
      <c r="U61" s="13"/>
      <c r="V61" s="253"/>
      <c r="W61" s="253"/>
      <c r="X61" s="16"/>
    </row>
    <row r="62" spans="1:24" ht="15" customHeight="1" x14ac:dyDescent="0.35">
      <c r="A62" s="245"/>
      <c r="B62" s="246"/>
      <c r="C62" s="211"/>
      <c r="D62" s="15"/>
      <c r="E62" s="15"/>
      <c r="F62" s="9">
        <v>800</v>
      </c>
      <c r="G62" s="29">
        <f t="shared" si="0"/>
        <v>0</v>
      </c>
      <c r="H62" s="11"/>
      <c r="I62" s="10"/>
      <c r="J62" s="29">
        <f t="shared" si="1"/>
        <v>0</v>
      </c>
      <c r="K62" s="29"/>
      <c r="L62" s="223">
        <f t="shared" si="2"/>
        <v>0</v>
      </c>
      <c r="M62" s="213"/>
      <c r="N62" s="218" t="str">
        <f t="shared" ref="N62:N101" si="5">IF(M62&gt;0,SUM(L62-M62)," ")</f>
        <v xml:space="preserve"> </v>
      </c>
      <c r="O62" s="189"/>
      <c r="P62" s="189"/>
      <c r="Q62" s="189"/>
      <c r="R62" s="189" t="str">
        <f t="shared" ref="R62:R97" si="6">IF(O62&gt;0,SUM(O62-(L62+P62))," ")</f>
        <v xml:space="preserve"> </v>
      </c>
      <c r="S62" s="189"/>
      <c r="T62" s="253"/>
      <c r="U62" s="13"/>
      <c r="V62" s="253"/>
      <c r="W62" s="253"/>
      <c r="X62" s="16"/>
    </row>
    <row r="63" spans="1:24" ht="15" customHeight="1" x14ac:dyDescent="0.35">
      <c r="A63" s="245"/>
      <c r="B63" s="246"/>
      <c r="C63" s="211"/>
      <c r="D63" s="15"/>
      <c r="E63" s="15"/>
      <c r="F63" s="9">
        <v>800</v>
      </c>
      <c r="G63" s="29">
        <f t="shared" si="0"/>
        <v>0</v>
      </c>
      <c r="H63" s="11"/>
      <c r="I63" s="10"/>
      <c r="J63" s="29">
        <f t="shared" si="1"/>
        <v>0</v>
      </c>
      <c r="K63" s="29"/>
      <c r="L63" s="223">
        <f t="shared" si="2"/>
        <v>0</v>
      </c>
      <c r="M63" s="213"/>
      <c r="N63" s="239" t="str">
        <f t="shared" si="5"/>
        <v xml:space="preserve"> </v>
      </c>
      <c r="O63" s="189"/>
      <c r="P63" s="189"/>
      <c r="Q63" s="189"/>
      <c r="R63" s="189" t="str">
        <f t="shared" si="6"/>
        <v xml:space="preserve"> </v>
      </c>
      <c r="S63" s="189"/>
      <c r="T63" s="253"/>
      <c r="U63" s="13"/>
      <c r="V63" s="253"/>
      <c r="W63" s="253"/>
      <c r="X63" s="16"/>
    </row>
    <row r="64" spans="1:24" ht="15" customHeight="1" x14ac:dyDescent="0.35">
      <c r="A64" s="245"/>
      <c r="B64" s="246"/>
      <c r="C64" s="212"/>
      <c r="D64" s="15"/>
      <c r="E64" s="15"/>
      <c r="F64" s="9">
        <v>800</v>
      </c>
      <c r="G64" s="29">
        <f t="shared" si="0"/>
        <v>0</v>
      </c>
      <c r="H64" s="11"/>
      <c r="I64" s="10"/>
      <c r="J64" s="29">
        <f t="shared" si="1"/>
        <v>0</v>
      </c>
      <c r="K64" s="29"/>
      <c r="L64" s="223">
        <f t="shared" si="2"/>
        <v>0</v>
      </c>
      <c r="M64" s="12"/>
      <c r="N64" s="218" t="str">
        <f t="shared" si="5"/>
        <v xml:space="preserve"> </v>
      </c>
      <c r="O64" s="189"/>
      <c r="P64" s="189"/>
      <c r="Q64" s="189"/>
      <c r="R64" s="189" t="str">
        <f t="shared" si="6"/>
        <v xml:space="preserve"> </v>
      </c>
      <c r="S64" s="189"/>
      <c r="T64" s="253"/>
      <c r="U64" s="13"/>
      <c r="V64" s="253"/>
      <c r="W64" s="253"/>
      <c r="X64" s="16"/>
    </row>
    <row r="65" spans="1:24" ht="15" customHeight="1" x14ac:dyDescent="0.35">
      <c r="A65" s="245"/>
      <c r="B65" s="246"/>
      <c r="C65" s="212"/>
      <c r="D65" s="15"/>
      <c r="E65" s="15"/>
      <c r="F65" s="9">
        <v>800</v>
      </c>
      <c r="G65" s="29">
        <f t="shared" si="0"/>
        <v>0</v>
      </c>
      <c r="H65" s="11"/>
      <c r="I65" s="10"/>
      <c r="J65" s="29">
        <f t="shared" si="1"/>
        <v>0</v>
      </c>
      <c r="K65" s="29"/>
      <c r="L65" s="223">
        <f t="shared" si="2"/>
        <v>0</v>
      </c>
      <c r="M65" s="12"/>
      <c r="N65" s="218" t="str">
        <f t="shared" si="5"/>
        <v xml:space="preserve"> </v>
      </c>
      <c r="O65" s="189"/>
      <c r="P65" s="189"/>
      <c r="Q65" s="189"/>
      <c r="R65" s="189" t="str">
        <f t="shared" si="6"/>
        <v xml:space="preserve"> </v>
      </c>
      <c r="S65" s="189"/>
      <c r="T65" s="253"/>
      <c r="U65" s="13"/>
      <c r="V65" s="253"/>
      <c r="W65" s="253"/>
      <c r="X65" s="16"/>
    </row>
    <row r="66" spans="1:24" ht="15" customHeight="1" x14ac:dyDescent="0.35">
      <c r="A66" s="245"/>
      <c r="B66" s="246"/>
      <c r="C66" s="211"/>
      <c r="D66" s="15"/>
      <c r="E66" s="15"/>
      <c r="F66" s="9">
        <v>800</v>
      </c>
      <c r="G66" s="29">
        <f t="shared" si="0"/>
        <v>0</v>
      </c>
      <c r="H66" s="11"/>
      <c r="I66" s="10"/>
      <c r="J66" s="29">
        <f t="shared" si="1"/>
        <v>0</v>
      </c>
      <c r="K66" s="29"/>
      <c r="L66" s="223">
        <f t="shared" si="2"/>
        <v>0</v>
      </c>
      <c r="M66" s="12"/>
      <c r="N66" s="218" t="str">
        <f t="shared" si="5"/>
        <v xml:space="preserve"> </v>
      </c>
      <c r="O66" s="189"/>
      <c r="P66" s="189"/>
      <c r="Q66" s="189"/>
      <c r="R66" s="189" t="str">
        <f t="shared" si="6"/>
        <v xml:space="preserve"> </v>
      </c>
      <c r="S66" s="189"/>
      <c r="T66" s="253"/>
      <c r="U66" s="13"/>
      <c r="V66" s="253"/>
      <c r="W66" s="253"/>
      <c r="X66" s="16"/>
    </row>
    <row r="67" spans="1:24" ht="15" customHeight="1" x14ac:dyDescent="0.35">
      <c r="A67" s="245"/>
      <c r="B67" s="246"/>
      <c r="C67" s="211"/>
      <c r="D67" s="15"/>
      <c r="E67" s="15"/>
      <c r="F67" s="9">
        <v>800</v>
      </c>
      <c r="G67" s="29">
        <f t="shared" si="0"/>
        <v>0</v>
      </c>
      <c r="H67" s="11"/>
      <c r="I67" s="10"/>
      <c r="J67" s="29">
        <f t="shared" si="1"/>
        <v>0</v>
      </c>
      <c r="K67" s="29"/>
      <c r="L67" s="223">
        <f t="shared" si="2"/>
        <v>0</v>
      </c>
      <c r="M67" s="12"/>
      <c r="N67" s="218" t="str">
        <f t="shared" si="5"/>
        <v xml:space="preserve"> </v>
      </c>
      <c r="O67" s="189"/>
      <c r="P67" s="189"/>
      <c r="Q67" s="189"/>
      <c r="R67" s="189" t="str">
        <f t="shared" si="6"/>
        <v xml:space="preserve"> </v>
      </c>
      <c r="S67" s="189"/>
      <c r="T67" s="253"/>
      <c r="U67" s="13"/>
      <c r="V67" s="253"/>
      <c r="W67" s="253"/>
      <c r="X67" s="16"/>
    </row>
    <row r="68" spans="1:24" ht="15" customHeight="1" x14ac:dyDescent="0.35">
      <c r="A68" s="245"/>
      <c r="B68" s="246"/>
      <c r="C68" s="211"/>
      <c r="D68" s="15"/>
      <c r="E68" s="15"/>
      <c r="F68" s="9">
        <v>800</v>
      </c>
      <c r="G68" s="29">
        <f t="shared" ref="G68:G100" si="7">(F68*D68)+(E68*F68)</f>
        <v>0</v>
      </c>
      <c r="H68" s="11"/>
      <c r="I68" s="10"/>
      <c r="J68" s="29">
        <f t="shared" ref="J68:J100" si="8">H68*I68</f>
        <v>0</v>
      </c>
      <c r="K68" s="29"/>
      <c r="L68" s="223">
        <f t="shared" si="2"/>
        <v>0</v>
      </c>
      <c r="M68" s="12"/>
      <c r="N68" s="218" t="str">
        <f t="shared" si="5"/>
        <v xml:space="preserve"> </v>
      </c>
      <c r="O68" s="189"/>
      <c r="P68" s="189"/>
      <c r="Q68" s="189"/>
      <c r="R68" s="189" t="str">
        <f t="shared" si="6"/>
        <v xml:space="preserve"> </v>
      </c>
      <c r="S68" s="189"/>
      <c r="T68" s="253"/>
      <c r="U68" s="13"/>
      <c r="V68" s="253"/>
      <c r="W68" s="253"/>
      <c r="X68" s="16"/>
    </row>
    <row r="69" spans="1:24" ht="15" customHeight="1" x14ac:dyDescent="0.35">
      <c r="A69" s="245"/>
      <c r="B69" s="246"/>
      <c r="C69" s="211"/>
      <c r="D69" s="15"/>
      <c r="E69" s="15"/>
      <c r="F69" s="9">
        <v>800</v>
      </c>
      <c r="G69" s="29">
        <f t="shared" si="7"/>
        <v>0</v>
      </c>
      <c r="H69" s="11"/>
      <c r="I69" s="10"/>
      <c r="J69" s="29">
        <f t="shared" si="8"/>
        <v>0</v>
      </c>
      <c r="K69" s="29"/>
      <c r="L69" s="223">
        <f t="shared" ref="L69:L100" si="9">(J69+G69)-K69</f>
        <v>0</v>
      </c>
      <c r="M69" s="12"/>
      <c r="N69" s="218" t="str">
        <f t="shared" si="5"/>
        <v xml:space="preserve"> </v>
      </c>
      <c r="O69" s="189"/>
      <c r="P69" s="189"/>
      <c r="Q69" s="189"/>
      <c r="R69" s="189" t="str">
        <f t="shared" si="6"/>
        <v xml:space="preserve"> </v>
      </c>
      <c r="S69" s="189"/>
      <c r="T69" s="253"/>
      <c r="U69" s="13"/>
      <c r="V69" s="253"/>
      <c r="W69" s="253"/>
      <c r="X69" s="16"/>
    </row>
    <row r="70" spans="1:24" ht="15" customHeight="1" x14ac:dyDescent="0.35">
      <c r="A70" s="245"/>
      <c r="B70" s="246"/>
      <c r="C70" s="212"/>
      <c r="D70" s="15"/>
      <c r="E70" s="15"/>
      <c r="F70" s="9">
        <v>800</v>
      </c>
      <c r="G70" s="29">
        <f t="shared" si="7"/>
        <v>0</v>
      </c>
      <c r="H70" s="11"/>
      <c r="I70" s="10"/>
      <c r="J70" s="29">
        <f t="shared" si="8"/>
        <v>0</v>
      </c>
      <c r="K70" s="29"/>
      <c r="L70" s="223">
        <f t="shared" si="9"/>
        <v>0</v>
      </c>
      <c r="M70" s="12"/>
      <c r="N70" s="218" t="str">
        <f t="shared" si="5"/>
        <v xml:space="preserve"> </v>
      </c>
      <c r="O70" s="189"/>
      <c r="P70" s="189"/>
      <c r="Q70" s="189"/>
      <c r="R70" s="189" t="str">
        <f t="shared" si="6"/>
        <v xml:space="preserve"> </v>
      </c>
      <c r="S70" s="189"/>
      <c r="T70" s="253"/>
      <c r="U70" s="13"/>
      <c r="V70" s="253"/>
      <c r="W70" s="253"/>
      <c r="X70" s="16"/>
    </row>
    <row r="71" spans="1:24" ht="15" customHeight="1" x14ac:dyDescent="0.35">
      <c r="A71" s="245"/>
      <c r="B71" s="246"/>
      <c r="C71" s="211"/>
      <c r="D71" s="15"/>
      <c r="E71" s="15"/>
      <c r="F71" s="9">
        <v>800</v>
      </c>
      <c r="G71" s="29">
        <f t="shared" si="7"/>
        <v>0</v>
      </c>
      <c r="H71" s="11"/>
      <c r="I71" s="10"/>
      <c r="J71" s="29">
        <f t="shared" si="8"/>
        <v>0</v>
      </c>
      <c r="K71" s="29"/>
      <c r="L71" s="223">
        <f t="shared" si="9"/>
        <v>0</v>
      </c>
      <c r="M71" s="12"/>
      <c r="N71" s="218" t="str">
        <f t="shared" si="5"/>
        <v xml:space="preserve"> </v>
      </c>
      <c r="O71" s="189"/>
      <c r="P71" s="189"/>
      <c r="Q71" s="189"/>
      <c r="R71" s="189" t="str">
        <f t="shared" si="6"/>
        <v xml:space="preserve"> </v>
      </c>
      <c r="S71" s="189"/>
      <c r="T71" s="253"/>
      <c r="U71" s="13"/>
      <c r="V71" s="253"/>
      <c r="W71" s="253"/>
      <c r="X71" s="16"/>
    </row>
    <row r="72" spans="1:24" ht="15" customHeight="1" x14ac:dyDescent="0.35">
      <c r="A72" s="245"/>
      <c r="B72" s="246"/>
      <c r="C72" s="212"/>
      <c r="D72" s="15"/>
      <c r="E72" s="15"/>
      <c r="F72" s="9">
        <v>800</v>
      </c>
      <c r="G72" s="29">
        <f t="shared" si="7"/>
        <v>0</v>
      </c>
      <c r="H72" s="11"/>
      <c r="I72" s="10"/>
      <c r="J72" s="29">
        <f t="shared" si="8"/>
        <v>0</v>
      </c>
      <c r="K72" s="29"/>
      <c r="L72" s="223">
        <f t="shared" si="9"/>
        <v>0</v>
      </c>
      <c r="M72" s="12"/>
      <c r="N72" s="218" t="str">
        <f t="shared" si="5"/>
        <v xml:space="preserve"> </v>
      </c>
      <c r="O72" s="189"/>
      <c r="P72" s="189"/>
      <c r="Q72" s="189"/>
      <c r="R72" s="189" t="str">
        <f t="shared" si="6"/>
        <v xml:space="preserve"> </v>
      </c>
      <c r="S72" s="189"/>
      <c r="T72" s="253"/>
      <c r="U72" s="13"/>
      <c r="V72" s="253"/>
      <c r="W72" s="253"/>
      <c r="X72" s="16"/>
    </row>
    <row r="73" spans="1:24" ht="15" customHeight="1" x14ac:dyDescent="0.35">
      <c r="A73" s="245"/>
      <c r="B73" s="246"/>
      <c r="C73" s="211"/>
      <c r="D73" s="15"/>
      <c r="E73" s="15"/>
      <c r="F73" s="9">
        <v>800</v>
      </c>
      <c r="G73" s="29">
        <f t="shared" si="7"/>
        <v>0</v>
      </c>
      <c r="H73" s="11"/>
      <c r="I73" s="10"/>
      <c r="J73" s="29">
        <f t="shared" si="8"/>
        <v>0</v>
      </c>
      <c r="K73" s="29"/>
      <c r="L73" s="223">
        <f t="shared" si="9"/>
        <v>0</v>
      </c>
      <c r="M73" s="12"/>
      <c r="N73" s="218" t="str">
        <f t="shared" si="5"/>
        <v xml:space="preserve"> </v>
      </c>
      <c r="O73" s="189"/>
      <c r="P73" s="189"/>
      <c r="Q73" s="189"/>
      <c r="R73" s="189" t="str">
        <f t="shared" si="6"/>
        <v xml:space="preserve"> </v>
      </c>
      <c r="S73" s="189"/>
      <c r="T73" s="253"/>
      <c r="U73" s="13"/>
      <c r="V73" s="253"/>
      <c r="W73" s="253"/>
      <c r="X73" s="16"/>
    </row>
    <row r="74" spans="1:24" ht="15" customHeight="1" x14ac:dyDescent="0.35">
      <c r="A74" s="245"/>
      <c r="B74" s="246"/>
      <c r="C74" s="211"/>
      <c r="D74" s="15"/>
      <c r="E74" s="15"/>
      <c r="F74" s="9">
        <v>800</v>
      </c>
      <c r="G74" s="29">
        <f t="shared" si="7"/>
        <v>0</v>
      </c>
      <c r="H74" s="11"/>
      <c r="I74" s="10"/>
      <c r="J74" s="29">
        <f t="shared" si="8"/>
        <v>0</v>
      </c>
      <c r="K74" s="29"/>
      <c r="L74" s="223">
        <f t="shared" si="9"/>
        <v>0</v>
      </c>
      <c r="M74" s="12"/>
      <c r="N74" s="218" t="str">
        <f t="shared" si="5"/>
        <v xml:space="preserve"> </v>
      </c>
      <c r="O74" s="189"/>
      <c r="P74" s="189"/>
      <c r="Q74" s="189"/>
      <c r="R74" s="189" t="str">
        <f t="shared" si="6"/>
        <v xml:space="preserve"> </v>
      </c>
      <c r="S74" s="189"/>
      <c r="T74" s="253"/>
      <c r="U74" s="13"/>
      <c r="V74" s="253"/>
      <c r="W74" s="253"/>
      <c r="X74" s="16"/>
    </row>
    <row r="75" spans="1:24" ht="15" customHeight="1" x14ac:dyDescent="0.35">
      <c r="A75" s="245"/>
      <c r="B75" s="246"/>
      <c r="C75" s="211"/>
      <c r="D75" s="15"/>
      <c r="E75" s="15"/>
      <c r="F75" s="9">
        <v>800</v>
      </c>
      <c r="G75" s="29">
        <f t="shared" si="7"/>
        <v>0</v>
      </c>
      <c r="H75" s="11"/>
      <c r="I75" s="10"/>
      <c r="J75" s="29">
        <f t="shared" si="8"/>
        <v>0</v>
      </c>
      <c r="K75" s="29"/>
      <c r="L75" s="223">
        <f t="shared" si="9"/>
        <v>0</v>
      </c>
      <c r="M75" s="12"/>
      <c r="N75" s="218" t="str">
        <f t="shared" si="5"/>
        <v xml:space="preserve"> </v>
      </c>
      <c r="O75" s="189"/>
      <c r="P75" s="189"/>
      <c r="Q75" s="189"/>
      <c r="R75" s="189" t="str">
        <f t="shared" si="6"/>
        <v xml:space="preserve"> </v>
      </c>
      <c r="S75" s="189"/>
      <c r="T75" s="253"/>
      <c r="U75" s="13"/>
      <c r="V75" s="253"/>
      <c r="W75" s="253"/>
      <c r="X75" s="16"/>
    </row>
    <row r="76" spans="1:24" ht="15" customHeight="1" x14ac:dyDescent="0.35">
      <c r="A76" s="245"/>
      <c r="B76" s="246"/>
      <c r="C76" s="211"/>
      <c r="D76" s="15"/>
      <c r="E76" s="15"/>
      <c r="F76" s="9">
        <v>800</v>
      </c>
      <c r="G76" s="29">
        <f t="shared" si="7"/>
        <v>0</v>
      </c>
      <c r="H76" s="11"/>
      <c r="I76" s="10"/>
      <c r="J76" s="29">
        <f t="shared" si="8"/>
        <v>0</v>
      </c>
      <c r="K76" s="29"/>
      <c r="L76" s="223">
        <f t="shared" si="9"/>
        <v>0</v>
      </c>
      <c r="M76" s="12"/>
      <c r="N76" s="218" t="str">
        <f t="shared" si="5"/>
        <v xml:space="preserve"> </v>
      </c>
      <c r="O76" s="189"/>
      <c r="P76" s="189"/>
      <c r="Q76" s="189"/>
      <c r="R76" s="189" t="str">
        <f t="shared" si="6"/>
        <v xml:space="preserve"> </v>
      </c>
      <c r="S76" s="189"/>
      <c r="T76" s="253"/>
      <c r="U76" s="13"/>
      <c r="V76" s="253"/>
      <c r="W76" s="253"/>
      <c r="X76" s="16"/>
    </row>
    <row r="77" spans="1:24" ht="15" customHeight="1" x14ac:dyDescent="0.35">
      <c r="A77" s="245"/>
      <c r="B77" s="246"/>
      <c r="C77" s="211"/>
      <c r="D77" s="15"/>
      <c r="E77" s="15"/>
      <c r="F77" s="9">
        <v>800</v>
      </c>
      <c r="G77" s="29">
        <f t="shared" si="7"/>
        <v>0</v>
      </c>
      <c r="H77" s="11"/>
      <c r="I77" s="10"/>
      <c r="J77" s="29">
        <f t="shared" si="8"/>
        <v>0</v>
      </c>
      <c r="K77" s="29"/>
      <c r="L77" s="223">
        <f t="shared" si="9"/>
        <v>0</v>
      </c>
      <c r="M77" s="12"/>
      <c r="N77" s="218" t="str">
        <f t="shared" si="5"/>
        <v xml:space="preserve"> </v>
      </c>
      <c r="O77" s="189"/>
      <c r="P77" s="189"/>
      <c r="Q77" s="189"/>
      <c r="R77" s="189" t="str">
        <f t="shared" si="6"/>
        <v xml:space="preserve"> </v>
      </c>
      <c r="S77" s="189"/>
      <c r="T77" s="253"/>
      <c r="U77" s="13"/>
      <c r="V77" s="253"/>
      <c r="W77" s="253"/>
      <c r="X77" s="16"/>
    </row>
    <row r="78" spans="1:24" ht="15" customHeight="1" x14ac:dyDescent="0.35">
      <c r="A78" s="245"/>
      <c r="B78" s="246"/>
      <c r="C78" s="211"/>
      <c r="D78" s="15"/>
      <c r="E78" s="15"/>
      <c r="F78" s="9">
        <v>800</v>
      </c>
      <c r="G78" s="29">
        <f t="shared" si="7"/>
        <v>0</v>
      </c>
      <c r="H78" s="11"/>
      <c r="I78" s="10"/>
      <c r="J78" s="29">
        <f t="shared" si="8"/>
        <v>0</v>
      </c>
      <c r="K78" s="29"/>
      <c r="L78" s="223">
        <f t="shared" si="9"/>
        <v>0</v>
      </c>
      <c r="M78" s="12"/>
      <c r="N78" s="239" t="str">
        <f t="shared" si="5"/>
        <v xml:space="preserve"> </v>
      </c>
      <c r="O78" s="189"/>
      <c r="P78" s="189"/>
      <c r="Q78" s="189"/>
      <c r="R78" s="189" t="str">
        <f t="shared" si="6"/>
        <v xml:space="preserve"> </v>
      </c>
      <c r="S78" s="189"/>
      <c r="T78" s="253"/>
      <c r="U78" s="13"/>
      <c r="V78" s="253"/>
      <c r="W78" s="253"/>
      <c r="X78" s="16"/>
    </row>
    <row r="79" spans="1:24" ht="15" customHeight="1" x14ac:dyDescent="0.35">
      <c r="A79" s="245"/>
      <c r="B79" s="246"/>
      <c r="C79" s="211"/>
      <c r="D79" s="15"/>
      <c r="E79" s="15"/>
      <c r="F79" s="9">
        <v>800</v>
      </c>
      <c r="G79" s="29">
        <f t="shared" si="7"/>
        <v>0</v>
      </c>
      <c r="H79" s="11"/>
      <c r="I79" s="10"/>
      <c r="J79" s="29">
        <f t="shared" si="8"/>
        <v>0</v>
      </c>
      <c r="K79" s="29"/>
      <c r="L79" s="223">
        <f t="shared" si="9"/>
        <v>0</v>
      </c>
      <c r="M79" s="12"/>
      <c r="N79" s="218" t="str">
        <f t="shared" si="5"/>
        <v xml:space="preserve"> </v>
      </c>
      <c r="O79" s="189"/>
      <c r="P79" s="189"/>
      <c r="Q79" s="189"/>
      <c r="R79" s="189" t="str">
        <f t="shared" si="6"/>
        <v xml:space="preserve"> </v>
      </c>
      <c r="S79" s="189"/>
      <c r="T79" s="253"/>
      <c r="U79" s="13"/>
      <c r="V79" s="253"/>
      <c r="W79" s="253"/>
      <c r="X79" s="16"/>
    </row>
    <row r="80" spans="1:24" ht="15" customHeight="1" x14ac:dyDescent="0.35">
      <c r="A80" s="23"/>
      <c r="B80" s="24"/>
      <c r="C80" s="211"/>
      <c r="D80" s="15"/>
      <c r="E80" s="15"/>
      <c r="F80" s="9">
        <v>800</v>
      </c>
      <c r="G80" s="29">
        <f t="shared" si="7"/>
        <v>0</v>
      </c>
      <c r="H80" s="11"/>
      <c r="I80" s="10"/>
      <c r="J80" s="29">
        <f t="shared" si="8"/>
        <v>0</v>
      </c>
      <c r="K80" s="29"/>
      <c r="L80" s="223">
        <f t="shared" si="9"/>
        <v>0</v>
      </c>
      <c r="M80" s="12"/>
      <c r="N80" s="218" t="str">
        <f t="shared" ref="N80:N88" si="10">IF(M80&gt;0,SUM(L80-M80)," ")</f>
        <v xml:space="preserve"> </v>
      </c>
      <c r="O80" s="189"/>
      <c r="P80" s="189"/>
      <c r="Q80" s="189"/>
      <c r="R80" s="189" t="str">
        <f t="shared" si="6"/>
        <v xml:space="preserve"> </v>
      </c>
      <c r="S80" s="189"/>
      <c r="T80" s="253"/>
      <c r="U80" s="13"/>
      <c r="V80" s="253"/>
      <c r="W80" s="253"/>
      <c r="X80" s="16"/>
    </row>
    <row r="81" spans="1:24" ht="15" customHeight="1" x14ac:dyDescent="0.35">
      <c r="A81" s="227"/>
      <c r="B81" s="24"/>
      <c r="C81" s="211"/>
      <c r="D81" s="15"/>
      <c r="E81" s="15"/>
      <c r="F81" s="9">
        <v>800</v>
      </c>
      <c r="G81" s="29">
        <f t="shared" si="7"/>
        <v>0</v>
      </c>
      <c r="H81" s="11"/>
      <c r="I81" s="10"/>
      <c r="J81" s="29">
        <f t="shared" si="8"/>
        <v>0</v>
      </c>
      <c r="K81" s="29"/>
      <c r="L81" s="223">
        <f t="shared" si="9"/>
        <v>0</v>
      </c>
      <c r="M81" s="12"/>
      <c r="N81" s="218" t="str">
        <f t="shared" si="10"/>
        <v xml:space="preserve"> </v>
      </c>
      <c r="O81" s="189"/>
      <c r="P81" s="189"/>
      <c r="Q81" s="189"/>
      <c r="R81" s="189" t="str">
        <f t="shared" si="6"/>
        <v xml:space="preserve"> </v>
      </c>
      <c r="S81" s="189"/>
      <c r="T81" s="253"/>
      <c r="U81" s="13"/>
      <c r="V81" s="253"/>
      <c r="W81" s="253"/>
      <c r="X81" s="16"/>
    </row>
    <row r="82" spans="1:24" ht="15" customHeight="1" x14ac:dyDescent="0.35">
      <c r="A82" s="227"/>
      <c r="B82" s="24"/>
      <c r="C82" s="211"/>
      <c r="D82" s="15"/>
      <c r="E82" s="15"/>
      <c r="F82" s="9">
        <v>800</v>
      </c>
      <c r="G82" s="29">
        <f t="shared" si="7"/>
        <v>0</v>
      </c>
      <c r="H82" s="11"/>
      <c r="I82" s="10"/>
      <c r="J82" s="29">
        <f t="shared" si="8"/>
        <v>0</v>
      </c>
      <c r="K82" s="29"/>
      <c r="L82" s="223">
        <f t="shared" si="9"/>
        <v>0</v>
      </c>
      <c r="M82" s="12"/>
      <c r="N82" s="218" t="str">
        <f t="shared" si="10"/>
        <v xml:space="preserve"> </v>
      </c>
      <c r="O82" s="189"/>
      <c r="P82" s="189"/>
      <c r="Q82" s="189"/>
      <c r="R82" s="189" t="str">
        <f t="shared" si="6"/>
        <v xml:space="preserve"> </v>
      </c>
      <c r="S82" s="189"/>
      <c r="T82" s="253"/>
      <c r="U82" s="13"/>
      <c r="V82" s="253"/>
      <c r="W82" s="253"/>
      <c r="X82" s="16"/>
    </row>
    <row r="83" spans="1:24" ht="15" customHeight="1" x14ac:dyDescent="0.35">
      <c r="A83" s="23"/>
      <c r="B83" s="23"/>
      <c r="C83" s="188"/>
      <c r="D83" s="15"/>
      <c r="E83" s="15"/>
      <c r="F83" s="9">
        <v>800</v>
      </c>
      <c r="G83" s="29">
        <f t="shared" si="7"/>
        <v>0</v>
      </c>
      <c r="H83" s="11"/>
      <c r="I83" s="10"/>
      <c r="J83" s="29">
        <f t="shared" si="8"/>
        <v>0</v>
      </c>
      <c r="K83" s="29"/>
      <c r="L83" s="223">
        <f t="shared" si="9"/>
        <v>0</v>
      </c>
      <c r="M83" s="12"/>
      <c r="N83" s="218" t="str">
        <f t="shared" si="10"/>
        <v xml:space="preserve"> </v>
      </c>
      <c r="O83" s="189"/>
      <c r="P83" s="189"/>
      <c r="Q83" s="189"/>
      <c r="R83" s="189" t="str">
        <f t="shared" si="6"/>
        <v xml:space="preserve"> </v>
      </c>
      <c r="S83" s="189"/>
      <c r="T83" s="253"/>
      <c r="U83" s="13"/>
      <c r="V83" s="253"/>
      <c r="W83" s="253"/>
      <c r="X83" s="16"/>
    </row>
    <row r="84" spans="1:24" ht="15" customHeight="1" x14ac:dyDescent="0.35">
      <c r="A84" s="23"/>
      <c r="B84" s="23"/>
      <c r="C84" s="211"/>
      <c r="D84" s="15"/>
      <c r="E84" s="15"/>
      <c r="F84" s="9">
        <v>800</v>
      </c>
      <c r="G84" s="29">
        <f t="shared" si="7"/>
        <v>0</v>
      </c>
      <c r="H84" s="11"/>
      <c r="I84" s="10"/>
      <c r="J84" s="29">
        <f t="shared" si="8"/>
        <v>0</v>
      </c>
      <c r="K84" s="29"/>
      <c r="L84" s="223">
        <f t="shared" si="9"/>
        <v>0</v>
      </c>
      <c r="M84" s="12"/>
      <c r="N84" s="218" t="str">
        <f t="shared" si="10"/>
        <v xml:space="preserve"> </v>
      </c>
      <c r="O84" s="189"/>
      <c r="P84" s="189"/>
      <c r="Q84" s="189"/>
      <c r="R84" s="189" t="str">
        <f t="shared" si="6"/>
        <v xml:space="preserve"> </v>
      </c>
      <c r="S84" s="189"/>
      <c r="T84" s="253"/>
      <c r="U84" s="13"/>
      <c r="V84" s="253"/>
      <c r="W84" s="253"/>
      <c r="X84" s="16"/>
    </row>
    <row r="85" spans="1:24" ht="15" customHeight="1" x14ac:dyDescent="0.35">
      <c r="A85" s="23"/>
      <c r="B85" s="24"/>
      <c r="C85" s="211"/>
      <c r="D85" s="15"/>
      <c r="E85" s="15"/>
      <c r="F85" s="9">
        <v>800</v>
      </c>
      <c r="G85" s="29">
        <f t="shared" si="7"/>
        <v>0</v>
      </c>
      <c r="H85" s="11"/>
      <c r="I85" s="10"/>
      <c r="J85" s="29">
        <f t="shared" si="8"/>
        <v>0</v>
      </c>
      <c r="K85" s="29"/>
      <c r="L85" s="223">
        <f t="shared" si="9"/>
        <v>0</v>
      </c>
      <c r="M85" s="12"/>
      <c r="N85" s="218" t="str">
        <f t="shared" si="10"/>
        <v xml:space="preserve"> </v>
      </c>
      <c r="O85" s="189"/>
      <c r="P85" s="189"/>
      <c r="Q85" s="189"/>
      <c r="R85" s="189" t="str">
        <f t="shared" si="6"/>
        <v xml:space="preserve"> </v>
      </c>
      <c r="S85" s="189"/>
      <c r="T85" s="253"/>
      <c r="U85" s="13"/>
      <c r="V85" s="253"/>
      <c r="W85" s="253"/>
      <c r="X85" s="16"/>
    </row>
    <row r="86" spans="1:24" ht="15" customHeight="1" x14ac:dyDescent="0.35">
      <c r="A86" s="23"/>
      <c r="B86" s="24"/>
      <c r="C86" s="211"/>
      <c r="D86" s="15"/>
      <c r="E86" s="15"/>
      <c r="F86" s="9">
        <v>800</v>
      </c>
      <c r="G86" s="29">
        <f t="shared" si="7"/>
        <v>0</v>
      </c>
      <c r="H86" s="11"/>
      <c r="I86" s="10"/>
      <c r="J86" s="29">
        <f t="shared" si="8"/>
        <v>0</v>
      </c>
      <c r="K86" s="29"/>
      <c r="L86" s="223">
        <f t="shared" si="9"/>
        <v>0</v>
      </c>
      <c r="M86" s="12"/>
      <c r="N86" s="218" t="str">
        <f t="shared" si="10"/>
        <v xml:space="preserve"> </v>
      </c>
      <c r="O86" s="189"/>
      <c r="P86" s="189"/>
      <c r="Q86" s="189"/>
      <c r="R86" s="189" t="str">
        <f t="shared" si="6"/>
        <v xml:space="preserve"> </v>
      </c>
      <c r="S86" s="189"/>
      <c r="T86" s="253"/>
      <c r="U86" s="13"/>
      <c r="V86" s="253"/>
      <c r="W86" s="253"/>
      <c r="X86" s="16"/>
    </row>
    <row r="87" spans="1:24" ht="15" customHeight="1" x14ac:dyDescent="0.35">
      <c r="A87" s="227"/>
      <c r="B87" s="23"/>
      <c r="C87" s="212"/>
      <c r="D87" s="15"/>
      <c r="E87" s="15"/>
      <c r="F87" s="9">
        <v>800</v>
      </c>
      <c r="G87" s="29">
        <f t="shared" si="7"/>
        <v>0</v>
      </c>
      <c r="H87" s="11"/>
      <c r="I87" s="10"/>
      <c r="J87" s="29">
        <f t="shared" si="8"/>
        <v>0</v>
      </c>
      <c r="K87" s="29"/>
      <c r="L87" s="223">
        <f t="shared" si="9"/>
        <v>0</v>
      </c>
      <c r="M87" s="12"/>
      <c r="N87" s="218" t="str">
        <f t="shared" si="10"/>
        <v xml:space="preserve"> </v>
      </c>
      <c r="O87" s="189"/>
      <c r="P87" s="189"/>
      <c r="Q87" s="189"/>
      <c r="R87" s="189" t="str">
        <f t="shared" si="6"/>
        <v xml:space="preserve"> </v>
      </c>
      <c r="S87" s="189"/>
      <c r="T87" s="253"/>
      <c r="U87" s="13"/>
      <c r="V87" s="253"/>
      <c r="W87" s="253"/>
      <c r="X87" s="16"/>
    </row>
    <row r="88" spans="1:24" ht="15" customHeight="1" x14ac:dyDescent="0.35">
      <c r="A88" s="23"/>
      <c r="B88" s="24"/>
      <c r="C88" s="211"/>
      <c r="D88" s="15"/>
      <c r="E88" s="15"/>
      <c r="F88" s="9">
        <v>800</v>
      </c>
      <c r="G88" s="29">
        <f t="shared" si="7"/>
        <v>0</v>
      </c>
      <c r="H88" s="11"/>
      <c r="I88" s="10"/>
      <c r="J88" s="29">
        <f t="shared" si="8"/>
        <v>0</v>
      </c>
      <c r="K88" s="29"/>
      <c r="L88" s="223">
        <f t="shared" si="9"/>
        <v>0</v>
      </c>
      <c r="M88" s="12"/>
      <c r="N88" s="218" t="str">
        <f t="shared" si="10"/>
        <v xml:space="preserve"> </v>
      </c>
      <c r="O88" s="189"/>
      <c r="P88" s="189"/>
      <c r="Q88" s="189"/>
      <c r="R88" s="189" t="str">
        <f t="shared" si="6"/>
        <v xml:space="preserve"> </v>
      </c>
      <c r="S88" s="189"/>
      <c r="T88" s="253"/>
      <c r="U88" s="13"/>
      <c r="V88" s="253"/>
      <c r="W88" s="253"/>
      <c r="X88" s="16"/>
    </row>
    <row r="89" spans="1:24" ht="15" customHeight="1" x14ac:dyDescent="0.35">
      <c r="A89" s="23"/>
      <c r="B89" s="24"/>
      <c r="C89" s="211"/>
      <c r="D89" s="15"/>
      <c r="E89" s="15"/>
      <c r="F89" s="9">
        <v>800</v>
      </c>
      <c r="G89" s="29">
        <f t="shared" si="7"/>
        <v>0</v>
      </c>
      <c r="H89" s="11"/>
      <c r="I89" s="10"/>
      <c r="J89" s="29">
        <f t="shared" si="8"/>
        <v>0</v>
      </c>
      <c r="K89" s="29"/>
      <c r="L89" s="223">
        <f t="shared" si="9"/>
        <v>0</v>
      </c>
      <c r="M89" s="12"/>
      <c r="N89" s="218" t="str">
        <f t="shared" si="5"/>
        <v xml:space="preserve"> </v>
      </c>
      <c r="O89" s="189"/>
      <c r="P89" s="189"/>
      <c r="Q89" s="189"/>
      <c r="R89" s="189" t="str">
        <f t="shared" si="6"/>
        <v xml:space="preserve"> </v>
      </c>
      <c r="S89" s="189"/>
      <c r="T89" s="253"/>
      <c r="U89" s="13"/>
      <c r="V89" s="253"/>
      <c r="W89" s="253"/>
      <c r="X89" s="16"/>
    </row>
    <row r="90" spans="1:24" ht="15" customHeight="1" x14ac:dyDescent="0.35">
      <c r="A90" s="23"/>
      <c r="B90" s="24"/>
      <c r="C90" s="211"/>
      <c r="D90" s="15"/>
      <c r="E90" s="15"/>
      <c r="F90" s="9">
        <v>800</v>
      </c>
      <c r="G90" s="29">
        <f t="shared" si="7"/>
        <v>0</v>
      </c>
      <c r="H90" s="11"/>
      <c r="I90" s="10"/>
      <c r="J90" s="29">
        <f t="shared" si="8"/>
        <v>0</v>
      </c>
      <c r="K90" s="29"/>
      <c r="L90" s="223">
        <f t="shared" si="9"/>
        <v>0</v>
      </c>
      <c r="M90" s="12"/>
      <c r="N90" s="218" t="str">
        <f t="shared" si="5"/>
        <v xml:space="preserve"> </v>
      </c>
      <c r="O90" s="189"/>
      <c r="P90" s="189"/>
      <c r="Q90" s="189"/>
      <c r="R90" s="189" t="str">
        <f t="shared" si="6"/>
        <v xml:space="preserve"> </v>
      </c>
      <c r="S90" s="189"/>
      <c r="T90" s="253"/>
      <c r="U90" s="13"/>
      <c r="V90" s="253"/>
      <c r="W90" s="253"/>
      <c r="X90" s="16"/>
    </row>
    <row r="91" spans="1:24" ht="15" customHeight="1" x14ac:dyDescent="0.35">
      <c r="A91" s="227"/>
      <c r="B91" s="23"/>
      <c r="C91" s="212"/>
      <c r="D91" s="15"/>
      <c r="E91" s="15"/>
      <c r="F91" s="9">
        <v>800</v>
      </c>
      <c r="G91" s="29">
        <f t="shared" si="7"/>
        <v>0</v>
      </c>
      <c r="H91" s="11"/>
      <c r="I91" s="10"/>
      <c r="J91" s="29">
        <f t="shared" si="8"/>
        <v>0</v>
      </c>
      <c r="K91" s="29"/>
      <c r="L91" s="223">
        <f t="shared" si="9"/>
        <v>0</v>
      </c>
      <c r="M91" s="12"/>
      <c r="N91" s="218" t="str">
        <f t="shared" si="5"/>
        <v xml:space="preserve"> </v>
      </c>
      <c r="O91" s="189"/>
      <c r="P91" s="189"/>
      <c r="Q91" s="189"/>
      <c r="R91" s="189" t="str">
        <f t="shared" si="6"/>
        <v xml:space="preserve"> </v>
      </c>
      <c r="S91" s="189"/>
      <c r="T91" s="253"/>
      <c r="U91" s="13"/>
      <c r="V91" s="253"/>
      <c r="W91" s="253"/>
      <c r="X91" s="16"/>
    </row>
    <row r="92" spans="1:24" ht="15" customHeight="1" x14ac:dyDescent="0.35">
      <c r="A92" s="23"/>
      <c r="B92" s="24"/>
      <c r="C92" s="211"/>
      <c r="D92" s="15"/>
      <c r="E92" s="15"/>
      <c r="F92" s="9">
        <v>800</v>
      </c>
      <c r="G92" s="29">
        <f t="shared" si="7"/>
        <v>0</v>
      </c>
      <c r="H92" s="11"/>
      <c r="I92" s="10"/>
      <c r="J92" s="29">
        <f t="shared" si="8"/>
        <v>0</v>
      </c>
      <c r="K92" s="29"/>
      <c r="L92" s="223">
        <f t="shared" si="9"/>
        <v>0</v>
      </c>
      <c r="M92" s="12"/>
      <c r="N92" s="218" t="str">
        <f t="shared" si="5"/>
        <v xml:space="preserve"> </v>
      </c>
      <c r="O92" s="189"/>
      <c r="P92" s="189"/>
      <c r="Q92" s="189"/>
      <c r="R92" s="189" t="str">
        <f t="shared" si="6"/>
        <v xml:space="preserve"> </v>
      </c>
      <c r="S92" s="189"/>
      <c r="T92" s="253"/>
      <c r="U92" s="13"/>
      <c r="V92" s="253"/>
      <c r="W92" s="253"/>
      <c r="X92" s="16"/>
    </row>
    <row r="93" spans="1:24" ht="15" customHeight="1" x14ac:dyDescent="0.35">
      <c r="A93" s="227"/>
      <c r="B93" s="24"/>
      <c r="C93" s="211"/>
      <c r="D93" s="15"/>
      <c r="E93" s="15"/>
      <c r="F93" s="9">
        <v>800</v>
      </c>
      <c r="G93" s="29">
        <f t="shared" si="7"/>
        <v>0</v>
      </c>
      <c r="H93" s="11"/>
      <c r="I93" s="10"/>
      <c r="J93" s="29">
        <f t="shared" si="8"/>
        <v>0</v>
      </c>
      <c r="K93" s="29"/>
      <c r="L93" s="223">
        <f t="shared" si="9"/>
        <v>0</v>
      </c>
      <c r="M93" s="12"/>
      <c r="N93" s="218" t="str">
        <f t="shared" si="5"/>
        <v xml:space="preserve"> </v>
      </c>
      <c r="O93" s="189"/>
      <c r="P93" s="189"/>
      <c r="Q93" s="189"/>
      <c r="R93" s="189" t="str">
        <f t="shared" si="6"/>
        <v xml:space="preserve"> </v>
      </c>
      <c r="S93" s="189"/>
      <c r="T93" s="253"/>
      <c r="U93" s="13"/>
      <c r="V93" s="253"/>
      <c r="W93" s="253"/>
      <c r="X93" s="16"/>
    </row>
    <row r="94" spans="1:24" ht="15" customHeight="1" x14ac:dyDescent="0.35">
      <c r="A94" s="227"/>
      <c r="B94" s="24"/>
      <c r="C94" s="212"/>
      <c r="D94" s="15"/>
      <c r="E94" s="15"/>
      <c r="F94" s="9">
        <v>800</v>
      </c>
      <c r="G94" s="29">
        <f t="shared" si="7"/>
        <v>0</v>
      </c>
      <c r="H94" s="11"/>
      <c r="I94" s="10"/>
      <c r="J94" s="29">
        <f t="shared" si="8"/>
        <v>0</v>
      </c>
      <c r="K94" s="29"/>
      <c r="L94" s="223">
        <f t="shared" si="9"/>
        <v>0</v>
      </c>
      <c r="M94" s="12"/>
      <c r="N94" s="218" t="str">
        <f t="shared" si="5"/>
        <v xml:space="preserve"> </v>
      </c>
      <c r="O94" s="189"/>
      <c r="P94" s="189"/>
      <c r="Q94" s="189"/>
      <c r="R94" s="189" t="str">
        <f t="shared" si="6"/>
        <v xml:space="preserve"> </v>
      </c>
      <c r="S94" s="189"/>
      <c r="T94" s="253"/>
      <c r="U94" s="13"/>
      <c r="V94" s="253"/>
      <c r="W94" s="253"/>
      <c r="X94" s="16"/>
    </row>
    <row r="95" spans="1:24" ht="15" customHeight="1" x14ac:dyDescent="0.35">
      <c r="A95" s="227"/>
      <c r="B95" s="24"/>
      <c r="C95" s="211"/>
      <c r="D95" s="15"/>
      <c r="E95" s="15"/>
      <c r="F95" s="9">
        <v>800</v>
      </c>
      <c r="G95" s="29">
        <f t="shared" si="7"/>
        <v>0</v>
      </c>
      <c r="H95" s="11"/>
      <c r="I95" s="10"/>
      <c r="J95" s="29">
        <f t="shared" si="8"/>
        <v>0</v>
      </c>
      <c r="K95" s="29"/>
      <c r="L95" s="223">
        <f t="shared" si="9"/>
        <v>0</v>
      </c>
      <c r="M95" s="12"/>
      <c r="N95" s="218" t="str">
        <f t="shared" si="5"/>
        <v xml:space="preserve"> </v>
      </c>
      <c r="O95" s="189"/>
      <c r="P95" s="189"/>
      <c r="Q95" s="189"/>
      <c r="R95" s="189" t="str">
        <f t="shared" si="6"/>
        <v xml:space="preserve"> </v>
      </c>
      <c r="S95" s="189"/>
      <c r="T95" s="253"/>
      <c r="U95" s="13"/>
      <c r="V95" s="253"/>
      <c r="W95" s="253"/>
      <c r="X95" s="16"/>
    </row>
    <row r="96" spans="1:24" ht="15" customHeight="1" x14ac:dyDescent="0.35">
      <c r="A96" s="227"/>
      <c r="B96" s="24"/>
      <c r="C96" s="212"/>
      <c r="D96" s="15"/>
      <c r="E96" s="15"/>
      <c r="F96" s="9">
        <v>800</v>
      </c>
      <c r="G96" s="29">
        <f t="shared" si="7"/>
        <v>0</v>
      </c>
      <c r="H96" s="11"/>
      <c r="I96" s="10"/>
      <c r="J96" s="29">
        <f t="shared" si="8"/>
        <v>0</v>
      </c>
      <c r="K96" s="29"/>
      <c r="L96" s="223">
        <f t="shared" si="9"/>
        <v>0</v>
      </c>
      <c r="M96" s="12"/>
      <c r="N96" s="218" t="str">
        <f>IF(M96&gt;0,SUM(L96-M96)," ")</f>
        <v xml:space="preserve"> </v>
      </c>
      <c r="O96" s="189"/>
      <c r="P96" s="189"/>
      <c r="Q96" s="189"/>
      <c r="R96" s="189" t="str">
        <f t="shared" si="6"/>
        <v xml:space="preserve"> </v>
      </c>
      <c r="S96" s="189"/>
      <c r="T96" s="253"/>
      <c r="U96" s="13"/>
      <c r="V96" s="253"/>
      <c r="W96" s="253"/>
      <c r="X96" s="16"/>
    </row>
    <row r="97" spans="1:24" ht="15" customHeight="1" x14ac:dyDescent="0.35">
      <c r="A97" s="227"/>
      <c r="B97" s="24"/>
      <c r="C97" s="211"/>
      <c r="D97" s="15"/>
      <c r="E97" s="15"/>
      <c r="F97" s="9">
        <v>800</v>
      </c>
      <c r="G97" s="29">
        <f t="shared" si="7"/>
        <v>0</v>
      </c>
      <c r="H97" s="11"/>
      <c r="I97" s="10"/>
      <c r="J97" s="29">
        <f t="shared" si="8"/>
        <v>0</v>
      </c>
      <c r="K97" s="29"/>
      <c r="L97" s="223">
        <f t="shared" si="9"/>
        <v>0</v>
      </c>
      <c r="M97" s="12"/>
      <c r="N97" s="218" t="str">
        <f>IF(M97&gt;0,SUM(L97-M97)," ")</f>
        <v xml:space="preserve"> </v>
      </c>
      <c r="O97" s="189"/>
      <c r="P97" s="189"/>
      <c r="Q97" s="189"/>
      <c r="R97" s="189" t="str">
        <f t="shared" si="6"/>
        <v xml:space="preserve"> </v>
      </c>
      <c r="S97" s="189"/>
      <c r="T97" s="253"/>
      <c r="U97" s="13"/>
      <c r="V97" s="253"/>
      <c r="W97" s="253"/>
      <c r="X97" s="16"/>
    </row>
    <row r="98" spans="1:24" ht="15" customHeight="1" x14ac:dyDescent="0.35">
      <c r="A98" s="227"/>
      <c r="B98" s="24"/>
      <c r="C98" s="206"/>
      <c r="D98" s="15"/>
      <c r="E98" s="15"/>
      <c r="F98" s="9">
        <v>700.7</v>
      </c>
      <c r="G98" s="29">
        <f t="shared" si="7"/>
        <v>0</v>
      </c>
      <c r="H98" s="11"/>
      <c r="I98" s="10"/>
      <c r="J98" s="29">
        <f t="shared" si="8"/>
        <v>0</v>
      </c>
      <c r="K98" s="29"/>
      <c r="L98" s="223">
        <f t="shared" si="9"/>
        <v>0</v>
      </c>
      <c r="M98" s="12"/>
      <c r="N98" s="218" t="str">
        <f t="shared" si="5"/>
        <v xml:space="preserve"> </v>
      </c>
      <c r="O98" s="189"/>
      <c r="P98" s="189"/>
      <c r="Q98" s="189"/>
      <c r="R98" s="189" t="str">
        <f t="shared" si="4"/>
        <v xml:space="preserve"> </v>
      </c>
      <c r="S98" s="189"/>
      <c r="T98" s="253"/>
      <c r="U98" s="13"/>
      <c r="V98" s="253"/>
      <c r="W98" s="253"/>
      <c r="X98" s="16"/>
    </row>
    <row r="99" spans="1:24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7"/>
        <v>0</v>
      </c>
      <c r="H99" s="11"/>
      <c r="I99" s="10"/>
      <c r="J99" s="29">
        <f t="shared" si="8"/>
        <v>0</v>
      </c>
      <c r="K99" s="29"/>
      <c r="L99" s="223">
        <f t="shared" si="9"/>
        <v>0</v>
      </c>
      <c r="M99" s="12"/>
      <c r="N99" s="218" t="str">
        <f t="shared" si="5"/>
        <v xml:space="preserve"> </v>
      </c>
      <c r="O99" s="189"/>
      <c r="P99" s="189"/>
      <c r="Q99" s="189"/>
      <c r="R99" s="189" t="str">
        <f t="shared" si="4"/>
        <v xml:space="preserve"> </v>
      </c>
      <c r="S99" s="189"/>
      <c r="T99" s="253"/>
      <c r="U99" s="13"/>
      <c r="V99" s="253"/>
      <c r="W99" s="253"/>
      <c r="X99" s="16"/>
    </row>
    <row r="100" spans="1:24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7"/>
        <v>0</v>
      </c>
      <c r="H100" s="11"/>
      <c r="I100" s="10"/>
      <c r="J100" s="29">
        <f t="shared" si="8"/>
        <v>0</v>
      </c>
      <c r="K100" s="29"/>
      <c r="L100" s="223">
        <f t="shared" si="9"/>
        <v>0</v>
      </c>
      <c r="M100" s="12"/>
      <c r="N100" s="218" t="str">
        <f t="shared" si="5"/>
        <v xml:space="preserve"> </v>
      </c>
      <c r="O100" s="189"/>
      <c r="P100" s="189"/>
      <c r="Q100" s="189"/>
      <c r="R100" s="189" t="str">
        <f t="shared" si="4"/>
        <v xml:space="preserve"> </v>
      </c>
      <c r="S100" s="189"/>
      <c r="T100" s="253"/>
      <c r="U100" s="13"/>
      <c r="V100" s="253"/>
      <c r="W100" s="253"/>
      <c r="X100" s="16"/>
    </row>
    <row r="101" spans="1:24" ht="16" x14ac:dyDescent="0.5">
      <c r="D101" s="21">
        <f>SUM(D4:D100)</f>
        <v>77</v>
      </c>
      <c r="E101" s="21">
        <f>SUM(E4:E100)</f>
        <v>43</v>
      </c>
      <c r="G101" s="198">
        <f>SUM(G4:G100)</f>
        <v>104150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104150</v>
      </c>
      <c r="M101" s="198"/>
      <c r="N101" s="218" t="str">
        <f t="shared" si="5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-1600</v>
      </c>
      <c r="S101" s="199">
        <f>SUM(S4:S100)</f>
        <v>0</v>
      </c>
    </row>
    <row r="102" spans="1:24" x14ac:dyDescent="0.35">
      <c r="D102" s="290">
        <f>D101+E101</f>
        <v>120</v>
      </c>
      <c r="E102" s="291"/>
      <c r="G102" s="22"/>
      <c r="I102" s="5"/>
      <c r="J102" s="22"/>
      <c r="K102" s="22"/>
    </row>
    <row r="103" spans="1:24" x14ac:dyDescent="0.35">
      <c r="I103" s="5"/>
      <c r="J103" s="6"/>
      <c r="K103" s="6"/>
    </row>
    <row r="107" spans="1:24" x14ac:dyDescent="0.35">
      <c r="D107" s="5"/>
      <c r="E107" s="6"/>
      <c r="F107" s="187"/>
      <c r="G107" s="187"/>
      <c r="J107" s="225"/>
      <c r="L107" s="187"/>
      <c r="M107" s="191"/>
      <c r="N107" s="191"/>
      <c r="R107" s="187"/>
      <c r="S107" s="7"/>
      <c r="U107" s="187"/>
    </row>
    <row r="108" spans="1:24" x14ac:dyDescent="0.35">
      <c r="D108" s="5"/>
      <c r="E108" s="6"/>
      <c r="F108" s="187"/>
      <c r="G108" s="187"/>
      <c r="J108" s="225"/>
      <c r="L108" s="187"/>
      <c r="M108" s="191"/>
      <c r="N108" s="191"/>
      <c r="R108" s="187"/>
      <c r="S108" s="7"/>
      <c r="U108" s="187"/>
    </row>
    <row r="109" spans="1:24" x14ac:dyDescent="0.35">
      <c r="D109" s="5"/>
      <c r="E109" s="6"/>
      <c r="F109" s="187"/>
      <c r="G109" s="187"/>
      <c r="J109" s="225"/>
      <c r="L109" s="187"/>
      <c r="M109" s="191"/>
      <c r="N109" s="191"/>
      <c r="R109" s="187"/>
      <c r="S109" s="7"/>
      <c r="U109" s="187"/>
    </row>
    <row r="110" spans="1:24" x14ac:dyDescent="0.35">
      <c r="D110" s="5"/>
      <c r="E110" s="6"/>
      <c r="F110" s="187"/>
      <c r="G110" s="187"/>
      <c r="J110" s="225"/>
      <c r="L110" s="187"/>
      <c r="M110" s="191"/>
      <c r="N110" s="191"/>
      <c r="R110" s="187"/>
      <c r="S110" s="7"/>
      <c r="U110" s="187"/>
    </row>
    <row r="111" spans="1:24" x14ac:dyDescent="0.35">
      <c r="D111" s="5"/>
      <c r="E111" s="6"/>
      <c r="F111" s="187"/>
      <c r="G111" s="187"/>
      <c r="J111" s="225"/>
      <c r="L111" s="187"/>
      <c r="M111" s="191"/>
      <c r="N111" s="191"/>
      <c r="R111" s="187"/>
      <c r="S111" s="7"/>
      <c r="U111" s="187"/>
    </row>
    <row r="112" spans="1:24" x14ac:dyDescent="0.35">
      <c r="D112" s="5"/>
      <c r="E112" s="6"/>
      <c r="F112" s="187"/>
      <c r="G112" s="187"/>
      <c r="J112" s="225"/>
      <c r="L112" s="187"/>
      <c r="M112" s="191"/>
      <c r="N112" s="191"/>
      <c r="R112" s="187"/>
      <c r="S112" s="7"/>
      <c r="U112" s="187"/>
    </row>
    <row r="113" spans="4:21" x14ac:dyDescent="0.35">
      <c r="D113" s="5"/>
      <c r="E113" s="6"/>
      <c r="F113" s="187"/>
      <c r="G113" s="187"/>
      <c r="J113" s="225"/>
      <c r="L113" s="187"/>
      <c r="M113" s="191"/>
      <c r="N113" s="191"/>
      <c r="R113" s="187"/>
      <c r="S113" s="7"/>
      <c r="U113" s="187"/>
    </row>
    <row r="114" spans="4:21" x14ac:dyDescent="0.35">
      <c r="D114" s="5"/>
      <c r="E114" s="6"/>
      <c r="F114" s="187"/>
      <c r="G114" s="187"/>
      <c r="J114" s="225"/>
      <c r="L114" s="187"/>
      <c r="M114" s="191"/>
      <c r="N114" s="191"/>
      <c r="R114" s="187"/>
      <c r="S114" s="7"/>
      <c r="U114" s="187"/>
    </row>
    <row r="115" spans="4:21" x14ac:dyDescent="0.35">
      <c r="D115" s="5"/>
      <c r="E115" s="6"/>
      <c r="F115" s="187"/>
      <c r="G115" s="187"/>
      <c r="J115" s="225"/>
      <c r="L115" s="187"/>
      <c r="M115" s="191"/>
      <c r="N115" s="191"/>
      <c r="R115" s="187"/>
      <c r="S115" s="7"/>
      <c r="U115" s="187"/>
    </row>
    <row r="116" spans="4:21" x14ac:dyDescent="0.35">
      <c r="D116" s="5"/>
      <c r="E116" s="6"/>
      <c r="F116" s="187"/>
      <c r="G116" s="187"/>
      <c r="J116" s="225"/>
      <c r="L116" s="187"/>
      <c r="M116" s="191"/>
      <c r="N116" s="191"/>
      <c r="R116" s="187"/>
      <c r="S116" s="7"/>
      <c r="U116" s="187"/>
    </row>
    <row r="117" spans="4:21" x14ac:dyDescent="0.35">
      <c r="D117" s="5"/>
      <c r="E117" s="6"/>
      <c r="F117" s="187"/>
      <c r="G117" s="187"/>
      <c r="J117" s="225"/>
      <c r="L117" s="187"/>
      <c r="M117" s="191"/>
      <c r="N117" s="191"/>
      <c r="R117" s="187"/>
      <c r="S117" s="7"/>
      <c r="U117" s="187"/>
    </row>
    <row r="118" spans="4:21" x14ac:dyDescent="0.35">
      <c r="D118" s="5"/>
      <c r="E118" s="6"/>
      <c r="F118" s="187"/>
      <c r="G118" s="187"/>
      <c r="J118" s="225"/>
      <c r="L118" s="187"/>
      <c r="M118" s="191"/>
      <c r="N118" s="191"/>
      <c r="R118" s="187"/>
      <c r="S118" s="7"/>
      <c r="U118" s="187"/>
    </row>
    <row r="119" spans="4:21" x14ac:dyDescent="0.35">
      <c r="D119" s="5"/>
      <c r="E119" s="6"/>
      <c r="F119" s="187"/>
      <c r="G119" s="187"/>
      <c r="J119" s="225"/>
      <c r="L119" s="187"/>
      <c r="M119" s="191"/>
      <c r="N119" s="191"/>
      <c r="R119" s="187"/>
      <c r="S119" s="7"/>
      <c r="U119" s="187"/>
    </row>
    <row r="120" spans="4:21" x14ac:dyDescent="0.35">
      <c r="D120" s="5"/>
      <c r="E120" s="6"/>
      <c r="F120" s="187"/>
      <c r="G120" s="187"/>
      <c r="J120" s="225"/>
      <c r="L120" s="187"/>
      <c r="M120" s="191"/>
      <c r="N120" s="191"/>
      <c r="R120" s="187"/>
      <c r="S120" s="7"/>
      <c r="U120" s="187"/>
    </row>
    <row r="121" spans="4:21" x14ac:dyDescent="0.35">
      <c r="D121" s="5"/>
      <c r="E121" s="6"/>
      <c r="F121" s="187"/>
      <c r="G121" s="187"/>
      <c r="J121" s="225"/>
      <c r="L121" s="187"/>
      <c r="M121" s="191"/>
      <c r="N121" s="191"/>
      <c r="R121" s="187"/>
      <c r="S121" s="7"/>
      <c r="U121" s="187"/>
    </row>
    <row r="122" spans="4:21" x14ac:dyDescent="0.35">
      <c r="D122" s="5"/>
      <c r="E122" s="6"/>
      <c r="F122" s="187"/>
      <c r="G122" s="187"/>
      <c r="J122" s="225"/>
      <c r="L122" s="187"/>
      <c r="M122" s="191"/>
      <c r="N122" s="191"/>
      <c r="R122" s="187"/>
      <c r="S122" s="7"/>
      <c r="U122" s="187"/>
    </row>
    <row r="123" spans="4:21" x14ac:dyDescent="0.35">
      <c r="D123" s="5"/>
      <c r="E123" s="6"/>
      <c r="F123" s="187"/>
      <c r="G123" s="187"/>
      <c r="J123" s="225"/>
      <c r="L123" s="187"/>
      <c r="M123" s="191"/>
      <c r="N123" s="191"/>
      <c r="R123" s="187"/>
      <c r="S123" s="7"/>
      <c r="U123" s="187"/>
    </row>
    <row r="124" spans="4:21" x14ac:dyDescent="0.35">
      <c r="D124" s="5"/>
      <c r="E124" s="6"/>
      <c r="F124" s="187"/>
      <c r="G124" s="187"/>
      <c r="J124" s="225"/>
      <c r="L124" s="187"/>
      <c r="M124" s="191"/>
      <c r="N124" s="191"/>
      <c r="R124" s="187"/>
      <c r="S124" s="7"/>
      <c r="U124" s="187"/>
    </row>
    <row r="125" spans="4:21" x14ac:dyDescent="0.35">
      <c r="D125" s="5"/>
      <c r="E125" s="6"/>
      <c r="F125" s="187"/>
      <c r="G125" s="187"/>
      <c r="J125" s="225"/>
      <c r="L125" s="187"/>
      <c r="M125" s="191"/>
      <c r="N125" s="191"/>
      <c r="R125" s="187"/>
      <c r="S125" s="7"/>
      <c r="U125" s="187"/>
    </row>
    <row r="126" spans="4:21" x14ac:dyDescent="0.35">
      <c r="D126" s="5"/>
      <c r="E126" s="6"/>
      <c r="F126" s="187"/>
      <c r="G126" s="187"/>
      <c r="J126" s="225"/>
      <c r="L126" s="187"/>
      <c r="M126" s="191"/>
      <c r="N126" s="191"/>
      <c r="R126" s="187"/>
      <c r="S126" s="7"/>
      <c r="U126" s="187"/>
    </row>
    <row r="127" spans="4:21" x14ac:dyDescent="0.35">
      <c r="D127" s="5"/>
      <c r="E127" s="6"/>
      <c r="F127" s="187"/>
      <c r="G127" s="187"/>
      <c r="J127" s="225"/>
      <c r="L127" s="187"/>
      <c r="M127" s="191"/>
      <c r="N127" s="191"/>
      <c r="R127" s="187"/>
      <c r="S127" s="7"/>
      <c r="U127" s="187"/>
    </row>
    <row r="128" spans="4:21" x14ac:dyDescent="0.35">
      <c r="D128" s="5"/>
      <c r="E128" s="6"/>
      <c r="F128" s="187"/>
      <c r="G128" s="187"/>
      <c r="J128" s="225"/>
      <c r="L128" s="187"/>
      <c r="M128" s="191"/>
      <c r="N128" s="191"/>
      <c r="R128" s="187"/>
      <c r="S128" s="7"/>
      <c r="U128" s="187"/>
    </row>
    <row r="129" spans="4:21" x14ac:dyDescent="0.35">
      <c r="D129" s="5"/>
      <c r="E129" s="6"/>
      <c r="F129" s="187"/>
      <c r="G129" s="187"/>
      <c r="J129" s="225"/>
      <c r="L129" s="187"/>
      <c r="M129" s="191"/>
      <c r="N129" s="191"/>
      <c r="R129" s="187"/>
      <c r="S129" s="7"/>
      <c r="U129" s="187"/>
    </row>
    <row r="130" spans="4:21" x14ac:dyDescent="0.35">
      <c r="D130" s="5"/>
      <c r="E130" s="6"/>
      <c r="F130" s="187"/>
      <c r="G130" s="187"/>
      <c r="J130" s="225"/>
      <c r="L130" s="187"/>
      <c r="M130" s="191"/>
      <c r="N130" s="191"/>
      <c r="R130" s="187"/>
      <c r="S130" s="7"/>
      <c r="U130" s="187"/>
    </row>
    <row r="131" spans="4:21" x14ac:dyDescent="0.35">
      <c r="D131" s="5"/>
      <c r="E131" s="6"/>
      <c r="F131" s="187"/>
      <c r="G131" s="187"/>
      <c r="J131" s="225"/>
      <c r="L131" s="187"/>
      <c r="M131" s="191"/>
      <c r="N131" s="191"/>
      <c r="R131" s="187"/>
      <c r="S131" s="7"/>
      <c r="U131" s="187"/>
    </row>
    <row r="132" spans="4:21" x14ac:dyDescent="0.35">
      <c r="D132" s="5"/>
      <c r="E132" s="6"/>
      <c r="F132" s="187"/>
      <c r="G132" s="187"/>
      <c r="J132" s="225"/>
      <c r="L132" s="187"/>
      <c r="M132" s="191"/>
      <c r="N132" s="191"/>
      <c r="R132" s="187"/>
      <c r="S132" s="7"/>
      <c r="U132" s="187"/>
    </row>
    <row r="133" spans="4:21" x14ac:dyDescent="0.35">
      <c r="D133" s="5"/>
      <c r="E133" s="6"/>
      <c r="F133" s="187"/>
      <c r="G133" s="187"/>
      <c r="J133" s="225"/>
      <c r="L133" s="187"/>
      <c r="M133" s="191"/>
      <c r="N133" s="191"/>
      <c r="R133" s="187"/>
      <c r="S133" s="7"/>
      <c r="U133" s="187"/>
    </row>
    <row r="134" spans="4:21" x14ac:dyDescent="0.35">
      <c r="D134" s="5"/>
      <c r="E134" s="6"/>
      <c r="F134" s="187"/>
      <c r="G134" s="187"/>
      <c r="J134" s="225"/>
      <c r="L134" s="187"/>
      <c r="M134" s="191"/>
      <c r="N134" s="191"/>
      <c r="R134" s="187"/>
      <c r="S134" s="7"/>
      <c r="U134" s="187"/>
    </row>
    <row r="135" spans="4:21" x14ac:dyDescent="0.35">
      <c r="D135" s="5"/>
      <c r="E135" s="6"/>
      <c r="F135" s="187"/>
      <c r="G135" s="187"/>
      <c r="J135" s="225"/>
      <c r="L135" s="187"/>
      <c r="M135" s="191"/>
      <c r="N135" s="191"/>
      <c r="R135" s="187"/>
      <c r="S135" s="7"/>
      <c r="U135" s="187"/>
    </row>
    <row r="136" spans="4:21" x14ac:dyDescent="0.35">
      <c r="D136" s="5"/>
      <c r="E136" s="6"/>
      <c r="F136" s="187"/>
      <c r="G136" s="187"/>
      <c r="J136" s="225"/>
      <c r="L136" s="187"/>
      <c r="M136" s="191"/>
      <c r="N136" s="191"/>
      <c r="R136" s="187"/>
      <c r="S136" s="7"/>
      <c r="U136" s="187"/>
    </row>
    <row r="137" spans="4:21" x14ac:dyDescent="0.35">
      <c r="D137" s="5"/>
      <c r="E137" s="6"/>
      <c r="F137" s="187"/>
      <c r="G137" s="187"/>
      <c r="J137" s="225"/>
      <c r="L137" s="187"/>
      <c r="M137" s="191"/>
      <c r="N137" s="191"/>
      <c r="R137" s="187"/>
      <c r="S137" s="7"/>
      <c r="U137" s="187"/>
    </row>
    <row r="138" spans="4:21" x14ac:dyDescent="0.35">
      <c r="D138" s="5"/>
      <c r="E138" s="6"/>
      <c r="F138" s="187"/>
      <c r="G138" s="187"/>
      <c r="J138" s="225"/>
      <c r="L138" s="187"/>
      <c r="M138" s="191"/>
      <c r="N138" s="191"/>
      <c r="R138" s="187"/>
      <c r="S138" s="7"/>
      <c r="U138" s="187"/>
    </row>
    <row r="139" spans="4:21" x14ac:dyDescent="0.35">
      <c r="D139" s="5"/>
      <c r="E139" s="6"/>
      <c r="F139" s="187"/>
      <c r="G139" s="187"/>
      <c r="J139" s="225"/>
      <c r="L139" s="187"/>
      <c r="M139" s="191"/>
      <c r="N139" s="191"/>
      <c r="R139" s="187"/>
      <c r="S139" s="7"/>
      <c r="U139" s="187"/>
    </row>
    <row r="1048434" spans="15:21" x14ac:dyDescent="0.35">
      <c r="O1048434" s="189"/>
      <c r="P1048434" s="189"/>
      <c r="Q1048434" s="189"/>
      <c r="R1048434" s="189"/>
      <c r="S1048434" s="189"/>
      <c r="U1048434" s="13"/>
    </row>
  </sheetData>
  <autoFilter ref="B3:AA102" xr:uid="{00000000-0009-0000-0000-000008000000}"/>
  <mergeCells count="15">
    <mergeCell ref="A2:A3"/>
    <mergeCell ref="B2:B3"/>
    <mergeCell ref="C2:C3"/>
    <mergeCell ref="D2:G2"/>
    <mergeCell ref="H2:J2"/>
    <mergeCell ref="K2:K3"/>
    <mergeCell ref="V2:V3"/>
    <mergeCell ref="X2:X3"/>
    <mergeCell ref="O3:O4"/>
    <mergeCell ref="L2:L3"/>
    <mergeCell ref="M2:M3"/>
    <mergeCell ref="N2:N3"/>
    <mergeCell ref="O2:S2"/>
    <mergeCell ref="T2:T3"/>
    <mergeCell ref="U2:U3"/>
  </mergeCells>
  <conditionalFormatting sqref="B2 B100:B1048576 A65 A93:A94 A82:A91 A25 A75:A76 A78:A80 A49:A60 A67 A62:A63 A18:A23 A38:A43 A69 A27:A30">
    <cfRule type="containsText" dxfId="2137" priority="164" operator="containsText" text="OK">
      <formula>NOT(ISERROR(SEARCH("OK",A2)))</formula>
    </cfRule>
  </conditionalFormatting>
  <conditionalFormatting sqref="B2 B100:B1048576 A65 A93:A94 A82:A91 A25 A75:A76 A78:A80 A49:A60 A67 A62:A63 A18:A23 A38:A43 A69 A27:A30">
    <cfRule type="containsText" dxfId="2136" priority="163" operator="containsText" text="ok">
      <formula>NOT(ISERROR(SEARCH("ok",A2)))</formula>
    </cfRule>
  </conditionalFormatting>
  <conditionalFormatting sqref="B54:B65 B67">
    <cfRule type="containsText" dxfId="2135" priority="162" operator="containsText" text="OK">
      <formula>NOT(ISERROR(SEARCH("OK",B54)))</formula>
    </cfRule>
  </conditionalFormatting>
  <conditionalFormatting sqref="B54:B65 B67">
    <cfRule type="containsText" dxfId="2134" priority="161" operator="containsText" text="ok">
      <formula>NOT(ISERROR(SEARCH("ok",B54)))</formula>
    </cfRule>
  </conditionalFormatting>
  <conditionalFormatting sqref="B91">
    <cfRule type="containsText" dxfId="2133" priority="160" operator="containsText" text="OK">
      <formula>NOT(ISERROR(SEARCH("OK",B91)))</formula>
    </cfRule>
  </conditionalFormatting>
  <conditionalFormatting sqref="B91">
    <cfRule type="containsText" dxfId="2132" priority="159" operator="containsText" text="ok">
      <formula>NOT(ISERROR(SEARCH("ok",B91)))</formula>
    </cfRule>
  </conditionalFormatting>
  <conditionalFormatting sqref="A2 A100:A1048576">
    <cfRule type="containsText" dxfId="2131" priority="158" operator="containsText" text="OK">
      <formula>NOT(ISERROR(SEARCH("OK",A2)))</formula>
    </cfRule>
  </conditionalFormatting>
  <conditionalFormatting sqref="A2 A100:A1048576">
    <cfRule type="containsText" dxfId="2130" priority="157" operator="containsText" text="ok">
      <formula>NOT(ISERROR(SEARCH("ok",A2)))</formula>
    </cfRule>
  </conditionalFormatting>
  <conditionalFormatting sqref="A95">
    <cfRule type="containsText" dxfId="2129" priority="156" operator="containsText" text="OK">
      <formula>NOT(ISERROR(SEARCH("OK",A95)))</formula>
    </cfRule>
  </conditionalFormatting>
  <conditionalFormatting sqref="A95">
    <cfRule type="containsText" dxfId="2128" priority="155" operator="containsText" text="ok">
      <formula>NOT(ISERROR(SEARCH("ok",A95)))</formula>
    </cfRule>
  </conditionalFormatting>
  <conditionalFormatting sqref="A96">
    <cfRule type="containsText" dxfId="2127" priority="154" operator="containsText" text="OK">
      <formula>NOT(ISERROR(SEARCH("OK",A96)))</formula>
    </cfRule>
  </conditionalFormatting>
  <conditionalFormatting sqref="A96">
    <cfRule type="containsText" dxfId="2126" priority="153" operator="containsText" text="ok">
      <formula>NOT(ISERROR(SEARCH("ok",A96)))</formula>
    </cfRule>
  </conditionalFormatting>
  <conditionalFormatting sqref="A97">
    <cfRule type="containsText" dxfId="2125" priority="152" operator="containsText" text="OK">
      <formula>NOT(ISERROR(SEARCH("OK",A97)))</formula>
    </cfRule>
  </conditionalFormatting>
  <conditionalFormatting sqref="A97">
    <cfRule type="containsText" dxfId="2124" priority="151" operator="containsText" text="ok">
      <formula>NOT(ISERROR(SEARCH("ok",A97)))</formula>
    </cfRule>
  </conditionalFormatting>
  <conditionalFormatting sqref="A98">
    <cfRule type="containsText" dxfId="2123" priority="150" operator="containsText" text="OK">
      <formula>NOT(ISERROR(SEARCH("OK",A98)))</formula>
    </cfRule>
  </conditionalFormatting>
  <conditionalFormatting sqref="A98">
    <cfRule type="containsText" dxfId="2122" priority="149" operator="containsText" text="ok">
      <formula>NOT(ISERROR(SEARCH("ok",A98)))</formula>
    </cfRule>
  </conditionalFormatting>
  <conditionalFormatting sqref="A99">
    <cfRule type="containsText" dxfId="2121" priority="148" operator="containsText" text="OK">
      <formula>NOT(ISERROR(SEARCH("OK",A99)))</formula>
    </cfRule>
  </conditionalFormatting>
  <conditionalFormatting sqref="A99">
    <cfRule type="containsText" dxfId="2120" priority="147" operator="containsText" text="ok">
      <formula>NOT(ISERROR(SEARCH("ok",A99)))</formula>
    </cfRule>
  </conditionalFormatting>
  <conditionalFormatting sqref="B87">
    <cfRule type="containsText" dxfId="2119" priority="146" operator="containsText" text="OK">
      <formula>NOT(ISERROR(SEARCH("OK",B87)))</formula>
    </cfRule>
  </conditionalFormatting>
  <conditionalFormatting sqref="B87">
    <cfRule type="containsText" dxfId="2118" priority="145" operator="containsText" text="ok">
      <formula>NOT(ISERROR(SEARCH("ok",B87)))</formula>
    </cfRule>
  </conditionalFormatting>
  <conditionalFormatting sqref="B82">
    <cfRule type="containsText" dxfId="2117" priority="144" operator="containsText" text="OK">
      <formula>NOT(ISERROR(SEARCH("OK",B82)))</formula>
    </cfRule>
  </conditionalFormatting>
  <conditionalFormatting sqref="B82">
    <cfRule type="containsText" dxfId="2116" priority="143" operator="containsText" text="ok">
      <formula>NOT(ISERROR(SEARCH("ok",B82)))</formula>
    </cfRule>
  </conditionalFormatting>
  <conditionalFormatting sqref="B83">
    <cfRule type="containsText" dxfId="2115" priority="142" operator="containsText" text="OK">
      <formula>NOT(ISERROR(SEARCH("OK",B83)))</formula>
    </cfRule>
  </conditionalFormatting>
  <conditionalFormatting sqref="B83">
    <cfRule type="containsText" dxfId="2114" priority="141" operator="containsText" text="ok">
      <formula>NOT(ISERROR(SEARCH("ok",B83)))</formula>
    </cfRule>
  </conditionalFormatting>
  <conditionalFormatting sqref="B84">
    <cfRule type="containsText" dxfId="2113" priority="140" operator="containsText" text="OK">
      <formula>NOT(ISERROR(SEARCH("OK",B84)))</formula>
    </cfRule>
  </conditionalFormatting>
  <conditionalFormatting sqref="B84">
    <cfRule type="containsText" dxfId="2112" priority="139" operator="containsText" text="ok">
      <formula>NOT(ISERROR(SEARCH("ok",B84)))</formula>
    </cfRule>
  </conditionalFormatting>
  <conditionalFormatting sqref="B85">
    <cfRule type="containsText" dxfId="2111" priority="138" operator="containsText" text="OK">
      <formula>NOT(ISERROR(SEARCH("OK",B85)))</formula>
    </cfRule>
  </conditionalFormatting>
  <conditionalFormatting sqref="B85">
    <cfRule type="containsText" dxfId="2110" priority="137" operator="containsText" text="ok">
      <formula>NOT(ISERROR(SEARCH("ok",B85)))</formula>
    </cfRule>
  </conditionalFormatting>
  <conditionalFormatting sqref="B86">
    <cfRule type="containsText" dxfId="2109" priority="136" operator="containsText" text="OK">
      <formula>NOT(ISERROR(SEARCH("OK",B86)))</formula>
    </cfRule>
  </conditionalFormatting>
  <conditionalFormatting sqref="B86">
    <cfRule type="containsText" dxfId="2108" priority="135" operator="containsText" text="ok">
      <formula>NOT(ISERROR(SEARCH("ok",B86)))</formula>
    </cfRule>
  </conditionalFormatting>
  <conditionalFormatting sqref="A45">
    <cfRule type="containsText" dxfId="2107" priority="134" operator="containsText" text="OK">
      <formula>NOT(ISERROR(SEARCH("OK",A45)))</formula>
    </cfRule>
  </conditionalFormatting>
  <conditionalFormatting sqref="A45">
    <cfRule type="containsText" dxfId="2106" priority="133" operator="containsText" text="ok">
      <formula>NOT(ISERROR(SEARCH("ok",A45)))</formula>
    </cfRule>
  </conditionalFormatting>
  <conditionalFormatting sqref="B69">
    <cfRule type="containsText" dxfId="2105" priority="132" operator="containsText" text="OK">
      <formula>NOT(ISERROR(SEARCH("OK",B69)))</formula>
    </cfRule>
  </conditionalFormatting>
  <conditionalFormatting sqref="B69">
    <cfRule type="containsText" dxfId="2104" priority="131" operator="containsText" text="ok">
      <formula>NOT(ISERROR(SEARCH("ok",B69)))</formula>
    </cfRule>
  </conditionalFormatting>
  <conditionalFormatting sqref="B88">
    <cfRule type="containsText" dxfId="2103" priority="130" operator="containsText" text="OK">
      <formula>NOT(ISERROR(SEARCH("OK",B88)))</formula>
    </cfRule>
  </conditionalFormatting>
  <conditionalFormatting sqref="B88">
    <cfRule type="containsText" dxfId="2102" priority="129" operator="containsText" text="ok">
      <formula>NOT(ISERROR(SEARCH("ok",B88)))</formula>
    </cfRule>
  </conditionalFormatting>
  <conditionalFormatting sqref="A92">
    <cfRule type="containsText" dxfId="2101" priority="128" operator="containsText" text="OK">
      <formula>NOT(ISERROR(SEARCH("OK",A92)))</formula>
    </cfRule>
  </conditionalFormatting>
  <conditionalFormatting sqref="A92">
    <cfRule type="containsText" dxfId="2100" priority="127" operator="containsText" text="ok">
      <formula>NOT(ISERROR(SEARCH("ok",A92)))</formula>
    </cfRule>
  </conditionalFormatting>
  <conditionalFormatting sqref="B87">
    <cfRule type="containsText" dxfId="2099" priority="126" operator="containsText" text="OK">
      <formula>NOT(ISERROR(SEARCH("OK",B87)))</formula>
    </cfRule>
  </conditionalFormatting>
  <conditionalFormatting sqref="B87">
    <cfRule type="containsText" dxfId="2098" priority="125" operator="containsText" text="ok">
      <formula>NOT(ISERROR(SEARCH("ok",B87)))</formula>
    </cfRule>
  </conditionalFormatting>
  <conditionalFormatting sqref="B83">
    <cfRule type="containsText" dxfId="2097" priority="124" operator="containsText" text="OK">
      <formula>NOT(ISERROR(SEARCH("OK",B83)))</formula>
    </cfRule>
  </conditionalFormatting>
  <conditionalFormatting sqref="B83">
    <cfRule type="containsText" dxfId="2096" priority="123" operator="containsText" text="ok">
      <formula>NOT(ISERROR(SEARCH("ok",B83)))</formula>
    </cfRule>
  </conditionalFormatting>
  <conditionalFormatting sqref="B84">
    <cfRule type="containsText" dxfId="2095" priority="122" operator="containsText" text="OK">
      <formula>NOT(ISERROR(SEARCH("OK",B84)))</formula>
    </cfRule>
  </conditionalFormatting>
  <conditionalFormatting sqref="B84">
    <cfRule type="containsText" dxfId="2094" priority="121" operator="containsText" text="ok">
      <formula>NOT(ISERROR(SEARCH("ok",B84)))</formula>
    </cfRule>
  </conditionalFormatting>
  <conditionalFormatting sqref="A88">
    <cfRule type="containsText" dxfId="2093" priority="120" operator="containsText" text="OK">
      <formula>NOT(ISERROR(SEARCH("OK",A88)))</formula>
    </cfRule>
  </conditionalFormatting>
  <conditionalFormatting sqref="A88">
    <cfRule type="containsText" dxfId="2092" priority="119" operator="containsText" text="ok">
      <formula>NOT(ISERROR(SEARCH("ok",A88)))</formula>
    </cfRule>
  </conditionalFormatting>
  <conditionalFormatting sqref="A81">
    <cfRule type="containsText" dxfId="2091" priority="118" operator="containsText" text="OK">
      <formula>NOT(ISERROR(SEARCH("OK",A81)))</formula>
    </cfRule>
  </conditionalFormatting>
  <conditionalFormatting sqref="A81">
    <cfRule type="containsText" dxfId="2090" priority="117" operator="containsText" text="ok">
      <formula>NOT(ISERROR(SEARCH("ok",A81)))</formula>
    </cfRule>
  </conditionalFormatting>
  <conditionalFormatting sqref="B81">
    <cfRule type="containsText" dxfId="2089" priority="116" operator="containsText" text="OK">
      <formula>NOT(ISERROR(SEARCH("OK",B81)))</formula>
    </cfRule>
  </conditionalFormatting>
  <conditionalFormatting sqref="B81">
    <cfRule type="containsText" dxfId="2088" priority="115" operator="containsText" text="ok">
      <formula>NOT(ISERROR(SEARCH("ok",B81)))</formula>
    </cfRule>
  </conditionalFormatting>
  <conditionalFormatting sqref="A61">
    <cfRule type="containsText" dxfId="2087" priority="114" operator="containsText" text="OK">
      <formula>NOT(ISERROR(SEARCH("OK",A61)))</formula>
    </cfRule>
  </conditionalFormatting>
  <conditionalFormatting sqref="A61">
    <cfRule type="containsText" dxfId="2086" priority="113" operator="containsText" text="ok">
      <formula>NOT(ISERROR(SEARCH("ok",A61)))</formula>
    </cfRule>
  </conditionalFormatting>
  <conditionalFormatting sqref="B66">
    <cfRule type="containsText" dxfId="2085" priority="110" operator="containsText" text="OK">
      <formula>NOT(ISERROR(SEARCH("OK",B66)))</formula>
    </cfRule>
  </conditionalFormatting>
  <conditionalFormatting sqref="B66">
    <cfRule type="containsText" dxfId="2084" priority="109" operator="containsText" text="ok">
      <formula>NOT(ISERROR(SEARCH("ok",B66)))</formula>
    </cfRule>
  </conditionalFormatting>
  <conditionalFormatting sqref="A66">
    <cfRule type="containsText" dxfId="2083" priority="112" operator="containsText" text="OK">
      <formula>NOT(ISERROR(SEARCH("OK",A66)))</formula>
    </cfRule>
  </conditionalFormatting>
  <conditionalFormatting sqref="A66">
    <cfRule type="containsText" dxfId="2082" priority="111" operator="containsText" text="ok">
      <formula>NOT(ISERROR(SEARCH("ok",A66)))</formula>
    </cfRule>
  </conditionalFormatting>
  <conditionalFormatting sqref="B75">
    <cfRule type="containsText" dxfId="2081" priority="106" operator="containsText" text="OK">
      <formula>NOT(ISERROR(SEARCH("OK",B75)))</formula>
    </cfRule>
  </conditionalFormatting>
  <conditionalFormatting sqref="B75">
    <cfRule type="containsText" dxfId="2080" priority="105" operator="containsText" text="ok">
      <formula>NOT(ISERROR(SEARCH("ok",B75)))</formula>
    </cfRule>
  </conditionalFormatting>
  <conditionalFormatting sqref="B74">
    <cfRule type="containsText" dxfId="2079" priority="108" operator="containsText" text="OK">
      <formula>NOT(ISERROR(SEARCH("OK",B74)))</formula>
    </cfRule>
  </conditionalFormatting>
  <conditionalFormatting sqref="B74">
    <cfRule type="containsText" dxfId="2078" priority="107" operator="containsText" text="ok">
      <formula>NOT(ISERROR(SEARCH("ok",B74)))</formula>
    </cfRule>
  </conditionalFormatting>
  <conditionalFormatting sqref="B76">
    <cfRule type="containsText" dxfId="2077" priority="104" operator="containsText" text="OK">
      <formula>NOT(ISERROR(SEARCH("OK",B76)))</formula>
    </cfRule>
  </conditionalFormatting>
  <conditionalFormatting sqref="B76">
    <cfRule type="containsText" dxfId="2076" priority="103" operator="containsText" text="ok">
      <formula>NOT(ISERROR(SEARCH("ok",B76)))</formula>
    </cfRule>
  </conditionalFormatting>
  <conditionalFormatting sqref="B77">
    <cfRule type="containsText" dxfId="2075" priority="102" operator="containsText" text="OK">
      <formula>NOT(ISERROR(SEARCH("OK",B77)))</formula>
    </cfRule>
  </conditionalFormatting>
  <conditionalFormatting sqref="B77">
    <cfRule type="containsText" dxfId="2074" priority="101" operator="containsText" text="ok">
      <formula>NOT(ISERROR(SEARCH("ok",B77)))</formula>
    </cfRule>
  </conditionalFormatting>
  <conditionalFormatting sqref="B78">
    <cfRule type="containsText" dxfId="2073" priority="100" operator="containsText" text="OK">
      <formula>NOT(ISERROR(SEARCH("OK",B78)))</formula>
    </cfRule>
  </conditionalFormatting>
  <conditionalFormatting sqref="B78">
    <cfRule type="containsText" dxfId="2072" priority="99" operator="containsText" text="ok">
      <formula>NOT(ISERROR(SEARCH("ok",B78)))</formula>
    </cfRule>
  </conditionalFormatting>
  <conditionalFormatting sqref="A77">
    <cfRule type="containsText" dxfId="2071" priority="98" operator="containsText" text="OK">
      <formula>NOT(ISERROR(SEARCH("OK",A77)))</formula>
    </cfRule>
  </conditionalFormatting>
  <conditionalFormatting sqref="A77">
    <cfRule type="containsText" dxfId="2070" priority="97" operator="containsText" text="ok">
      <formula>NOT(ISERROR(SEARCH("ok",A77)))</formula>
    </cfRule>
  </conditionalFormatting>
  <conditionalFormatting sqref="A48">
    <cfRule type="containsText" dxfId="2069" priority="96" operator="containsText" text="OK">
      <formula>NOT(ISERROR(SEARCH("OK",A48)))</formula>
    </cfRule>
  </conditionalFormatting>
  <conditionalFormatting sqref="A48">
    <cfRule type="containsText" dxfId="2068" priority="95" operator="containsText" text="ok">
      <formula>NOT(ISERROR(SEARCH("ok",A48)))</formula>
    </cfRule>
  </conditionalFormatting>
  <conditionalFormatting sqref="A74">
    <cfRule type="containsText" dxfId="2067" priority="94" operator="containsText" text="OK">
      <formula>NOT(ISERROR(SEARCH("OK",A74)))</formula>
    </cfRule>
  </conditionalFormatting>
  <conditionalFormatting sqref="A74">
    <cfRule type="containsText" dxfId="2066" priority="93" operator="containsText" text="ok">
      <formula>NOT(ISERROR(SEARCH("ok",A74)))</formula>
    </cfRule>
  </conditionalFormatting>
  <conditionalFormatting sqref="A44">
    <cfRule type="containsText" dxfId="2065" priority="92" operator="containsText" text="OK">
      <formula>NOT(ISERROR(SEARCH("OK",A44)))</formula>
    </cfRule>
  </conditionalFormatting>
  <conditionalFormatting sqref="A44">
    <cfRule type="containsText" dxfId="2064" priority="91" operator="containsText" text="ok">
      <formula>NOT(ISERROR(SEARCH("ok",A44)))</formula>
    </cfRule>
  </conditionalFormatting>
  <conditionalFormatting sqref="A64">
    <cfRule type="containsText" dxfId="2063" priority="90" operator="containsText" text="OK">
      <formula>NOT(ISERROR(SEARCH("OK",A64)))</formula>
    </cfRule>
  </conditionalFormatting>
  <conditionalFormatting sqref="A64">
    <cfRule type="containsText" dxfId="2062" priority="89" operator="containsText" text="ok">
      <formula>NOT(ISERROR(SEARCH("ok",A64)))</formula>
    </cfRule>
  </conditionalFormatting>
  <conditionalFormatting sqref="A38">
    <cfRule type="containsText" dxfId="2061" priority="88" operator="containsText" text="OK">
      <formula>NOT(ISERROR(SEARCH("OK",A38)))</formula>
    </cfRule>
  </conditionalFormatting>
  <conditionalFormatting sqref="A38">
    <cfRule type="containsText" dxfId="2060" priority="87" operator="containsText" text="ok">
      <formula>NOT(ISERROR(SEARCH("ok",A38)))</formula>
    </cfRule>
  </conditionalFormatting>
  <conditionalFormatting sqref="A46">
    <cfRule type="containsText" dxfId="2059" priority="86" operator="containsText" text="OK">
      <formula>NOT(ISERROR(SEARCH("OK",A46)))</formula>
    </cfRule>
  </conditionalFormatting>
  <conditionalFormatting sqref="A46">
    <cfRule type="containsText" dxfId="2058" priority="85" operator="containsText" text="ok">
      <formula>NOT(ISERROR(SEARCH("ok",A46)))</formula>
    </cfRule>
  </conditionalFormatting>
  <conditionalFormatting sqref="A47">
    <cfRule type="containsText" dxfId="2057" priority="84" operator="containsText" text="OK">
      <formula>NOT(ISERROR(SEARCH("OK",A47)))</formula>
    </cfRule>
  </conditionalFormatting>
  <conditionalFormatting sqref="A47">
    <cfRule type="containsText" dxfId="2056" priority="83" operator="containsText" text="ok">
      <formula>NOT(ISERROR(SEARCH("ok",A47)))</formula>
    </cfRule>
  </conditionalFormatting>
  <conditionalFormatting sqref="A68">
    <cfRule type="containsText" dxfId="2055" priority="82" operator="containsText" text="OK">
      <formula>NOT(ISERROR(SEARCH("OK",A68)))</formula>
    </cfRule>
  </conditionalFormatting>
  <conditionalFormatting sqref="A68">
    <cfRule type="containsText" dxfId="2054" priority="81" operator="containsText" text="ok">
      <formula>NOT(ISERROR(SEARCH("ok",A68)))</formula>
    </cfRule>
  </conditionalFormatting>
  <conditionalFormatting sqref="B68">
    <cfRule type="containsText" dxfId="2053" priority="80" operator="containsText" text="OK">
      <formula>NOT(ISERROR(SEARCH("OK",B68)))</formula>
    </cfRule>
  </conditionalFormatting>
  <conditionalFormatting sqref="B68">
    <cfRule type="containsText" dxfId="2052" priority="79" operator="containsText" text="ok">
      <formula>NOT(ISERROR(SEARCH("ok",B68)))</formula>
    </cfRule>
  </conditionalFormatting>
  <conditionalFormatting sqref="A66">
    <cfRule type="containsText" dxfId="2051" priority="78" operator="containsText" text="OK">
      <formula>NOT(ISERROR(SEARCH("OK",A66)))</formula>
    </cfRule>
  </conditionalFormatting>
  <conditionalFormatting sqref="A66">
    <cfRule type="containsText" dxfId="2050" priority="77" operator="containsText" text="ok">
      <formula>NOT(ISERROR(SEARCH("ok",A66)))</formula>
    </cfRule>
  </conditionalFormatting>
  <conditionalFormatting sqref="B66">
    <cfRule type="containsText" dxfId="2049" priority="76" operator="containsText" text="OK">
      <formula>NOT(ISERROR(SEARCH("OK",B66)))</formula>
    </cfRule>
  </conditionalFormatting>
  <conditionalFormatting sqref="B66">
    <cfRule type="containsText" dxfId="2048" priority="75" operator="containsText" text="ok">
      <formula>NOT(ISERROR(SEARCH("ok",B66)))</formula>
    </cfRule>
  </conditionalFormatting>
  <conditionalFormatting sqref="B65">
    <cfRule type="containsText" dxfId="2047" priority="72" operator="containsText" text="OK">
      <formula>NOT(ISERROR(SEARCH("OK",B65)))</formula>
    </cfRule>
  </conditionalFormatting>
  <conditionalFormatting sqref="B65">
    <cfRule type="containsText" dxfId="2046" priority="71" operator="containsText" text="ok">
      <formula>NOT(ISERROR(SEARCH("ok",B65)))</formula>
    </cfRule>
  </conditionalFormatting>
  <conditionalFormatting sqref="A65">
    <cfRule type="containsText" dxfId="2045" priority="74" operator="containsText" text="OK">
      <formula>NOT(ISERROR(SEARCH("OK",A65)))</formula>
    </cfRule>
  </conditionalFormatting>
  <conditionalFormatting sqref="A65">
    <cfRule type="containsText" dxfId="2044" priority="73" operator="containsText" text="ok">
      <formula>NOT(ISERROR(SEARCH("ok",A65)))</formula>
    </cfRule>
  </conditionalFormatting>
  <conditionalFormatting sqref="A67">
    <cfRule type="containsText" dxfId="2043" priority="70" operator="containsText" text="OK">
      <formula>NOT(ISERROR(SEARCH("OK",A67)))</formula>
    </cfRule>
  </conditionalFormatting>
  <conditionalFormatting sqref="A67">
    <cfRule type="containsText" dxfId="2042" priority="69" operator="containsText" text="ok">
      <formula>NOT(ISERROR(SEARCH("ok",A67)))</formula>
    </cfRule>
  </conditionalFormatting>
  <conditionalFormatting sqref="B67">
    <cfRule type="containsText" dxfId="2041" priority="68" operator="containsText" text="OK">
      <formula>NOT(ISERROR(SEARCH("OK",B67)))</formula>
    </cfRule>
  </conditionalFormatting>
  <conditionalFormatting sqref="B67">
    <cfRule type="containsText" dxfId="2040" priority="67" operator="containsText" text="ok">
      <formula>NOT(ISERROR(SEARCH("ok",B67)))</formula>
    </cfRule>
  </conditionalFormatting>
  <conditionalFormatting sqref="B70">
    <cfRule type="containsText" dxfId="2039" priority="66" operator="containsText" text="OK">
      <formula>NOT(ISERROR(SEARCH("OK",B70)))</formula>
    </cfRule>
  </conditionalFormatting>
  <conditionalFormatting sqref="B70">
    <cfRule type="containsText" dxfId="2038" priority="65" operator="containsText" text="ok">
      <formula>NOT(ISERROR(SEARCH("ok",B70)))</formula>
    </cfRule>
  </conditionalFormatting>
  <conditionalFormatting sqref="A70">
    <cfRule type="containsText" dxfId="2037" priority="64" operator="containsText" text="OK">
      <formula>NOT(ISERROR(SEARCH("OK",A70)))</formula>
    </cfRule>
  </conditionalFormatting>
  <conditionalFormatting sqref="A70">
    <cfRule type="containsText" dxfId="2036" priority="63" operator="containsText" text="ok">
      <formula>NOT(ISERROR(SEARCH("ok",A70)))</formula>
    </cfRule>
  </conditionalFormatting>
  <conditionalFormatting sqref="A71">
    <cfRule type="containsText" dxfId="2035" priority="62" operator="containsText" text="OK">
      <formula>NOT(ISERROR(SEARCH("OK",A71)))</formula>
    </cfRule>
  </conditionalFormatting>
  <conditionalFormatting sqref="A71">
    <cfRule type="containsText" dxfId="2034" priority="61" operator="containsText" text="ok">
      <formula>NOT(ISERROR(SEARCH("ok",A71)))</formula>
    </cfRule>
  </conditionalFormatting>
  <conditionalFormatting sqref="B71">
    <cfRule type="containsText" dxfId="2033" priority="60" operator="containsText" text="OK">
      <formula>NOT(ISERROR(SEARCH("OK",B71)))</formula>
    </cfRule>
  </conditionalFormatting>
  <conditionalFormatting sqref="B71">
    <cfRule type="containsText" dxfId="2032" priority="59" operator="containsText" text="ok">
      <formula>NOT(ISERROR(SEARCH("ok",B71)))</formula>
    </cfRule>
  </conditionalFormatting>
  <conditionalFormatting sqref="A71">
    <cfRule type="containsText" dxfId="2031" priority="58" operator="containsText" text="OK">
      <formula>NOT(ISERROR(SEARCH("OK",A71)))</formula>
    </cfRule>
  </conditionalFormatting>
  <conditionalFormatting sqref="A71">
    <cfRule type="containsText" dxfId="2030" priority="57" operator="containsText" text="ok">
      <formula>NOT(ISERROR(SEARCH("ok",A71)))</formula>
    </cfRule>
  </conditionalFormatting>
  <conditionalFormatting sqref="B71">
    <cfRule type="containsText" dxfId="2029" priority="56" operator="containsText" text="OK">
      <formula>NOT(ISERROR(SEARCH("OK",B71)))</formula>
    </cfRule>
  </conditionalFormatting>
  <conditionalFormatting sqref="B71">
    <cfRule type="containsText" dxfId="2028" priority="55" operator="containsText" text="ok">
      <formula>NOT(ISERROR(SEARCH("ok",B71)))</formula>
    </cfRule>
  </conditionalFormatting>
  <conditionalFormatting sqref="A72">
    <cfRule type="containsText" dxfId="2027" priority="54" operator="containsText" text="OK">
      <formula>NOT(ISERROR(SEARCH("OK",A72)))</formula>
    </cfRule>
  </conditionalFormatting>
  <conditionalFormatting sqref="A72">
    <cfRule type="containsText" dxfId="2026" priority="53" operator="containsText" text="ok">
      <formula>NOT(ISERROR(SEARCH("ok",A72)))</formula>
    </cfRule>
  </conditionalFormatting>
  <conditionalFormatting sqref="B72">
    <cfRule type="containsText" dxfId="2025" priority="52" operator="containsText" text="OK">
      <formula>NOT(ISERROR(SEARCH("OK",B72)))</formula>
    </cfRule>
  </conditionalFormatting>
  <conditionalFormatting sqref="B72">
    <cfRule type="containsText" dxfId="2024" priority="51" operator="containsText" text="ok">
      <formula>NOT(ISERROR(SEARCH("ok",B72)))</formula>
    </cfRule>
  </conditionalFormatting>
  <conditionalFormatting sqref="B73">
    <cfRule type="containsText" dxfId="2023" priority="48" operator="containsText" text="OK">
      <formula>NOT(ISERROR(SEARCH("OK",B73)))</formula>
    </cfRule>
  </conditionalFormatting>
  <conditionalFormatting sqref="B73">
    <cfRule type="containsText" dxfId="2022" priority="47" operator="containsText" text="ok">
      <formula>NOT(ISERROR(SEARCH("ok",B73)))</formula>
    </cfRule>
  </conditionalFormatting>
  <conditionalFormatting sqref="A73">
    <cfRule type="containsText" dxfId="2021" priority="50" operator="containsText" text="OK">
      <formula>NOT(ISERROR(SEARCH("OK",A73)))</formula>
    </cfRule>
  </conditionalFormatting>
  <conditionalFormatting sqref="A73">
    <cfRule type="containsText" dxfId="2020" priority="49" operator="containsText" text="ok">
      <formula>NOT(ISERROR(SEARCH("ok",A73)))</formula>
    </cfRule>
  </conditionalFormatting>
  <conditionalFormatting sqref="A73">
    <cfRule type="containsText" dxfId="2019" priority="46" operator="containsText" text="OK">
      <formula>NOT(ISERROR(SEARCH("OK",A73)))</formula>
    </cfRule>
  </conditionalFormatting>
  <conditionalFormatting sqref="A73">
    <cfRule type="containsText" dxfId="2018" priority="45" operator="containsText" text="ok">
      <formula>NOT(ISERROR(SEARCH("ok",A73)))</formula>
    </cfRule>
  </conditionalFormatting>
  <conditionalFormatting sqref="B73">
    <cfRule type="containsText" dxfId="2017" priority="44" operator="containsText" text="OK">
      <formula>NOT(ISERROR(SEARCH("OK",B73)))</formula>
    </cfRule>
  </conditionalFormatting>
  <conditionalFormatting sqref="B73">
    <cfRule type="containsText" dxfId="2016" priority="43" operator="containsText" text="ok">
      <formula>NOT(ISERROR(SEARCH("ok",B73)))</formula>
    </cfRule>
  </conditionalFormatting>
  <conditionalFormatting sqref="B72">
    <cfRule type="containsText" dxfId="2015" priority="40" operator="containsText" text="OK">
      <formula>NOT(ISERROR(SEARCH("OK",B72)))</formula>
    </cfRule>
  </conditionalFormatting>
  <conditionalFormatting sqref="B72">
    <cfRule type="containsText" dxfId="2014" priority="39" operator="containsText" text="ok">
      <formula>NOT(ISERROR(SEARCH("ok",B72)))</formula>
    </cfRule>
  </conditionalFormatting>
  <conditionalFormatting sqref="A72">
    <cfRule type="containsText" dxfId="2013" priority="42" operator="containsText" text="OK">
      <formula>NOT(ISERROR(SEARCH("OK",A72)))</formula>
    </cfRule>
  </conditionalFormatting>
  <conditionalFormatting sqref="A72">
    <cfRule type="containsText" dxfId="2012" priority="41" operator="containsText" text="ok">
      <formula>NOT(ISERROR(SEARCH("ok",A72)))</formula>
    </cfRule>
  </conditionalFormatting>
  <conditionalFormatting sqref="A5">
    <cfRule type="containsText" dxfId="2011" priority="34" operator="containsText" text="OK">
      <formula>NOT(ISERROR(SEARCH("OK",A5)))</formula>
    </cfRule>
  </conditionalFormatting>
  <conditionalFormatting sqref="A5">
    <cfRule type="containsText" dxfId="2010" priority="33" operator="containsText" text="ok">
      <formula>NOT(ISERROR(SEARCH("ok",A5)))</formula>
    </cfRule>
  </conditionalFormatting>
  <conditionalFormatting sqref="B5">
    <cfRule type="containsText" dxfId="2009" priority="32" operator="containsText" text="OK">
      <formula>NOT(ISERROR(SEARCH("OK",B5)))</formula>
    </cfRule>
  </conditionalFormatting>
  <conditionalFormatting sqref="B5">
    <cfRule type="containsText" dxfId="2008" priority="31" operator="containsText" text="ok">
      <formula>NOT(ISERROR(SEARCH("ok",B5)))</formula>
    </cfRule>
  </conditionalFormatting>
  <conditionalFormatting sqref="B6">
    <cfRule type="containsText" dxfId="2007" priority="28" operator="containsText" text="OK">
      <formula>NOT(ISERROR(SEARCH("OK",B6)))</formula>
    </cfRule>
  </conditionalFormatting>
  <conditionalFormatting sqref="B6">
    <cfRule type="containsText" dxfId="2006" priority="27" operator="containsText" text="ok">
      <formula>NOT(ISERROR(SEARCH("ok",B6)))</formula>
    </cfRule>
  </conditionalFormatting>
  <conditionalFormatting sqref="A6">
    <cfRule type="containsText" dxfId="2005" priority="30" operator="containsText" text="OK">
      <formula>NOT(ISERROR(SEARCH("OK",A6)))</formula>
    </cfRule>
  </conditionalFormatting>
  <conditionalFormatting sqref="A6">
    <cfRule type="containsText" dxfId="2004" priority="29" operator="containsText" text="ok">
      <formula>NOT(ISERROR(SEARCH("ok",A6)))</formula>
    </cfRule>
  </conditionalFormatting>
  <conditionalFormatting sqref="A6">
    <cfRule type="containsText" dxfId="2003" priority="26" operator="containsText" text="OK">
      <formula>NOT(ISERROR(SEARCH("OK",A6)))</formula>
    </cfRule>
  </conditionalFormatting>
  <conditionalFormatting sqref="A6">
    <cfRule type="containsText" dxfId="2002" priority="25" operator="containsText" text="ok">
      <formula>NOT(ISERROR(SEARCH("ok",A6)))</formula>
    </cfRule>
  </conditionalFormatting>
  <conditionalFormatting sqref="B6">
    <cfRule type="containsText" dxfId="2001" priority="24" operator="containsText" text="OK">
      <formula>NOT(ISERROR(SEARCH("OK",B6)))</formula>
    </cfRule>
  </conditionalFormatting>
  <conditionalFormatting sqref="B6">
    <cfRule type="containsText" dxfId="2000" priority="23" operator="containsText" text="ok">
      <formula>NOT(ISERROR(SEARCH("ok",B6)))</formula>
    </cfRule>
  </conditionalFormatting>
  <conditionalFormatting sqref="B5">
    <cfRule type="containsText" dxfId="1999" priority="20" operator="containsText" text="OK">
      <formula>NOT(ISERROR(SEARCH("OK",B5)))</formula>
    </cfRule>
  </conditionalFormatting>
  <conditionalFormatting sqref="B5">
    <cfRule type="containsText" dxfId="1998" priority="19" operator="containsText" text="ok">
      <formula>NOT(ISERROR(SEARCH("ok",B5)))</formula>
    </cfRule>
  </conditionalFormatting>
  <conditionalFormatting sqref="A5">
    <cfRule type="containsText" dxfId="1997" priority="22" operator="containsText" text="OK">
      <formula>NOT(ISERROR(SEARCH("OK",A5)))</formula>
    </cfRule>
  </conditionalFormatting>
  <conditionalFormatting sqref="A5">
    <cfRule type="containsText" dxfId="1996" priority="21" operator="containsText" text="ok">
      <formula>NOT(ISERROR(SEARCH("ok",A5)))</formula>
    </cfRule>
  </conditionalFormatting>
  <conditionalFormatting sqref="A31">
    <cfRule type="containsText" dxfId="1995" priority="18" operator="containsText" text="OK">
      <formula>NOT(ISERROR(SEARCH("OK",A31)))</formula>
    </cfRule>
  </conditionalFormatting>
  <conditionalFormatting sqref="A31">
    <cfRule type="containsText" dxfId="1994" priority="17" operator="containsText" text="ok">
      <formula>NOT(ISERROR(SEARCH("ok",A31)))</formula>
    </cfRule>
  </conditionalFormatting>
  <conditionalFormatting sqref="A32">
    <cfRule type="containsText" dxfId="1993" priority="16" operator="containsText" text="OK">
      <formula>NOT(ISERROR(SEARCH("OK",A32)))</formula>
    </cfRule>
  </conditionalFormatting>
  <conditionalFormatting sqref="A32">
    <cfRule type="containsText" dxfId="1992" priority="15" operator="containsText" text="ok">
      <formula>NOT(ISERROR(SEARCH("ok",A32)))</formula>
    </cfRule>
  </conditionalFormatting>
  <conditionalFormatting sqref="A33">
    <cfRule type="containsText" dxfId="1991" priority="14" operator="containsText" text="OK">
      <formula>NOT(ISERROR(SEARCH("OK",A33)))</formula>
    </cfRule>
  </conditionalFormatting>
  <conditionalFormatting sqref="A33">
    <cfRule type="containsText" dxfId="1990" priority="13" operator="containsText" text="ok">
      <formula>NOT(ISERROR(SEARCH("ok",A33)))</formula>
    </cfRule>
  </conditionalFormatting>
  <conditionalFormatting sqref="A34">
    <cfRule type="containsText" dxfId="1989" priority="12" operator="containsText" text="OK">
      <formula>NOT(ISERROR(SEARCH("OK",A34)))</formula>
    </cfRule>
  </conditionalFormatting>
  <conditionalFormatting sqref="A34">
    <cfRule type="containsText" dxfId="1988" priority="11" operator="containsText" text="ok">
      <formula>NOT(ISERROR(SEARCH("ok",A34)))</formula>
    </cfRule>
  </conditionalFormatting>
  <conditionalFormatting sqref="A35">
    <cfRule type="containsText" dxfId="1987" priority="10" operator="containsText" text="OK">
      <formula>NOT(ISERROR(SEARCH("OK",A35)))</formula>
    </cfRule>
  </conditionalFormatting>
  <conditionalFormatting sqref="A35">
    <cfRule type="containsText" dxfId="1986" priority="9" operator="containsText" text="ok">
      <formula>NOT(ISERROR(SEARCH("ok",A35)))</formula>
    </cfRule>
  </conditionalFormatting>
  <conditionalFormatting sqref="A36">
    <cfRule type="containsText" dxfId="1985" priority="8" operator="containsText" text="OK">
      <formula>NOT(ISERROR(SEARCH("OK",A36)))</formula>
    </cfRule>
  </conditionalFormatting>
  <conditionalFormatting sqref="A36">
    <cfRule type="containsText" dxfId="1984" priority="7" operator="containsText" text="ok">
      <formula>NOT(ISERROR(SEARCH("ok",A36)))</formula>
    </cfRule>
  </conditionalFormatting>
  <conditionalFormatting sqref="A37">
    <cfRule type="containsText" dxfId="1983" priority="6" operator="containsText" text="OK">
      <formula>NOT(ISERROR(SEARCH("OK",A37)))</formula>
    </cfRule>
  </conditionalFormatting>
  <conditionalFormatting sqref="A37">
    <cfRule type="containsText" dxfId="1982" priority="5" operator="containsText" text="ok">
      <formula>NOT(ISERROR(SEARCH("ok",A37)))</formula>
    </cfRule>
  </conditionalFormatting>
  <conditionalFormatting sqref="A4">
    <cfRule type="containsText" dxfId="1981" priority="4" operator="containsText" text="OK">
      <formula>NOT(ISERROR(SEARCH("OK",A4)))</formula>
    </cfRule>
  </conditionalFormatting>
  <conditionalFormatting sqref="A4">
    <cfRule type="containsText" dxfId="1980" priority="3" operator="containsText" text="ok">
      <formula>NOT(ISERROR(SEARCH("ok",A4)))</formula>
    </cfRule>
  </conditionalFormatting>
  <conditionalFormatting sqref="A4">
    <cfRule type="containsText" dxfId="1979" priority="2" operator="containsText" text="OK">
      <formula>NOT(ISERROR(SEARCH("OK",A4)))</formula>
    </cfRule>
  </conditionalFormatting>
  <conditionalFormatting sqref="A4">
    <cfRule type="containsText" dxfId="1978" priority="1" operator="containsText" text="ok">
      <formula>NOT(ISERROR(SEARCH("ok",A4)))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33" max="16383" man="1"/>
  </rowBreaks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48434"/>
  <sheetViews>
    <sheetView zoomScale="86" zoomScaleNormal="86" workbookViewId="0">
      <pane xSplit="3" ySplit="3" topLeftCell="D35" activePane="bottomRight" state="frozen"/>
      <selection activeCell="C83" sqref="C83"/>
      <selection pane="topRight" activeCell="C83" sqref="C83"/>
      <selection pane="bottomLeft" activeCell="C83" sqref="C83"/>
      <selection pane="bottomRight" activeCell="F56" sqref="F56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187" customWidth="1"/>
    <col min="4" max="4" width="14.54296875" style="187" bestFit="1" customWidth="1"/>
    <col min="5" max="5" width="13.1796875" style="187" bestFit="1" customWidth="1"/>
    <col min="6" max="6" width="11.54296875" style="5" bestFit="1" customWidth="1"/>
    <col min="7" max="7" width="14.453125" style="6" bestFit="1" customWidth="1"/>
    <col min="8" max="8" width="8.81640625" style="187" hidden="1" customWidth="1"/>
    <col min="9" max="9" width="13.26953125" style="187" hidden="1" customWidth="1"/>
    <col min="10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187" hidden="1" customWidth="1"/>
    <col min="21" max="21" width="10.26953125" style="7" hidden="1" customWidth="1"/>
    <col min="22" max="22" width="9.81640625" style="187" hidden="1" customWidth="1"/>
    <col min="23" max="23" width="18.81640625" style="187" hidden="1" customWidth="1"/>
    <col min="24" max="24" width="30.26953125" style="187" customWidth="1"/>
    <col min="25" max="25" width="14.7265625" style="187" bestFit="1" customWidth="1"/>
    <col min="26" max="26" width="5" style="187" bestFit="1" customWidth="1"/>
    <col min="27" max="27" width="14.26953125" style="187" customWidth="1"/>
    <col min="28" max="28" width="14" style="187" bestFit="1" customWidth="1"/>
    <col min="29" max="16384" width="9.1796875" style="187"/>
  </cols>
  <sheetData>
    <row r="1" spans="1:27" x14ac:dyDescent="0.35">
      <c r="A1" s="226" t="s">
        <v>2</v>
      </c>
      <c r="B1" s="192" t="s">
        <v>2</v>
      </c>
      <c r="C1" s="193"/>
      <c r="D1" s="320">
        <f>D102</f>
        <v>145</v>
      </c>
      <c r="E1" s="193"/>
      <c r="F1" s="193"/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19" t="s">
        <v>3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2" t="s">
        <v>16</v>
      </c>
      <c r="X2" s="718" t="s">
        <v>16</v>
      </c>
    </row>
    <row r="3" spans="1:27" ht="29.5" thickBot="1" x14ac:dyDescent="0.4">
      <c r="A3" s="717"/>
      <c r="B3" s="719"/>
      <c r="C3" s="719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2"/>
      <c r="X3" s="718"/>
      <c r="Y3" s="8"/>
    </row>
    <row r="4" spans="1:27" ht="15" customHeight="1" x14ac:dyDescent="0.35">
      <c r="A4" s="245">
        <v>44987</v>
      </c>
      <c r="B4" s="246"/>
      <c r="C4" s="211" t="s">
        <v>341</v>
      </c>
      <c r="D4" s="15">
        <v>1</v>
      </c>
      <c r="E4" s="15"/>
      <c r="F4" s="9">
        <v>870</v>
      </c>
      <c r="G4" s="29">
        <f t="shared" ref="G4:G19" si="0">(F4*D4)+(E4*F4)</f>
        <v>870</v>
      </c>
      <c r="H4" s="11"/>
      <c r="I4" s="10"/>
      <c r="J4" s="29">
        <f t="shared" ref="J4:J67" si="1">H4*I4</f>
        <v>0</v>
      </c>
      <c r="K4" s="29"/>
      <c r="L4" s="223">
        <f>(J4+G4)-K4</f>
        <v>870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>IF(O4&gt;0,SUM(O4-(L4+P4))," ")</f>
        <v xml:space="preserve"> </v>
      </c>
      <c r="S4" s="189"/>
      <c r="T4" s="253" t="s">
        <v>1</v>
      </c>
      <c r="U4" s="13">
        <v>0</v>
      </c>
      <c r="V4" s="253" t="s">
        <v>10</v>
      </c>
      <c r="W4" s="253"/>
      <c r="X4" s="14"/>
    </row>
    <row r="5" spans="1:27" ht="15" customHeight="1" x14ac:dyDescent="0.35">
      <c r="A5" s="245">
        <v>44987</v>
      </c>
      <c r="B5" s="246"/>
      <c r="C5" s="211" t="s">
        <v>321</v>
      </c>
      <c r="D5" s="15">
        <v>1</v>
      </c>
      <c r="E5" s="15"/>
      <c r="F5" s="9">
        <v>880</v>
      </c>
      <c r="G5" s="29">
        <f t="shared" si="0"/>
        <v>880</v>
      </c>
      <c r="H5" s="11"/>
      <c r="I5" s="10"/>
      <c r="J5" s="29">
        <f t="shared" si="1"/>
        <v>0</v>
      </c>
      <c r="K5" s="29"/>
      <c r="L5" s="223">
        <f t="shared" ref="L5:L68" si="2">(J5+G5)-K5</f>
        <v>880</v>
      </c>
      <c r="M5" s="12"/>
      <c r="N5" s="218" t="str">
        <f t="shared" ref="N5:N61" si="3">IF(M5&gt;0,SUM(L5-M5)," ")</f>
        <v xml:space="preserve"> </v>
      </c>
      <c r="O5" s="189"/>
      <c r="P5" s="189"/>
      <c r="Q5" s="189"/>
      <c r="R5" s="189" t="str">
        <f t="shared" ref="R5:R100" si="4">IF(O5&gt;0,SUM(O5-(L5+P5))," ")</f>
        <v xml:space="preserve"> </v>
      </c>
      <c r="S5" s="189"/>
      <c r="T5" s="253" t="s">
        <v>1</v>
      </c>
      <c r="U5" s="13">
        <v>0</v>
      </c>
      <c r="V5" s="253" t="s">
        <v>10</v>
      </c>
      <c r="W5" s="253"/>
      <c r="X5" s="14"/>
    </row>
    <row r="6" spans="1:27" ht="15" customHeight="1" x14ac:dyDescent="0.35">
      <c r="A6" s="245">
        <v>44987</v>
      </c>
      <c r="B6" s="246"/>
      <c r="C6" s="211" t="s">
        <v>296</v>
      </c>
      <c r="D6" s="15">
        <v>4</v>
      </c>
      <c r="E6" s="15"/>
      <c r="F6" s="9">
        <v>900</v>
      </c>
      <c r="G6" s="29">
        <f t="shared" si="0"/>
        <v>3600</v>
      </c>
      <c r="H6" s="11"/>
      <c r="I6" s="10"/>
      <c r="J6" s="29">
        <f t="shared" si="1"/>
        <v>0</v>
      </c>
      <c r="K6" s="29"/>
      <c r="L6" s="223">
        <f t="shared" si="2"/>
        <v>3600</v>
      </c>
      <c r="M6" s="213"/>
      <c r="N6" s="218" t="str">
        <f t="shared" si="3"/>
        <v xml:space="preserve"> </v>
      </c>
      <c r="O6" s="189"/>
      <c r="P6" s="189"/>
      <c r="Q6" s="189"/>
      <c r="R6" s="189" t="str">
        <f t="shared" si="4"/>
        <v xml:space="preserve"> </v>
      </c>
      <c r="S6" s="189"/>
      <c r="T6" s="253" t="s">
        <v>1</v>
      </c>
      <c r="U6" s="13">
        <v>0</v>
      </c>
      <c r="V6" s="253" t="s">
        <v>10</v>
      </c>
      <c r="W6" s="253"/>
      <c r="X6" s="17"/>
    </row>
    <row r="7" spans="1:27" ht="15" customHeight="1" x14ac:dyDescent="0.35">
      <c r="A7" s="245">
        <v>44987</v>
      </c>
      <c r="B7" s="246"/>
      <c r="C7" s="211" t="s">
        <v>328</v>
      </c>
      <c r="D7" s="15">
        <v>4</v>
      </c>
      <c r="E7" s="15"/>
      <c r="F7" s="9">
        <v>860</v>
      </c>
      <c r="G7" s="29">
        <f t="shared" si="0"/>
        <v>3440</v>
      </c>
      <c r="H7" s="11"/>
      <c r="I7" s="10"/>
      <c r="J7" s="29">
        <f t="shared" si="1"/>
        <v>0</v>
      </c>
      <c r="K7" s="29"/>
      <c r="L7" s="223">
        <f t="shared" si="2"/>
        <v>3440</v>
      </c>
      <c r="M7" s="12"/>
      <c r="N7" s="218" t="str">
        <f t="shared" si="3"/>
        <v xml:space="preserve"> </v>
      </c>
      <c r="O7" s="189"/>
      <c r="P7" s="189"/>
      <c r="Q7" s="189"/>
      <c r="R7" s="189" t="str">
        <f t="shared" si="4"/>
        <v xml:space="preserve"> </v>
      </c>
      <c r="S7" s="189"/>
      <c r="T7" s="253" t="s">
        <v>1</v>
      </c>
      <c r="U7" s="13">
        <v>0</v>
      </c>
      <c r="V7" s="253" t="s">
        <v>10</v>
      </c>
      <c r="W7" s="253"/>
      <c r="X7" s="16"/>
    </row>
    <row r="8" spans="1:27" ht="15" customHeight="1" x14ac:dyDescent="0.35">
      <c r="A8" s="245">
        <v>44987</v>
      </c>
      <c r="B8" s="246"/>
      <c r="C8" s="212" t="s">
        <v>152</v>
      </c>
      <c r="D8" s="15">
        <v>4</v>
      </c>
      <c r="E8" s="15"/>
      <c r="F8" s="9">
        <v>860</v>
      </c>
      <c r="G8" s="29">
        <f t="shared" si="0"/>
        <v>3440</v>
      </c>
      <c r="H8" s="11"/>
      <c r="I8" s="10"/>
      <c r="J8" s="29">
        <f t="shared" si="1"/>
        <v>0</v>
      </c>
      <c r="K8" s="29"/>
      <c r="L8" s="223">
        <f t="shared" si="2"/>
        <v>3440</v>
      </c>
      <c r="M8" s="12"/>
      <c r="N8" s="218" t="str">
        <f t="shared" si="3"/>
        <v xml:space="preserve"> </v>
      </c>
      <c r="O8" s="189">
        <v>1400</v>
      </c>
      <c r="P8" s="189"/>
      <c r="Q8" s="189"/>
      <c r="R8" s="189">
        <f t="shared" si="4"/>
        <v>-2040</v>
      </c>
      <c r="S8" s="189"/>
      <c r="T8" s="253" t="s">
        <v>83</v>
      </c>
      <c r="U8" s="13">
        <v>0</v>
      </c>
      <c r="V8" s="253" t="s">
        <v>10</v>
      </c>
      <c r="W8" s="253" t="s">
        <v>84</v>
      </c>
      <c r="X8" s="16"/>
      <c r="Y8" s="187" t="s">
        <v>0</v>
      </c>
      <c r="Z8" s="187" t="s">
        <v>8</v>
      </c>
      <c r="AA8" s="249">
        <f>G101</f>
        <v>126290</v>
      </c>
    </row>
    <row r="9" spans="1:27" ht="15" customHeight="1" x14ac:dyDescent="0.35">
      <c r="A9" s="245">
        <v>44987</v>
      </c>
      <c r="B9" s="246"/>
      <c r="C9" s="211" t="s">
        <v>323</v>
      </c>
      <c r="D9" s="15">
        <v>1</v>
      </c>
      <c r="E9" s="15"/>
      <c r="F9" s="9">
        <v>880</v>
      </c>
      <c r="G9" s="29">
        <f t="shared" si="0"/>
        <v>880</v>
      </c>
      <c r="H9" s="11"/>
      <c r="I9" s="10"/>
      <c r="J9" s="29">
        <f t="shared" si="1"/>
        <v>0</v>
      </c>
      <c r="K9" s="29"/>
      <c r="L9" s="223">
        <f t="shared" si="2"/>
        <v>880</v>
      </c>
      <c r="M9" s="12"/>
      <c r="N9" s="218" t="str">
        <f t="shared" si="3"/>
        <v xml:space="preserve"> </v>
      </c>
      <c r="O9" s="189"/>
      <c r="P9" s="189"/>
      <c r="Q9" s="189"/>
      <c r="R9" s="189" t="str">
        <f t="shared" si="4"/>
        <v xml:space="preserve"> </v>
      </c>
      <c r="S9" s="189"/>
      <c r="T9" s="18" t="s">
        <v>1</v>
      </c>
      <c r="U9" s="13">
        <v>0</v>
      </c>
      <c r="V9" s="253" t="s">
        <v>10</v>
      </c>
      <c r="W9" s="253"/>
      <c r="X9" s="16"/>
      <c r="Y9" s="187">
        <v>720</v>
      </c>
      <c r="AA9" s="191">
        <f>Y9*Z9</f>
        <v>0</v>
      </c>
    </row>
    <row r="10" spans="1:27" ht="15" customHeight="1" x14ac:dyDescent="0.35">
      <c r="A10" s="245">
        <v>44988</v>
      </c>
      <c r="B10" s="246"/>
      <c r="C10" s="211" t="s">
        <v>153</v>
      </c>
      <c r="D10" s="15">
        <v>1</v>
      </c>
      <c r="E10" s="15"/>
      <c r="F10" s="9">
        <v>880</v>
      </c>
      <c r="G10" s="29">
        <f t="shared" si="0"/>
        <v>880</v>
      </c>
      <c r="H10" s="11"/>
      <c r="I10" s="10"/>
      <c r="J10" s="29">
        <f t="shared" si="1"/>
        <v>0</v>
      </c>
      <c r="K10" s="29"/>
      <c r="L10" s="223">
        <f t="shared" si="2"/>
        <v>880</v>
      </c>
      <c r="M10" s="12"/>
      <c r="N10" s="218" t="str">
        <f t="shared" si="3"/>
        <v xml:space="preserve"> </v>
      </c>
      <c r="O10" s="189"/>
      <c r="P10" s="189"/>
      <c r="Q10" s="189"/>
      <c r="R10" s="189" t="str">
        <f t="shared" si="4"/>
        <v xml:space="preserve"> </v>
      </c>
      <c r="S10" s="189"/>
      <c r="T10" s="18" t="s">
        <v>1</v>
      </c>
      <c r="U10" s="13">
        <v>0</v>
      </c>
      <c r="V10" s="253" t="s">
        <v>10</v>
      </c>
      <c r="W10" s="253"/>
      <c r="X10" s="16"/>
      <c r="Y10" s="187">
        <v>750</v>
      </c>
      <c r="AA10" s="191">
        <f>Y10*Z10</f>
        <v>0</v>
      </c>
    </row>
    <row r="11" spans="1:27" ht="15" customHeight="1" x14ac:dyDescent="0.35">
      <c r="A11" s="245">
        <v>44989</v>
      </c>
      <c r="B11" s="246"/>
      <c r="C11" s="211" t="s">
        <v>342</v>
      </c>
      <c r="D11" s="15">
        <v>1</v>
      </c>
      <c r="E11" s="15"/>
      <c r="F11" s="9">
        <v>860</v>
      </c>
      <c r="G11" s="29">
        <f t="shared" si="0"/>
        <v>860</v>
      </c>
      <c r="H11" s="11"/>
      <c r="I11" s="10"/>
      <c r="J11" s="29">
        <f t="shared" si="1"/>
        <v>0</v>
      </c>
      <c r="K11" s="29"/>
      <c r="L11" s="223">
        <f t="shared" si="2"/>
        <v>860</v>
      </c>
      <c r="M11" s="213"/>
      <c r="N11" s="218" t="str">
        <f t="shared" si="3"/>
        <v xml:space="preserve"> </v>
      </c>
      <c r="O11" s="189"/>
      <c r="P11" s="189"/>
      <c r="Q11" s="189"/>
      <c r="R11" s="189" t="str">
        <f t="shared" si="4"/>
        <v xml:space="preserve"> </v>
      </c>
      <c r="S11" s="189"/>
      <c r="T11" s="18" t="s">
        <v>1</v>
      </c>
      <c r="U11" s="13">
        <v>0</v>
      </c>
      <c r="V11" s="253" t="s">
        <v>10</v>
      </c>
      <c r="W11" s="253"/>
      <c r="X11" s="16"/>
      <c r="Y11" s="187">
        <v>780</v>
      </c>
      <c r="AA11" s="191">
        <f>Y11*Z11</f>
        <v>0</v>
      </c>
    </row>
    <row r="12" spans="1:27" ht="15" customHeight="1" x14ac:dyDescent="0.35">
      <c r="A12" s="245">
        <v>44989</v>
      </c>
      <c r="B12" s="246"/>
      <c r="C12" s="212" t="s">
        <v>339</v>
      </c>
      <c r="D12" s="15">
        <v>3</v>
      </c>
      <c r="E12" s="15"/>
      <c r="F12" s="9">
        <v>860</v>
      </c>
      <c r="G12" s="29">
        <f t="shared" si="0"/>
        <v>2580</v>
      </c>
      <c r="H12" s="11"/>
      <c r="I12" s="10"/>
      <c r="J12" s="29">
        <f t="shared" si="1"/>
        <v>0</v>
      </c>
      <c r="K12" s="29"/>
      <c r="L12" s="223">
        <f t="shared" si="2"/>
        <v>2580</v>
      </c>
      <c r="M12" s="12"/>
      <c r="N12" s="218" t="str">
        <f t="shared" si="3"/>
        <v xml:space="preserve"> </v>
      </c>
      <c r="O12" s="189"/>
      <c r="P12" s="189"/>
      <c r="Q12" s="189"/>
      <c r="R12" s="189" t="str">
        <f t="shared" si="4"/>
        <v xml:space="preserve"> </v>
      </c>
      <c r="S12" s="189"/>
      <c r="T12" s="253" t="s">
        <v>1</v>
      </c>
      <c r="U12" s="13">
        <v>0</v>
      </c>
      <c r="V12" s="253" t="s">
        <v>10</v>
      </c>
      <c r="W12" s="253"/>
      <c r="X12" s="17"/>
      <c r="Y12" s="187">
        <v>800</v>
      </c>
      <c r="AA12" s="191">
        <f>Y12*Z12</f>
        <v>0</v>
      </c>
    </row>
    <row r="13" spans="1:27" ht="15" customHeight="1" x14ac:dyDescent="0.35">
      <c r="A13" s="245"/>
      <c r="B13" s="246"/>
      <c r="C13" s="211"/>
      <c r="D13" s="15"/>
      <c r="E13" s="15"/>
      <c r="F13" s="9">
        <v>900</v>
      </c>
      <c r="G13" s="29">
        <f t="shared" si="0"/>
        <v>0</v>
      </c>
      <c r="H13" s="11"/>
      <c r="I13" s="10"/>
      <c r="J13" s="29">
        <f t="shared" si="1"/>
        <v>0</v>
      </c>
      <c r="K13" s="29"/>
      <c r="L13" s="223">
        <f t="shared" si="2"/>
        <v>0</v>
      </c>
      <c r="M13" s="213"/>
      <c r="N13" s="218" t="str">
        <f t="shared" si="3"/>
        <v xml:space="preserve"> </v>
      </c>
      <c r="O13" s="189">
        <v>440</v>
      </c>
      <c r="P13" s="189"/>
      <c r="Q13" s="189"/>
      <c r="R13" s="189">
        <f t="shared" si="4"/>
        <v>440</v>
      </c>
      <c r="S13" s="189">
        <f>P13-Q13</f>
        <v>0</v>
      </c>
      <c r="T13" s="253" t="s">
        <v>1</v>
      </c>
      <c r="U13" s="13">
        <v>30</v>
      </c>
      <c r="V13" s="253" t="s">
        <v>10</v>
      </c>
      <c r="W13" s="253" t="s">
        <v>92</v>
      </c>
      <c r="X13" s="16"/>
      <c r="AA13" s="251">
        <f>AA8-(SUM(AA9:AA12))</f>
        <v>126290</v>
      </c>
    </row>
    <row r="14" spans="1:27" ht="15" customHeight="1" x14ac:dyDescent="0.35">
      <c r="A14" s="245">
        <v>44992</v>
      </c>
      <c r="B14" s="246"/>
      <c r="C14" s="211" t="s">
        <v>279</v>
      </c>
      <c r="D14" s="15"/>
      <c r="E14" s="15">
        <v>6</v>
      </c>
      <c r="F14" s="9">
        <v>860</v>
      </c>
      <c r="G14" s="29">
        <f t="shared" si="0"/>
        <v>5160</v>
      </c>
      <c r="H14" s="11"/>
      <c r="I14" s="10"/>
      <c r="J14" s="29">
        <f t="shared" si="1"/>
        <v>0</v>
      </c>
      <c r="K14" s="29"/>
      <c r="L14" s="223">
        <f t="shared" si="2"/>
        <v>5160</v>
      </c>
      <c r="M14" s="12"/>
      <c r="N14" s="218" t="str">
        <f t="shared" si="3"/>
        <v xml:space="preserve"> </v>
      </c>
      <c r="O14" s="190"/>
      <c r="P14" s="190"/>
      <c r="Q14" s="190"/>
      <c r="R14" s="189" t="str">
        <f t="shared" si="4"/>
        <v xml:space="preserve"> </v>
      </c>
      <c r="S14" s="190"/>
      <c r="T14" s="253"/>
      <c r="U14" s="19"/>
      <c r="V14" s="253"/>
      <c r="W14" s="253"/>
      <c r="X14" s="16"/>
    </row>
    <row r="15" spans="1:27" ht="15" customHeight="1" x14ac:dyDescent="0.35">
      <c r="A15" s="245">
        <v>44992</v>
      </c>
      <c r="B15" s="246"/>
      <c r="C15" s="211" t="s">
        <v>324</v>
      </c>
      <c r="D15" s="15"/>
      <c r="E15" s="15">
        <v>1</v>
      </c>
      <c r="F15" s="9">
        <v>880</v>
      </c>
      <c r="G15" s="29">
        <f t="shared" si="0"/>
        <v>880</v>
      </c>
      <c r="H15" s="11"/>
      <c r="I15" s="10"/>
      <c r="J15" s="29">
        <f t="shared" si="1"/>
        <v>0</v>
      </c>
      <c r="K15" s="29"/>
      <c r="L15" s="223">
        <f t="shared" si="2"/>
        <v>880</v>
      </c>
      <c r="M15" s="12"/>
      <c r="N15" s="218" t="str">
        <f t="shared" si="3"/>
        <v xml:space="preserve"> </v>
      </c>
      <c r="O15" s="190"/>
      <c r="P15" s="190"/>
      <c r="Q15" s="190"/>
      <c r="R15" s="189" t="str">
        <f t="shared" si="4"/>
        <v xml:space="preserve"> </v>
      </c>
      <c r="S15" s="190"/>
      <c r="T15" s="253"/>
      <c r="U15" s="19"/>
      <c r="V15" s="253"/>
      <c r="W15" s="253"/>
      <c r="X15" s="16"/>
    </row>
    <row r="16" spans="1:27" ht="15" customHeight="1" x14ac:dyDescent="0.35">
      <c r="A16" s="245">
        <v>44992</v>
      </c>
      <c r="B16" s="246"/>
      <c r="C16" s="211" t="s">
        <v>322</v>
      </c>
      <c r="D16" s="15">
        <v>2</v>
      </c>
      <c r="E16" s="15"/>
      <c r="F16" s="9">
        <v>900</v>
      </c>
      <c r="G16" s="29">
        <f t="shared" si="0"/>
        <v>1800</v>
      </c>
      <c r="H16" s="11"/>
      <c r="I16" s="10"/>
      <c r="J16" s="29">
        <f t="shared" si="1"/>
        <v>0</v>
      </c>
      <c r="K16" s="29"/>
      <c r="L16" s="223">
        <f t="shared" si="2"/>
        <v>1800</v>
      </c>
      <c r="M16" s="12"/>
      <c r="N16" s="218" t="str">
        <f t="shared" si="3"/>
        <v xml:space="preserve"> </v>
      </c>
      <c r="O16" s="189"/>
      <c r="P16" s="189"/>
      <c r="Q16" s="189"/>
      <c r="R16" s="189" t="str">
        <f t="shared" si="4"/>
        <v xml:space="preserve"> </v>
      </c>
      <c r="S16" s="189"/>
      <c r="T16" s="253"/>
      <c r="U16" s="13"/>
      <c r="V16" s="253"/>
      <c r="W16" s="253"/>
      <c r="X16" s="16"/>
    </row>
    <row r="17" spans="1:24" ht="15" customHeight="1" x14ac:dyDescent="0.35">
      <c r="A17" s="245">
        <v>44993</v>
      </c>
      <c r="B17" s="246"/>
      <c r="C17" s="211" t="s">
        <v>339</v>
      </c>
      <c r="D17" s="15"/>
      <c r="E17" s="15">
        <v>4</v>
      </c>
      <c r="F17" s="9">
        <v>860</v>
      </c>
      <c r="G17" s="29">
        <f t="shared" si="0"/>
        <v>3440</v>
      </c>
      <c r="H17" s="11"/>
      <c r="I17" s="10"/>
      <c r="J17" s="29">
        <f t="shared" si="1"/>
        <v>0</v>
      </c>
      <c r="K17" s="29"/>
      <c r="L17" s="223">
        <f t="shared" si="2"/>
        <v>3440</v>
      </c>
      <c r="M17" s="223"/>
      <c r="N17" s="218" t="str">
        <f t="shared" si="3"/>
        <v xml:space="preserve"> </v>
      </c>
      <c r="O17" s="189"/>
      <c r="P17" s="189"/>
      <c r="Q17" s="189"/>
      <c r="R17" s="189" t="str">
        <f t="shared" si="4"/>
        <v xml:space="preserve"> </v>
      </c>
      <c r="S17" s="189"/>
      <c r="T17" s="253"/>
      <c r="U17" s="13"/>
      <c r="V17" s="253"/>
      <c r="W17" s="253"/>
      <c r="X17" s="16"/>
    </row>
    <row r="18" spans="1:24" ht="15" customHeight="1" x14ac:dyDescent="0.35">
      <c r="A18" s="245">
        <v>44993</v>
      </c>
      <c r="B18" s="246"/>
      <c r="C18" s="211" t="s">
        <v>328</v>
      </c>
      <c r="D18" s="15"/>
      <c r="E18" s="15">
        <v>4</v>
      </c>
      <c r="F18" s="9">
        <v>860</v>
      </c>
      <c r="G18" s="29">
        <f t="shared" si="0"/>
        <v>3440</v>
      </c>
      <c r="H18" s="11"/>
      <c r="I18" s="10"/>
      <c r="J18" s="29">
        <f t="shared" si="1"/>
        <v>0</v>
      </c>
      <c r="K18" s="29"/>
      <c r="L18" s="223">
        <f t="shared" si="2"/>
        <v>3440</v>
      </c>
      <c r="M18" s="213"/>
      <c r="N18" s="218" t="str">
        <f t="shared" si="3"/>
        <v xml:space="preserve"> </v>
      </c>
      <c r="O18" s="189"/>
      <c r="P18" s="189"/>
      <c r="Q18" s="189"/>
      <c r="R18" s="189" t="str">
        <f t="shared" si="4"/>
        <v xml:space="preserve"> </v>
      </c>
      <c r="S18" s="189"/>
      <c r="T18" s="253"/>
      <c r="U18" s="13"/>
      <c r="V18" s="253"/>
      <c r="W18" s="253"/>
      <c r="X18" s="16"/>
    </row>
    <row r="19" spans="1:24" ht="15" customHeight="1" x14ac:dyDescent="0.35">
      <c r="A19" s="245">
        <v>44994</v>
      </c>
      <c r="B19" s="246"/>
      <c r="C19" s="211" t="s">
        <v>281</v>
      </c>
      <c r="D19" s="15"/>
      <c r="E19" s="15">
        <v>4</v>
      </c>
      <c r="F19" s="9">
        <v>860</v>
      </c>
      <c r="G19" s="29">
        <f t="shared" si="0"/>
        <v>3440</v>
      </c>
      <c r="H19" s="11"/>
      <c r="I19" s="10"/>
      <c r="J19" s="29">
        <f t="shared" si="1"/>
        <v>0</v>
      </c>
      <c r="K19" s="29"/>
      <c r="L19" s="223">
        <f t="shared" si="2"/>
        <v>3440</v>
      </c>
      <c r="M19" s="223"/>
      <c r="N19" s="218" t="str">
        <f t="shared" si="3"/>
        <v xml:space="preserve"> </v>
      </c>
      <c r="O19" s="189"/>
      <c r="P19" s="189"/>
      <c r="Q19" s="189"/>
      <c r="R19" s="189" t="str">
        <f t="shared" si="4"/>
        <v xml:space="preserve"> </v>
      </c>
      <c r="S19" s="189"/>
      <c r="T19" s="253"/>
      <c r="U19" s="13"/>
      <c r="V19" s="253"/>
      <c r="W19" s="253"/>
      <c r="X19" s="16"/>
    </row>
    <row r="20" spans="1:24" ht="15" customHeight="1" x14ac:dyDescent="0.35">
      <c r="A20" s="245">
        <v>44995</v>
      </c>
      <c r="B20" s="245"/>
      <c r="C20" s="212" t="s">
        <v>345</v>
      </c>
      <c r="D20" s="15">
        <v>1</v>
      </c>
      <c r="E20" s="15"/>
      <c r="F20" s="9">
        <v>860</v>
      </c>
      <c r="G20" s="29">
        <f t="shared" ref="G20:G67" si="5">(F20*D20)+(E20*F20)</f>
        <v>860</v>
      </c>
      <c r="H20" s="11"/>
      <c r="I20" s="10"/>
      <c r="J20" s="29">
        <f t="shared" si="1"/>
        <v>0</v>
      </c>
      <c r="K20" s="29"/>
      <c r="L20" s="223">
        <f t="shared" si="2"/>
        <v>860</v>
      </c>
      <c r="M20" s="12"/>
      <c r="N20" s="218" t="str">
        <f t="shared" si="3"/>
        <v xml:space="preserve"> </v>
      </c>
      <c r="O20" s="189"/>
      <c r="P20" s="189"/>
      <c r="Q20" s="189"/>
      <c r="R20" s="189" t="str">
        <f t="shared" si="4"/>
        <v xml:space="preserve"> </v>
      </c>
      <c r="S20" s="189"/>
      <c r="T20" s="253"/>
      <c r="U20" s="13"/>
      <c r="V20" s="253"/>
      <c r="W20" s="253"/>
      <c r="X20" s="16"/>
    </row>
    <row r="21" spans="1:24" ht="15" customHeight="1" x14ac:dyDescent="0.35">
      <c r="A21" s="245">
        <v>44995</v>
      </c>
      <c r="B21" s="245"/>
      <c r="C21" s="212" t="s">
        <v>296</v>
      </c>
      <c r="D21" s="15">
        <v>4</v>
      </c>
      <c r="E21" s="15"/>
      <c r="F21" s="9">
        <v>900</v>
      </c>
      <c r="G21" s="29">
        <f t="shared" si="5"/>
        <v>3600</v>
      </c>
      <c r="H21" s="11"/>
      <c r="I21" s="10"/>
      <c r="J21" s="29">
        <f t="shared" si="1"/>
        <v>0</v>
      </c>
      <c r="K21" s="29"/>
      <c r="L21" s="223">
        <f t="shared" si="2"/>
        <v>3600</v>
      </c>
      <c r="M21" s="12"/>
      <c r="N21" s="218" t="str">
        <f t="shared" si="3"/>
        <v xml:space="preserve"> </v>
      </c>
      <c r="O21" s="189"/>
      <c r="P21" s="189"/>
      <c r="Q21" s="189"/>
      <c r="R21" s="189" t="str">
        <f t="shared" si="4"/>
        <v xml:space="preserve"> </v>
      </c>
      <c r="S21" s="189"/>
      <c r="T21" s="253"/>
      <c r="U21" s="13"/>
      <c r="V21" s="253"/>
      <c r="W21" s="253"/>
      <c r="X21" s="16"/>
    </row>
    <row r="22" spans="1:24" ht="15" customHeight="1" x14ac:dyDescent="0.35">
      <c r="A22" s="245">
        <v>44995</v>
      </c>
      <c r="B22" s="245"/>
      <c r="C22" s="212" t="s">
        <v>152</v>
      </c>
      <c r="D22" s="15">
        <v>8</v>
      </c>
      <c r="E22" s="15"/>
      <c r="F22" s="9">
        <v>860</v>
      </c>
      <c r="G22" s="29">
        <f t="shared" si="5"/>
        <v>6880</v>
      </c>
      <c r="H22" s="11"/>
      <c r="I22" s="10"/>
      <c r="J22" s="29">
        <f t="shared" si="1"/>
        <v>0</v>
      </c>
      <c r="K22" s="29"/>
      <c r="L22" s="223">
        <f t="shared" si="2"/>
        <v>6880</v>
      </c>
      <c r="M22" s="12"/>
      <c r="N22" s="218" t="str">
        <f t="shared" si="3"/>
        <v xml:space="preserve"> </v>
      </c>
      <c r="O22" s="189"/>
      <c r="P22" s="189"/>
      <c r="Q22" s="189"/>
      <c r="R22" s="189" t="str">
        <f t="shared" si="4"/>
        <v xml:space="preserve"> </v>
      </c>
      <c r="S22" s="189"/>
      <c r="T22" s="253"/>
      <c r="U22" s="13"/>
      <c r="V22" s="253"/>
      <c r="W22" s="253"/>
      <c r="X22" s="16"/>
    </row>
    <row r="23" spans="1:24" ht="15" customHeight="1" x14ac:dyDescent="0.35">
      <c r="A23" s="250">
        <v>44996</v>
      </c>
      <c r="B23" s="250"/>
      <c r="C23" s="212" t="s">
        <v>321</v>
      </c>
      <c r="D23" s="15">
        <v>2</v>
      </c>
      <c r="E23" s="15"/>
      <c r="F23" s="9">
        <v>880</v>
      </c>
      <c r="G23" s="29">
        <f t="shared" si="5"/>
        <v>1760</v>
      </c>
      <c r="H23" s="11"/>
      <c r="I23" s="10"/>
      <c r="J23" s="29">
        <f t="shared" si="1"/>
        <v>0</v>
      </c>
      <c r="K23" s="29"/>
      <c r="L23" s="223">
        <f t="shared" si="2"/>
        <v>1760</v>
      </c>
      <c r="M23" s="12"/>
      <c r="N23" s="218" t="str">
        <f t="shared" si="3"/>
        <v xml:space="preserve"> </v>
      </c>
      <c r="O23" s="189"/>
      <c r="P23" s="189"/>
      <c r="Q23" s="189"/>
      <c r="R23" s="189" t="str">
        <f t="shared" si="4"/>
        <v xml:space="preserve"> </v>
      </c>
      <c r="S23" s="189"/>
      <c r="T23" s="253"/>
      <c r="U23" s="13"/>
      <c r="V23" s="253"/>
      <c r="W23" s="253"/>
      <c r="X23" s="16"/>
    </row>
    <row r="24" spans="1:24" ht="15" customHeight="1" x14ac:dyDescent="0.35">
      <c r="A24" s="245">
        <v>44996</v>
      </c>
      <c r="B24" s="245"/>
      <c r="C24" s="211" t="s">
        <v>339</v>
      </c>
      <c r="D24" s="15">
        <v>4</v>
      </c>
      <c r="E24" s="15"/>
      <c r="F24" s="9">
        <v>860</v>
      </c>
      <c r="G24" s="29">
        <f t="shared" si="5"/>
        <v>3440</v>
      </c>
      <c r="H24" s="11"/>
      <c r="I24" s="10"/>
      <c r="J24" s="29">
        <f t="shared" si="1"/>
        <v>0</v>
      </c>
      <c r="K24" s="29"/>
      <c r="L24" s="223">
        <f t="shared" si="2"/>
        <v>3440</v>
      </c>
      <c r="M24" s="12"/>
      <c r="N24" s="218" t="str">
        <f t="shared" si="3"/>
        <v xml:space="preserve"> </v>
      </c>
      <c r="O24" s="189"/>
      <c r="P24" s="189"/>
      <c r="Q24" s="189"/>
      <c r="R24" s="189" t="str">
        <f t="shared" si="4"/>
        <v xml:space="preserve"> </v>
      </c>
      <c r="S24" s="189"/>
      <c r="T24" s="253"/>
      <c r="U24" s="13"/>
      <c r="V24" s="253"/>
      <c r="W24" s="253"/>
      <c r="X24" s="16"/>
    </row>
    <row r="25" spans="1:24" ht="15" customHeight="1" x14ac:dyDescent="0.35">
      <c r="A25" s="245">
        <v>44998</v>
      </c>
      <c r="B25" s="245"/>
      <c r="C25" s="211" t="s">
        <v>279</v>
      </c>
      <c r="D25" s="15"/>
      <c r="E25" s="15">
        <v>6</v>
      </c>
      <c r="F25" s="9">
        <v>860</v>
      </c>
      <c r="G25" s="29">
        <f t="shared" si="5"/>
        <v>5160</v>
      </c>
      <c r="H25" s="11"/>
      <c r="I25" s="10"/>
      <c r="J25" s="29">
        <f t="shared" si="1"/>
        <v>0</v>
      </c>
      <c r="K25" s="29"/>
      <c r="L25" s="223">
        <f t="shared" si="2"/>
        <v>5160</v>
      </c>
      <c r="M25" s="12"/>
      <c r="N25" s="218" t="str">
        <f t="shared" si="3"/>
        <v xml:space="preserve"> </v>
      </c>
      <c r="O25" s="189"/>
      <c r="P25" s="189"/>
      <c r="Q25" s="189"/>
      <c r="R25" s="189" t="str">
        <f t="shared" si="4"/>
        <v xml:space="preserve"> </v>
      </c>
      <c r="S25" s="189"/>
      <c r="T25" s="253"/>
      <c r="U25" s="13"/>
      <c r="V25" s="253"/>
      <c r="W25" s="253"/>
      <c r="X25" s="16"/>
    </row>
    <row r="26" spans="1:24" ht="15" customHeight="1" x14ac:dyDescent="0.35">
      <c r="A26" s="246">
        <v>44998</v>
      </c>
      <c r="B26" s="245"/>
      <c r="C26" s="211" t="s">
        <v>280</v>
      </c>
      <c r="D26" s="15"/>
      <c r="E26" s="15">
        <v>2</v>
      </c>
      <c r="F26" s="9">
        <v>880</v>
      </c>
      <c r="G26" s="29">
        <f t="shared" si="5"/>
        <v>1760</v>
      </c>
      <c r="H26" s="11"/>
      <c r="I26" s="10"/>
      <c r="J26" s="29">
        <f t="shared" si="1"/>
        <v>0</v>
      </c>
      <c r="K26" s="29"/>
      <c r="L26" s="223">
        <f t="shared" si="2"/>
        <v>1760</v>
      </c>
      <c r="M26" s="12"/>
      <c r="N26" s="218" t="str">
        <f t="shared" si="3"/>
        <v xml:space="preserve"> </v>
      </c>
      <c r="O26" s="189"/>
      <c r="P26" s="189"/>
      <c r="Q26" s="189"/>
      <c r="R26" s="189" t="str">
        <f t="shared" si="4"/>
        <v xml:space="preserve"> </v>
      </c>
      <c r="S26" s="189"/>
      <c r="T26" s="253"/>
      <c r="U26" s="13"/>
      <c r="V26" s="253"/>
      <c r="W26" s="253"/>
      <c r="X26" s="16"/>
    </row>
    <row r="27" spans="1:24" ht="15" customHeight="1" x14ac:dyDescent="0.35">
      <c r="A27" s="246">
        <v>44999</v>
      </c>
      <c r="B27" s="245"/>
      <c r="C27" s="211" t="s">
        <v>322</v>
      </c>
      <c r="D27" s="15">
        <v>1</v>
      </c>
      <c r="E27" s="15"/>
      <c r="F27" s="9">
        <v>900</v>
      </c>
      <c r="G27" s="29">
        <f t="shared" si="5"/>
        <v>900</v>
      </c>
      <c r="H27" s="11"/>
      <c r="I27" s="10"/>
      <c r="J27" s="29">
        <f t="shared" si="1"/>
        <v>0</v>
      </c>
      <c r="K27" s="29"/>
      <c r="L27" s="223">
        <f t="shared" si="2"/>
        <v>900</v>
      </c>
      <c r="M27" s="12"/>
      <c r="N27" s="218" t="str">
        <f t="shared" si="3"/>
        <v xml:space="preserve"> </v>
      </c>
      <c r="O27" s="189"/>
      <c r="P27" s="189"/>
      <c r="Q27" s="189"/>
      <c r="R27" s="189" t="str">
        <f t="shared" si="4"/>
        <v xml:space="preserve"> </v>
      </c>
      <c r="S27" s="189"/>
      <c r="T27" s="253"/>
      <c r="U27" s="13"/>
      <c r="V27" s="253"/>
      <c r="W27" s="253"/>
      <c r="X27" s="16"/>
    </row>
    <row r="28" spans="1:24" ht="15" customHeight="1" x14ac:dyDescent="0.35">
      <c r="A28" s="245">
        <v>44999</v>
      </c>
      <c r="B28" s="245"/>
      <c r="C28" s="212" t="s">
        <v>318</v>
      </c>
      <c r="D28" s="15">
        <v>1</v>
      </c>
      <c r="E28" s="15"/>
      <c r="F28" s="9">
        <v>900</v>
      </c>
      <c r="G28" s="29">
        <f t="shared" si="5"/>
        <v>900</v>
      </c>
      <c r="H28" s="11"/>
      <c r="I28" s="10"/>
      <c r="J28" s="29">
        <f t="shared" si="1"/>
        <v>0</v>
      </c>
      <c r="K28" s="29"/>
      <c r="L28" s="223">
        <f t="shared" si="2"/>
        <v>900</v>
      </c>
      <c r="M28" s="12"/>
      <c r="N28" s="218" t="str">
        <f t="shared" si="3"/>
        <v xml:space="preserve"> </v>
      </c>
      <c r="O28" s="189"/>
      <c r="P28" s="189"/>
      <c r="Q28" s="189"/>
      <c r="R28" s="189" t="str">
        <f t="shared" si="4"/>
        <v xml:space="preserve"> </v>
      </c>
      <c r="S28" s="189"/>
      <c r="T28" s="253"/>
      <c r="U28" s="13"/>
      <c r="V28" s="253"/>
      <c r="W28" s="253"/>
      <c r="X28" s="16"/>
    </row>
    <row r="29" spans="1:24" ht="15" customHeight="1" x14ac:dyDescent="0.35">
      <c r="A29" s="245">
        <v>45000</v>
      </c>
      <c r="B29" s="245"/>
      <c r="C29" s="211" t="s">
        <v>339</v>
      </c>
      <c r="D29" s="15">
        <v>4</v>
      </c>
      <c r="E29" s="15"/>
      <c r="F29" s="9">
        <v>860</v>
      </c>
      <c r="G29" s="29">
        <f t="shared" si="5"/>
        <v>3440</v>
      </c>
      <c r="H29" s="11"/>
      <c r="I29" s="10"/>
      <c r="J29" s="29">
        <f t="shared" si="1"/>
        <v>0</v>
      </c>
      <c r="K29" s="29"/>
      <c r="L29" s="223">
        <f t="shared" si="2"/>
        <v>3440</v>
      </c>
      <c r="M29" s="12"/>
      <c r="N29" s="239" t="str">
        <f t="shared" si="3"/>
        <v xml:space="preserve"> </v>
      </c>
      <c r="O29" s="189"/>
      <c r="P29" s="189"/>
      <c r="Q29" s="189"/>
      <c r="R29" s="189" t="str">
        <f t="shared" si="4"/>
        <v xml:space="preserve"> </v>
      </c>
      <c r="S29" s="189"/>
      <c r="T29" s="253"/>
      <c r="U29" s="13"/>
      <c r="V29" s="253"/>
      <c r="W29" s="253"/>
      <c r="X29" s="16"/>
    </row>
    <row r="30" spans="1:24" ht="15" customHeight="1" x14ac:dyDescent="0.35">
      <c r="A30" s="245">
        <v>45000</v>
      </c>
      <c r="B30" s="245"/>
      <c r="C30" s="211" t="s">
        <v>321</v>
      </c>
      <c r="D30" s="15">
        <v>1</v>
      </c>
      <c r="E30" s="15"/>
      <c r="F30" s="9">
        <v>880</v>
      </c>
      <c r="G30" s="29">
        <f t="shared" si="5"/>
        <v>880</v>
      </c>
      <c r="H30" s="11"/>
      <c r="I30" s="10"/>
      <c r="J30" s="29">
        <f t="shared" si="1"/>
        <v>0</v>
      </c>
      <c r="K30" s="29"/>
      <c r="L30" s="223">
        <f t="shared" si="2"/>
        <v>880</v>
      </c>
      <c r="M30" s="207"/>
      <c r="N30" s="218" t="str">
        <f t="shared" si="3"/>
        <v xml:space="preserve"> </v>
      </c>
      <c r="O30" s="189"/>
      <c r="P30" s="189"/>
      <c r="Q30" s="189"/>
      <c r="R30" s="189" t="str">
        <f t="shared" si="4"/>
        <v xml:space="preserve"> </v>
      </c>
      <c r="S30" s="189"/>
      <c r="T30" s="253"/>
      <c r="U30" s="13"/>
      <c r="V30" s="253"/>
      <c r="W30" s="253"/>
      <c r="X30" s="16"/>
    </row>
    <row r="31" spans="1:24" ht="15" customHeight="1" x14ac:dyDescent="0.35">
      <c r="A31" s="245">
        <v>45001</v>
      </c>
      <c r="B31" s="245"/>
      <c r="C31" s="212" t="s">
        <v>323</v>
      </c>
      <c r="D31" s="15">
        <v>1</v>
      </c>
      <c r="E31" s="15"/>
      <c r="F31" s="9">
        <v>880</v>
      </c>
      <c r="G31" s="29">
        <f t="shared" si="5"/>
        <v>880</v>
      </c>
      <c r="H31" s="11"/>
      <c r="I31" s="10"/>
      <c r="J31" s="29">
        <f t="shared" si="1"/>
        <v>0</v>
      </c>
      <c r="K31" s="29"/>
      <c r="L31" s="223">
        <f t="shared" si="2"/>
        <v>880</v>
      </c>
      <c r="M31" s="12"/>
      <c r="N31" s="218" t="str">
        <f t="shared" si="3"/>
        <v xml:space="preserve"> </v>
      </c>
      <c r="O31" s="189"/>
      <c r="P31" s="189"/>
      <c r="Q31" s="189"/>
      <c r="R31" s="189" t="str">
        <f t="shared" si="4"/>
        <v xml:space="preserve"> </v>
      </c>
      <c r="S31" s="189"/>
      <c r="T31" s="253"/>
      <c r="U31" s="13"/>
      <c r="V31" s="253"/>
      <c r="W31" s="253"/>
      <c r="X31" s="16"/>
    </row>
    <row r="32" spans="1:24" ht="15" customHeight="1" x14ac:dyDescent="0.35">
      <c r="A32" s="245">
        <v>45001</v>
      </c>
      <c r="B32" s="245"/>
      <c r="C32" s="211" t="s">
        <v>346</v>
      </c>
      <c r="D32" s="15">
        <v>2</v>
      </c>
      <c r="E32" s="15"/>
      <c r="F32" s="9">
        <v>880</v>
      </c>
      <c r="G32" s="29">
        <f t="shared" si="5"/>
        <v>1760</v>
      </c>
      <c r="H32" s="11"/>
      <c r="I32" s="10"/>
      <c r="J32" s="29">
        <f t="shared" si="1"/>
        <v>0</v>
      </c>
      <c r="K32" s="29"/>
      <c r="L32" s="223">
        <f t="shared" si="2"/>
        <v>1760</v>
      </c>
      <c r="M32" s="213"/>
      <c r="N32" s="218" t="str">
        <f t="shared" si="3"/>
        <v xml:space="preserve"> </v>
      </c>
      <c r="O32" s="189"/>
      <c r="P32" s="189"/>
      <c r="Q32" s="189"/>
      <c r="R32" s="189" t="str">
        <f t="shared" si="4"/>
        <v xml:space="preserve"> </v>
      </c>
      <c r="S32" s="189"/>
      <c r="T32" s="253"/>
      <c r="U32" s="13"/>
      <c r="V32" s="253"/>
      <c r="W32" s="253"/>
      <c r="X32" s="16"/>
    </row>
    <row r="33" spans="1:24" ht="15" customHeight="1" x14ac:dyDescent="0.35">
      <c r="A33" s="245">
        <v>45002</v>
      </c>
      <c r="B33" s="245"/>
      <c r="C33" s="212" t="s">
        <v>296</v>
      </c>
      <c r="D33" s="15"/>
      <c r="E33" s="15">
        <v>4</v>
      </c>
      <c r="F33" s="9">
        <v>900</v>
      </c>
      <c r="G33" s="29">
        <f t="shared" si="5"/>
        <v>3600</v>
      </c>
      <c r="H33" s="11"/>
      <c r="I33" s="10"/>
      <c r="J33" s="29">
        <f t="shared" si="1"/>
        <v>0</v>
      </c>
      <c r="K33" s="29"/>
      <c r="L33" s="223">
        <f t="shared" si="2"/>
        <v>3600</v>
      </c>
      <c r="M33" s="12"/>
      <c r="N33" s="218" t="str">
        <f t="shared" si="3"/>
        <v xml:space="preserve"> </v>
      </c>
      <c r="O33" s="189"/>
      <c r="P33" s="189"/>
      <c r="Q33" s="189"/>
      <c r="R33" s="189" t="str">
        <f t="shared" si="4"/>
        <v xml:space="preserve"> </v>
      </c>
      <c r="S33" s="189"/>
      <c r="T33" s="253"/>
      <c r="U33" s="13"/>
      <c r="V33" s="253"/>
      <c r="W33" s="253"/>
      <c r="X33" s="16"/>
    </row>
    <row r="34" spans="1:24" ht="15" customHeight="1" x14ac:dyDescent="0.35">
      <c r="A34" s="245">
        <v>45003</v>
      </c>
      <c r="B34" s="245"/>
      <c r="C34" s="211" t="s">
        <v>339</v>
      </c>
      <c r="D34" s="15">
        <v>4</v>
      </c>
      <c r="E34" s="15"/>
      <c r="F34" s="9">
        <v>860</v>
      </c>
      <c r="G34" s="29">
        <f t="shared" si="5"/>
        <v>3440</v>
      </c>
      <c r="H34" s="11"/>
      <c r="I34" s="10"/>
      <c r="J34" s="29">
        <f t="shared" si="1"/>
        <v>0</v>
      </c>
      <c r="K34" s="29"/>
      <c r="L34" s="223">
        <f t="shared" si="2"/>
        <v>3440</v>
      </c>
      <c r="M34" s="12"/>
      <c r="N34" s="218" t="str">
        <f t="shared" si="3"/>
        <v xml:space="preserve"> </v>
      </c>
      <c r="O34" s="189"/>
      <c r="P34" s="189"/>
      <c r="Q34" s="189"/>
      <c r="R34" s="189" t="str">
        <f t="shared" si="4"/>
        <v xml:space="preserve"> </v>
      </c>
      <c r="S34" s="189"/>
      <c r="T34" s="253"/>
      <c r="U34" s="13"/>
      <c r="V34" s="253"/>
      <c r="W34" s="253"/>
      <c r="X34" s="16"/>
    </row>
    <row r="35" spans="1:24" ht="15" customHeight="1" x14ac:dyDescent="0.35">
      <c r="A35" s="245">
        <v>45003</v>
      </c>
      <c r="B35" s="246"/>
      <c r="C35" s="211" t="s">
        <v>328</v>
      </c>
      <c r="D35" s="15">
        <v>3</v>
      </c>
      <c r="E35" s="15"/>
      <c r="F35" s="9">
        <v>860</v>
      </c>
      <c r="G35" s="29">
        <f t="shared" si="5"/>
        <v>2580</v>
      </c>
      <c r="H35" s="11"/>
      <c r="I35" s="10"/>
      <c r="J35" s="29">
        <f t="shared" si="1"/>
        <v>0</v>
      </c>
      <c r="K35" s="29"/>
      <c r="L35" s="223">
        <f t="shared" si="2"/>
        <v>2580</v>
      </c>
      <c r="M35" s="12"/>
      <c r="N35" s="218" t="str">
        <f t="shared" si="3"/>
        <v xml:space="preserve"> </v>
      </c>
      <c r="O35" s="189"/>
      <c r="P35" s="189"/>
      <c r="Q35" s="189"/>
      <c r="R35" s="189" t="str">
        <f t="shared" si="4"/>
        <v xml:space="preserve"> </v>
      </c>
      <c r="S35" s="189"/>
      <c r="T35" s="253"/>
      <c r="U35" s="13"/>
      <c r="V35" s="253"/>
      <c r="W35" s="253"/>
      <c r="X35" s="16"/>
    </row>
    <row r="36" spans="1:24" ht="15" customHeight="1" x14ac:dyDescent="0.35">
      <c r="A36" s="245">
        <v>45006</v>
      </c>
      <c r="B36" s="246"/>
      <c r="C36" s="212" t="s">
        <v>279</v>
      </c>
      <c r="D36" s="15"/>
      <c r="E36" s="15">
        <v>6</v>
      </c>
      <c r="F36" s="9">
        <v>860</v>
      </c>
      <c r="G36" s="29">
        <f t="shared" si="5"/>
        <v>5160</v>
      </c>
      <c r="H36" s="11"/>
      <c r="I36" s="10"/>
      <c r="J36" s="29">
        <f t="shared" si="1"/>
        <v>0</v>
      </c>
      <c r="K36" s="29"/>
      <c r="L36" s="223">
        <f t="shared" si="2"/>
        <v>5160</v>
      </c>
      <c r="M36" s="12"/>
      <c r="N36" s="218" t="str">
        <f t="shared" si="3"/>
        <v xml:space="preserve"> </v>
      </c>
      <c r="O36" s="189"/>
      <c r="P36" s="189"/>
      <c r="Q36" s="189"/>
      <c r="R36" s="189" t="str">
        <f t="shared" si="4"/>
        <v xml:space="preserve"> </v>
      </c>
      <c r="S36" s="189"/>
      <c r="T36" s="253"/>
      <c r="U36" s="13"/>
      <c r="V36" s="253"/>
      <c r="W36" s="253"/>
      <c r="X36" s="16"/>
    </row>
    <row r="37" spans="1:24" ht="15" customHeight="1" x14ac:dyDescent="0.35">
      <c r="A37" s="245">
        <v>45006</v>
      </c>
      <c r="B37" s="246"/>
      <c r="C37" s="212" t="s">
        <v>322</v>
      </c>
      <c r="D37" s="15">
        <v>2</v>
      </c>
      <c r="E37" s="15"/>
      <c r="F37" s="9">
        <v>900</v>
      </c>
      <c r="G37" s="29">
        <f t="shared" si="5"/>
        <v>1800</v>
      </c>
      <c r="H37" s="11"/>
      <c r="I37" s="10"/>
      <c r="J37" s="29">
        <f t="shared" si="1"/>
        <v>0</v>
      </c>
      <c r="K37" s="29"/>
      <c r="L37" s="223">
        <f t="shared" si="2"/>
        <v>1800</v>
      </c>
      <c r="M37" s="12"/>
      <c r="N37" s="218" t="str">
        <f t="shared" si="3"/>
        <v xml:space="preserve"> </v>
      </c>
      <c r="O37" s="189"/>
      <c r="P37" s="189"/>
      <c r="Q37" s="189"/>
      <c r="R37" s="189" t="str">
        <f t="shared" si="4"/>
        <v xml:space="preserve"> </v>
      </c>
      <c r="S37" s="189"/>
      <c r="T37" s="253"/>
      <c r="U37" s="13"/>
      <c r="V37" s="253"/>
      <c r="W37" s="253"/>
      <c r="X37" s="16"/>
    </row>
    <row r="38" spans="1:24" ht="15" customHeight="1" x14ac:dyDescent="0.35">
      <c r="A38" s="245">
        <v>45006</v>
      </c>
      <c r="B38" s="246"/>
      <c r="C38" s="212" t="s">
        <v>346</v>
      </c>
      <c r="D38" s="15"/>
      <c r="E38" s="15">
        <v>2</v>
      </c>
      <c r="F38" s="9">
        <v>880</v>
      </c>
      <c r="G38" s="29">
        <f t="shared" si="5"/>
        <v>1760</v>
      </c>
      <c r="H38" s="11"/>
      <c r="I38" s="10"/>
      <c r="J38" s="29">
        <f t="shared" si="1"/>
        <v>0</v>
      </c>
      <c r="K38" s="29"/>
      <c r="L38" s="223">
        <f t="shared" si="2"/>
        <v>1760</v>
      </c>
      <c r="M38" s="12"/>
      <c r="N38" s="218" t="str">
        <f t="shared" si="3"/>
        <v xml:space="preserve"> </v>
      </c>
      <c r="O38" s="189"/>
      <c r="P38" s="189"/>
      <c r="Q38" s="189"/>
      <c r="R38" s="189" t="str">
        <f t="shared" si="4"/>
        <v xml:space="preserve"> </v>
      </c>
      <c r="S38" s="189"/>
      <c r="T38" s="253"/>
      <c r="U38" s="13"/>
      <c r="V38" s="253"/>
      <c r="W38" s="253"/>
      <c r="X38" s="16"/>
    </row>
    <row r="39" spans="1:24" ht="15" customHeight="1" x14ac:dyDescent="0.35">
      <c r="A39" s="245"/>
      <c r="B39" s="246"/>
      <c r="C39" s="211"/>
      <c r="D39" s="15"/>
      <c r="E39" s="15"/>
      <c r="F39" s="9">
        <v>870</v>
      </c>
      <c r="G39" s="29">
        <f t="shared" si="5"/>
        <v>0</v>
      </c>
      <c r="H39" s="11"/>
      <c r="I39" s="10"/>
      <c r="J39" s="29">
        <f t="shared" si="1"/>
        <v>0</v>
      </c>
      <c r="K39" s="29"/>
      <c r="L39" s="223">
        <f t="shared" si="2"/>
        <v>0</v>
      </c>
      <c r="M39" s="12"/>
      <c r="N39" s="218" t="str">
        <f t="shared" si="3"/>
        <v xml:space="preserve"> </v>
      </c>
      <c r="O39" s="189"/>
      <c r="P39" s="189"/>
      <c r="Q39" s="189"/>
      <c r="R39" s="189" t="str">
        <f t="shared" si="4"/>
        <v xml:space="preserve"> </v>
      </c>
      <c r="S39" s="189"/>
      <c r="T39" s="253"/>
      <c r="U39" s="13"/>
      <c r="V39" s="253"/>
      <c r="W39" s="253"/>
      <c r="X39" s="16"/>
    </row>
    <row r="40" spans="1:24" ht="15" customHeight="1" x14ac:dyDescent="0.35">
      <c r="A40" s="245">
        <v>45007</v>
      </c>
      <c r="B40" s="246"/>
      <c r="C40" s="212" t="s">
        <v>321</v>
      </c>
      <c r="D40" s="15">
        <v>3</v>
      </c>
      <c r="E40" s="15"/>
      <c r="F40" s="9">
        <v>880</v>
      </c>
      <c r="G40" s="29">
        <f t="shared" si="5"/>
        <v>2640</v>
      </c>
      <c r="H40" s="11"/>
      <c r="I40" s="10"/>
      <c r="J40" s="29">
        <f t="shared" si="1"/>
        <v>0</v>
      </c>
      <c r="K40" s="29"/>
      <c r="L40" s="223">
        <f t="shared" si="2"/>
        <v>2640</v>
      </c>
      <c r="M40" s="12"/>
      <c r="N40" s="218" t="str">
        <f t="shared" si="3"/>
        <v xml:space="preserve"> </v>
      </c>
      <c r="O40" s="189"/>
      <c r="P40" s="189"/>
      <c r="Q40" s="189"/>
      <c r="R40" s="189" t="str">
        <f t="shared" si="4"/>
        <v xml:space="preserve"> </v>
      </c>
      <c r="S40" s="189"/>
      <c r="T40" s="253"/>
      <c r="U40" s="13"/>
      <c r="V40" s="253"/>
      <c r="W40" s="253"/>
      <c r="X40" s="16"/>
    </row>
    <row r="41" spans="1:24" ht="15" customHeight="1" x14ac:dyDescent="0.35">
      <c r="A41" s="245"/>
      <c r="B41" s="246"/>
      <c r="C41" s="211"/>
      <c r="D41" s="15"/>
      <c r="E41" s="15"/>
      <c r="F41" s="9"/>
      <c r="G41" s="29">
        <f t="shared" si="5"/>
        <v>0</v>
      </c>
      <c r="H41" s="11"/>
      <c r="I41" s="10"/>
      <c r="J41" s="29">
        <f t="shared" si="1"/>
        <v>0</v>
      </c>
      <c r="K41" s="29"/>
      <c r="L41" s="223">
        <f t="shared" si="2"/>
        <v>0</v>
      </c>
      <c r="M41" s="12"/>
      <c r="N41" s="218" t="str">
        <f t="shared" si="3"/>
        <v xml:space="preserve"> </v>
      </c>
      <c r="O41" s="189"/>
      <c r="P41" s="189"/>
      <c r="Q41" s="189"/>
      <c r="R41" s="189" t="str">
        <f t="shared" si="4"/>
        <v xml:space="preserve"> </v>
      </c>
      <c r="S41" s="189"/>
      <c r="T41" s="253"/>
      <c r="U41" s="13"/>
      <c r="V41" s="253"/>
      <c r="W41" s="253"/>
      <c r="X41" s="16"/>
    </row>
    <row r="42" spans="1:24" ht="15" customHeight="1" x14ac:dyDescent="0.35">
      <c r="A42" s="245">
        <v>45007</v>
      </c>
      <c r="B42" s="246"/>
      <c r="C42" s="212" t="s">
        <v>339</v>
      </c>
      <c r="D42" s="15">
        <v>4</v>
      </c>
      <c r="E42" s="15"/>
      <c r="F42" s="9">
        <v>860</v>
      </c>
      <c r="G42" s="29">
        <f t="shared" si="5"/>
        <v>3440</v>
      </c>
      <c r="H42" s="11"/>
      <c r="I42" s="10"/>
      <c r="J42" s="29">
        <f t="shared" si="1"/>
        <v>0</v>
      </c>
      <c r="K42" s="29"/>
      <c r="L42" s="223">
        <f t="shared" si="2"/>
        <v>3440</v>
      </c>
      <c r="M42" s="12"/>
      <c r="N42" s="218" t="str">
        <f t="shared" si="3"/>
        <v xml:space="preserve"> </v>
      </c>
      <c r="O42" s="189"/>
      <c r="P42" s="189"/>
      <c r="Q42" s="189"/>
      <c r="R42" s="189" t="str">
        <f t="shared" si="4"/>
        <v xml:space="preserve"> </v>
      </c>
      <c r="S42" s="189"/>
      <c r="T42" s="253"/>
      <c r="U42" s="13"/>
      <c r="V42" s="253"/>
      <c r="W42" s="253"/>
      <c r="X42" s="16"/>
    </row>
    <row r="43" spans="1:24" ht="15" customHeight="1" x14ac:dyDescent="0.35">
      <c r="A43" s="245">
        <v>45007</v>
      </c>
      <c r="B43" s="246"/>
      <c r="C43" s="212" t="s">
        <v>331</v>
      </c>
      <c r="D43" s="15"/>
      <c r="E43" s="15">
        <v>1</v>
      </c>
      <c r="F43" s="9">
        <v>900</v>
      </c>
      <c r="G43" s="29">
        <f t="shared" si="5"/>
        <v>900</v>
      </c>
      <c r="H43" s="11"/>
      <c r="I43" s="10"/>
      <c r="J43" s="29">
        <f t="shared" si="1"/>
        <v>0</v>
      </c>
      <c r="K43" s="29"/>
      <c r="L43" s="223">
        <f t="shared" si="2"/>
        <v>900</v>
      </c>
      <c r="M43" s="12"/>
      <c r="N43" s="218" t="str">
        <f t="shared" si="3"/>
        <v xml:space="preserve"> </v>
      </c>
      <c r="O43" s="189"/>
      <c r="P43" s="189"/>
      <c r="Q43" s="189"/>
      <c r="R43" s="189" t="str">
        <f t="shared" si="4"/>
        <v xml:space="preserve"> </v>
      </c>
      <c r="S43" s="189"/>
      <c r="T43" s="253"/>
      <c r="U43" s="13"/>
      <c r="V43" s="253"/>
      <c r="W43" s="253"/>
      <c r="X43" s="16"/>
    </row>
    <row r="44" spans="1:24" ht="15" customHeight="1" x14ac:dyDescent="0.35">
      <c r="A44" s="245">
        <v>45007</v>
      </c>
      <c r="B44" s="246"/>
      <c r="C44" s="211" t="s">
        <v>319</v>
      </c>
      <c r="D44" s="15"/>
      <c r="E44" s="15">
        <v>2</v>
      </c>
      <c r="F44" s="9">
        <v>880</v>
      </c>
      <c r="G44" s="29">
        <f t="shared" si="5"/>
        <v>1760</v>
      </c>
      <c r="H44" s="11"/>
      <c r="I44" s="10"/>
      <c r="J44" s="29">
        <f t="shared" si="1"/>
        <v>0</v>
      </c>
      <c r="K44" s="29"/>
      <c r="L44" s="223">
        <f t="shared" si="2"/>
        <v>1760</v>
      </c>
      <c r="M44" s="213"/>
      <c r="N44" s="218" t="str">
        <f t="shared" si="3"/>
        <v xml:space="preserve"> </v>
      </c>
      <c r="O44" s="189"/>
      <c r="P44" s="189"/>
      <c r="Q44" s="189"/>
      <c r="R44" s="189" t="str">
        <f t="shared" si="4"/>
        <v xml:space="preserve"> </v>
      </c>
      <c r="S44" s="189"/>
      <c r="T44" s="253"/>
      <c r="U44" s="13"/>
      <c r="V44" s="253"/>
      <c r="W44" s="253"/>
      <c r="X44" s="16"/>
    </row>
    <row r="45" spans="1:24" ht="15" customHeight="1" x14ac:dyDescent="0.35">
      <c r="A45" s="245">
        <v>45007</v>
      </c>
      <c r="B45" s="246"/>
      <c r="C45" s="211" t="s">
        <v>324</v>
      </c>
      <c r="D45" s="15"/>
      <c r="E45" s="15">
        <v>1</v>
      </c>
      <c r="F45" s="9">
        <v>880</v>
      </c>
      <c r="G45" s="29">
        <f t="shared" si="5"/>
        <v>880</v>
      </c>
      <c r="H45" s="11"/>
      <c r="I45" s="10"/>
      <c r="J45" s="29">
        <f t="shared" si="1"/>
        <v>0</v>
      </c>
      <c r="K45" s="29"/>
      <c r="L45" s="223">
        <f t="shared" si="2"/>
        <v>880</v>
      </c>
      <c r="M45" s="213"/>
      <c r="N45" s="218" t="str">
        <f t="shared" si="3"/>
        <v xml:space="preserve"> </v>
      </c>
      <c r="O45" s="189"/>
      <c r="P45" s="189"/>
      <c r="Q45" s="189"/>
      <c r="R45" s="189" t="str">
        <f t="shared" si="4"/>
        <v xml:space="preserve"> </v>
      </c>
      <c r="S45" s="189"/>
      <c r="T45" s="253"/>
      <c r="U45" s="13"/>
      <c r="V45" s="253"/>
      <c r="W45" s="253"/>
      <c r="X45" s="16"/>
    </row>
    <row r="46" spans="1:24" ht="15" customHeight="1" x14ac:dyDescent="0.35">
      <c r="A46" s="245">
        <v>45007</v>
      </c>
      <c r="B46" s="246"/>
      <c r="C46" s="211" t="s">
        <v>330</v>
      </c>
      <c r="D46" s="15"/>
      <c r="E46" s="15">
        <v>4</v>
      </c>
      <c r="F46" s="9">
        <v>880</v>
      </c>
      <c r="G46" s="29">
        <f t="shared" si="5"/>
        <v>3520</v>
      </c>
      <c r="H46" s="11"/>
      <c r="I46" s="10"/>
      <c r="J46" s="29">
        <f t="shared" si="1"/>
        <v>0</v>
      </c>
      <c r="K46" s="29"/>
      <c r="L46" s="223">
        <f t="shared" si="2"/>
        <v>3520</v>
      </c>
      <c r="M46" s="12"/>
      <c r="N46" s="218" t="str">
        <f>IF(M46&gt;0,SUM(L46-M46)," ")</f>
        <v xml:space="preserve"> </v>
      </c>
      <c r="O46" s="189"/>
      <c r="P46" s="189"/>
      <c r="Q46" s="189"/>
      <c r="R46" s="189" t="str">
        <f t="shared" si="4"/>
        <v xml:space="preserve"> </v>
      </c>
      <c r="S46" s="189"/>
      <c r="T46" s="253"/>
      <c r="U46" s="13"/>
      <c r="V46" s="253"/>
      <c r="W46" s="253"/>
      <c r="X46" s="16"/>
    </row>
    <row r="47" spans="1:24" ht="15" customHeight="1" x14ac:dyDescent="0.35">
      <c r="A47" s="245">
        <v>45008</v>
      </c>
      <c r="B47" s="246"/>
      <c r="C47" s="211" t="s">
        <v>323</v>
      </c>
      <c r="D47" s="15">
        <v>1</v>
      </c>
      <c r="E47" s="15"/>
      <c r="F47" s="9">
        <v>880</v>
      </c>
      <c r="G47" s="29">
        <f t="shared" si="5"/>
        <v>880</v>
      </c>
      <c r="H47" s="11"/>
      <c r="I47" s="10"/>
      <c r="J47" s="29">
        <f t="shared" si="1"/>
        <v>0</v>
      </c>
      <c r="K47" s="29"/>
      <c r="L47" s="223">
        <f t="shared" si="2"/>
        <v>880</v>
      </c>
      <c r="M47" s="12"/>
      <c r="N47" s="218" t="str">
        <f>IF(M47&gt;0,SUM(L47-M47)," ")</f>
        <v xml:space="preserve"> </v>
      </c>
      <c r="O47" s="189"/>
      <c r="P47" s="189"/>
      <c r="Q47" s="189"/>
      <c r="R47" s="189" t="str">
        <f t="shared" si="4"/>
        <v xml:space="preserve"> </v>
      </c>
      <c r="S47" s="189"/>
      <c r="T47" s="253"/>
      <c r="U47" s="13"/>
      <c r="V47" s="253"/>
      <c r="W47" s="253"/>
      <c r="X47" s="16"/>
    </row>
    <row r="48" spans="1:24" ht="15" customHeight="1" x14ac:dyDescent="0.35">
      <c r="A48" s="245">
        <v>45010</v>
      </c>
      <c r="B48" s="246"/>
      <c r="C48" s="211" t="s">
        <v>339</v>
      </c>
      <c r="D48" s="15">
        <v>3</v>
      </c>
      <c r="E48" s="15"/>
      <c r="F48" s="9">
        <v>860</v>
      </c>
      <c r="G48" s="29">
        <f t="shared" si="5"/>
        <v>2580</v>
      </c>
      <c r="H48" s="11"/>
      <c r="I48" s="10"/>
      <c r="J48" s="29">
        <f t="shared" si="1"/>
        <v>0</v>
      </c>
      <c r="K48" s="29"/>
      <c r="L48" s="223">
        <f t="shared" si="2"/>
        <v>2580</v>
      </c>
      <c r="M48" s="213"/>
      <c r="N48" s="218" t="str">
        <f t="shared" si="3"/>
        <v xml:space="preserve"> </v>
      </c>
      <c r="O48" s="189"/>
      <c r="P48" s="189"/>
      <c r="Q48" s="189"/>
      <c r="R48" s="189" t="str">
        <f t="shared" si="4"/>
        <v xml:space="preserve"> </v>
      </c>
      <c r="S48" s="189"/>
      <c r="T48" s="253"/>
      <c r="U48" s="13"/>
      <c r="V48" s="253"/>
      <c r="W48" s="253"/>
      <c r="X48" s="16"/>
    </row>
    <row r="49" spans="1:24" ht="15" customHeight="1" x14ac:dyDescent="0.35">
      <c r="A49" s="245">
        <v>45012</v>
      </c>
      <c r="B49" s="246"/>
      <c r="C49" s="212" t="s">
        <v>323</v>
      </c>
      <c r="D49" s="15">
        <v>1</v>
      </c>
      <c r="E49" s="15"/>
      <c r="F49" s="9">
        <v>880</v>
      </c>
      <c r="G49" s="29">
        <f t="shared" si="5"/>
        <v>880</v>
      </c>
      <c r="H49" s="11"/>
      <c r="I49" s="10"/>
      <c r="J49" s="29">
        <f t="shared" si="1"/>
        <v>0</v>
      </c>
      <c r="K49" s="29"/>
      <c r="L49" s="223">
        <f t="shared" si="2"/>
        <v>880</v>
      </c>
      <c r="M49" s="12"/>
      <c r="N49" s="218" t="str">
        <f t="shared" si="3"/>
        <v xml:space="preserve"> </v>
      </c>
      <c r="O49" s="189"/>
      <c r="P49" s="189"/>
      <c r="Q49" s="189"/>
      <c r="R49" s="189" t="str">
        <f t="shared" si="4"/>
        <v xml:space="preserve"> </v>
      </c>
      <c r="S49" s="189"/>
      <c r="T49" s="253"/>
      <c r="U49" s="13"/>
      <c r="V49" s="253"/>
      <c r="W49" s="253"/>
      <c r="X49" s="16"/>
    </row>
    <row r="50" spans="1:24" ht="15" customHeight="1" x14ac:dyDescent="0.35">
      <c r="A50" s="245">
        <v>45013</v>
      </c>
      <c r="B50" s="246"/>
      <c r="C50" s="211" t="s">
        <v>152</v>
      </c>
      <c r="D50" s="15">
        <v>8</v>
      </c>
      <c r="E50" s="15"/>
      <c r="F50" s="9">
        <v>860</v>
      </c>
      <c r="G50" s="29">
        <f t="shared" si="5"/>
        <v>6880</v>
      </c>
      <c r="H50" s="11"/>
      <c r="I50" s="10"/>
      <c r="J50" s="29">
        <f t="shared" si="1"/>
        <v>0</v>
      </c>
      <c r="K50" s="29"/>
      <c r="L50" s="223">
        <f t="shared" si="2"/>
        <v>6880</v>
      </c>
      <c r="M50" s="12"/>
      <c r="N50" s="218" t="str">
        <f t="shared" si="3"/>
        <v xml:space="preserve"> </v>
      </c>
      <c r="O50" s="189"/>
      <c r="P50" s="189"/>
      <c r="Q50" s="189"/>
      <c r="R50" s="189" t="str">
        <f t="shared" si="4"/>
        <v xml:space="preserve"> </v>
      </c>
      <c r="S50" s="189"/>
      <c r="T50" s="253"/>
      <c r="U50" s="13"/>
      <c r="V50" s="253"/>
      <c r="W50" s="253"/>
      <c r="X50" s="16"/>
    </row>
    <row r="51" spans="1:24" ht="15" customHeight="1" x14ac:dyDescent="0.35">
      <c r="A51" s="245">
        <v>45014</v>
      </c>
      <c r="B51" s="246"/>
      <c r="C51" s="211" t="s">
        <v>322</v>
      </c>
      <c r="D51" s="15">
        <v>1</v>
      </c>
      <c r="E51" s="15"/>
      <c r="F51" s="9">
        <v>900</v>
      </c>
      <c r="G51" s="29">
        <f t="shared" si="5"/>
        <v>900</v>
      </c>
      <c r="H51" s="11"/>
      <c r="I51" s="10"/>
      <c r="J51" s="29">
        <f t="shared" si="1"/>
        <v>0</v>
      </c>
      <c r="K51" s="29"/>
      <c r="L51" s="223">
        <f t="shared" si="2"/>
        <v>900</v>
      </c>
      <c r="M51" s="213"/>
      <c r="N51" s="218" t="str">
        <f t="shared" si="3"/>
        <v xml:space="preserve"> </v>
      </c>
      <c r="O51" s="189"/>
      <c r="P51" s="189"/>
      <c r="Q51" s="189"/>
      <c r="R51" s="189" t="str">
        <f t="shared" si="4"/>
        <v xml:space="preserve"> </v>
      </c>
      <c r="S51" s="189"/>
      <c r="T51" s="253"/>
      <c r="U51" s="13"/>
      <c r="V51" s="253"/>
      <c r="W51" s="253"/>
      <c r="X51" s="16"/>
    </row>
    <row r="52" spans="1:24" ht="15" customHeight="1" x14ac:dyDescent="0.35">
      <c r="A52" s="245">
        <v>45014</v>
      </c>
      <c r="B52" s="246"/>
      <c r="C52" s="211" t="s">
        <v>296</v>
      </c>
      <c r="D52" s="15"/>
      <c r="E52" s="15">
        <v>4</v>
      </c>
      <c r="F52" s="9">
        <v>900</v>
      </c>
      <c r="G52" s="29">
        <f t="shared" si="5"/>
        <v>3600</v>
      </c>
      <c r="H52" s="11"/>
      <c r="I52" s="10"/>
      <c r="J52" s="29">
        <f t="shared" si="1"/>
        <v>0</v>
      </c>
      <c r="K52" s="29"/>
      <c r="L52" s="223">
        <f t="shared" si="2"/>
        <v>3600</v>
      </c>
      <c r="M52" s="12"/>
      <c r="N52" s="218" t="str">
        <f t="shared" si="3"/>
        <v xml:space="preserve"> </v>
      </c>
      <c r="O52" s="189"/>
      <c r="P52" s="189"/>
      <c r="Q52" s="189"/>
      <c r="R52" s="189" t="str">
        <f t="shared" si="4"/>
        <v xml:space="preserve"> </v>
      </c>
      <c r="S52" s="189"/>
      <c r="T52" s="253"/>
      <c r="U52" s="13"/>
      <c r="V52" s="253"/>
      <c r="W52" s="253"/>
      <c r="X52" s="16"/>
    </row>
    <row r="53" spans="1:24" ht="15" customHeight="1" x14ac:dyDescent="0.35">
      <c r="A53" s="245">
        <v>45015</v>
      </c>
      <c r="B53" s="246"/>
      <c r="C53" s="212" t="s">
        <v>345</v>
      </c>
      <c r="D53" s="15"/>
      <c r="E53" s="15">
        <v>1</v>
      </c>
      <c r="F53" s="9">
        <v>860</v>
      </c>
      <c r="G53" s="29">
        <f t="shared" si="5"/>
        <v>860</v>
      </c>
      <c r="H53" s="11"/>
      <c r="I53" s="10"/>
      <c r="J53" s="29">
        <f t="shared" si="1"/>
        <v>0</v>
      </c>
      <c r="K53" s="29"/>
      <c r="L53" s="223">
        <f t="shared" si="2"/>
        <v>860</v>
      </c>
      <c r="M53" s="12"/>
      <c r="N53" s="218" t="str">
        <f t="shared" si="3"/>
        <v xml:space="preserve"> </v>
      </c>
      <c r="O53" s="189"/>
      <c r="P53" s="189"/>
      <c r="Q53" s="189"/>
      <c r="R53" s="189" t="str">
        <f t="shared" si="4"/>
        <v xml:space="preserve"> </v>
      </c>
      <c r="S53" s="189"/>
      <c r="T53" s="253"/>
      <c r="U53" s="13"/>
      <c r="V53" s="253"/>
      <c r="W53" s="253"/>
      <c r="X53" s="16"/>
    </row>
    <row r="54" spans="1:24" ht="15" customHeight="1" x14ac:dyDescent="0.35">
      <c r="A54" s="245">
        <v>45016</v>
      </c>
      <c r="B54" s="246"/>
      <c r="C54" s="211" t="s">
        <v>331</v>
      </c>
      <c r="D54" s="15"/>
      <c r="E54" s="15">
        <v>1</v>
      </c>
      <c r="F54" s="9">
        <v>900</v>
      </c>
      <c r="G54" s="29">
        <f t="shared" si="5"/>
        <v>900</v>
      </c>
      <c r="H54" s="11"/>
      <c r="I54" s="10"/>
      <c r="J54" s="29">
        <f t="shared" si="1"/>
        <v>0</v>
      </c>
      <c r="K54" s="29"/>
      <c r="L54" s="223">
        <f t="shared" si="2"/>
        <v>900</v>
      </c>
      <c r="M54" s="12"/>
      <c r="N54" s="218" t="str">
        <f t="shared" si="3"/>
        <v xml:space="preserve"> </v>
      </c>
      <c r="O54" s="189"/>
      <c r="P54" s="189"/>
      <c r="Q54" s="189"/>
      <c r="R54" s="189" t="str">
        <f t="shared" si="4"/>
        <v xml:space="preserve"> </v>
      </c>
      <c r="S54" s="189"/>
      <c r="T54" s="253"/>
      <c r="U54" s="13"/>
      <c r="V54" s="253"/>
      <c r="W54" s="253"/>
      <c r="X54" s="16"/>
    </row>
    <row r="55" spans="1:24" ht="15" customHeight="1" x14ac:dyDescent="0.35">
      <c r="A55" s="245">
        <v>45016</v>
      </c>
      <c r="B55" s="246"/>
      <c r="C55" s="211" t="s">
        <v>321</v>
      </c>
      <c r="D55" s="15">
        <v>1</v>
      </c>
      <c r="E55" s="15"/>
      <c r="F55" s="9">
        <v>880</v>
      </c>
      <c r="G55" s="29">
        <f t="shared" si="5"/>
        <v>880</v>
      </c>
      <c r="H55" s="11"/>
      <c r="I55" s="10"/>
      <c r="J55" s="29">
        <f t="shared" si="1"/>
        <v>0</v>
      </c>
      <c r="K55" s="29"/>
      <c r="L55" s="223">
        <f t="shared" si="2"/>
        <v>880</v>
      </c>
      <c r="M55" s="12"/>
      <c r="N55" s="218" t="str">
        <f t="shared" si="3"/>
        <v xml:space="preserve"> </v>
      </c>
      <c r="O55" s="189"/>
      <c r="P55" s="189"/>
      <c r="Q55" s="189"/>
      <c r="R55" s="189" t="str">
        <f t="shared" si="4"/>
        <v xml:space="preserve"> </v>
      </c>
      <c r="S55" s="189"/>
      <c r="T55" s="253"/>
      <c r="U55" s="13"/>
      <c r="V55" s="253"/>
      <c r="W55" s="253"/>
      <c r="X55" s="16"/>
    </row>
    <row r="56" spans="1:24" ht="15" customHeight="1" x14ac:dyDescent="0.35">
      <c r="A56" s="245">
        <v>45016</v>
      </c>
      <c r="B56" s="246"/>
      <c r="C56" s="211" t="s">
        <v>346</v>
      </c>
      <c r="D56" s="15">
        <v>3</v>
      </c>
      <c r="E56" s="15"/>
      <c r="F56" s="9">
        <v>880</v>
      </c>
      <c r="G56" s="29">
        <f t="shared" si="5"/>
        <v>2640</v>
      </c>
      <c r="H56" s="11"/>
      <c r="I56" s="10"/>
      <c r="J56" s="29">
        <f t="shared" si="1"/>
        <v>0</v>
      </c>
      <c r="K56" s="29"/>
      <c r="L56" s="223">
        <f t="shared" si="2"/>
        <v>2640</v>
      </c>
      <c r="M56" s="12"/>
      <c r="N56" s="218" t="str">
        <f t="shared" si="3"/>
        <v xml:space="preserve"> </v>
      </c>
      <c r="O56" s="189"/>
      <c r="P56" s="189"/>
      <c r="Q56" s="189"/>
      <c r="R56" s="189" t="str">
        <f t="shared" si="4"/>
        <v xml:space="preserve"> </v>
      </c>
      <c r="S56" s="189"/>
      <c r="T56" s="253"/>
      <c r="U56" s="13"/>
      <c r="V56" s="253"/>
      <c r="W56" s="253"/>
      <c r="X56" s="16"/>
    </row>
    <row r="57" spans="1:24" ht="15" customHeight="1" x14ac:dyDescent="0.35">
      <c r="A57" s="245">
        <v>45017</v>
      </c>
      <c r="B57" s="246"/>
      <c r="C57" s="211" t="s">
        <v>321</v>
      </c>
      <c r="D57" s="15">
        <v>1</v>
      </c>
      <c r="E57" s="15"/>
      <c r="F57" s="9">
        <v>880</v>
      </c>
      <c r="G57" s="29">
        <f t="shared" si="5"/>
        <v>880</v>
      </c>
      <c r="H57" s="11"/>
      <c r="I57" s="10"/>
      <c r="J57" s="29">
        <f t="shared" si="1"/>
        <v>0</v>
      </c>
      <c r="K57" s="29"/>
      <c r="L57" s="223">
        <f t="shared" si="2"/>
        <v>880</v>
      </c>
      <c r="M57" s="12"/>
      <c r="N57" s="218" t="str">
        <f t="shared" si="3"/>
        <v xml:space="preserve"> </v>
      </c>
      <c r="O57" s="189"/>
      <c r="P57" s="189"/>
      <c r="Q57" s="189"/>
      <c r="R57" s="189" t="str">
        <f t="shared" si="4"/>
        <v xml:space="preserve"> </v>
      </c>
      <c r="S57" s="189"/>
      <c r="T57" s="253"/>
      <c r="U57" s="13"/>
      <c r="V57" s="253"/>
      <c r="W57" s="253"/>
      <c r="X57" s="16"/>
    </row>
    <row r="58" spans="1:24" ht="15" customHeight="1" x14ac:dyDescent="0.35">
      <c r="A58" s="245">
        <v>45017</v>
      </c>
      <c r="B58" s="246"/>
      <c r="C58" s="211" t="s">
        <v>339</v>
      </c>
      <c r="D58" s="15">
        <v>4</v>
      </c>
      <c r="E58" s="15"/>
      <c r="F58" s="9">
        <v>860</v>
      </c>
      <c r="G58" s="29">
        <f t="shared" si="5"/>
        <v>3440</v>
      </c>
      <c r="H58" s="11"/>
      <c r="I58" s="10"/>
      <c r="J58" s="29">
        <f t="shared" si="1"/>
        <v>0</v>
      </c>
      <c r="K58" s="29"/>
      <c r="L58" s="223">
        <f t="shared" si="2"/>
        <v>3440</v>
      </c>
      <c r="M58" s="12"/>
      <c r="N58" s="239" t="str">
        <f t="shared" si="3"/>
        <v xml:space="preserve"> </v>
      </c>
      <c r="O58" s="189"/>
      <c r="P58" s="189"/>
      <c r="Q58" s="189"/>
      <c r="R58" s="189" t="str">
        <f t="shared" si="4"/>
        <v xml:space="preserve"> </v>
      </c>
      <c r="S58" s="189"/>
      <c r="T58" s="253"/>
      <c r="U58" s="13"/>
      <c r="V58" s="253"/>
      <c r="W58" s="253"/>
      <c r="X58" s="16"/>
    </row>
    <row r="59" spans="1:24" ht="15" customHeight="1" x14ac:dyDescent="0.35">
      <c r="A59" s="245">
        <v>45019</v>
      </c>
      <c r="B59" s="246"/>
      <c r="C59" s="211" t="s">
        <v>279</v>
      </c>
      <c r="D59" s="15">
        <v>2</v>
      </c>
      <c r="E59" s="15"/>
      <c r="F59" s="9">
        <v>840</v>
      </c>
      <c r="G59" s="29">
        <f t="shared" si="5"/>
        <v>1680</v>
      </c>
      <c r="H59" s="11"/>
      <c r="I59" s="10"/>
      <c r="J59" s="29">
        <f t="shared" si="1"/>
        <v>0</v>
      </c>
      <c r="K59" s="29"/>
      <c r="L59" s="223">
        <f t="shared" si="2"/>
        <v>1680</v>
      </c>
      <c r="M59" s="12"/>
      <c r="N59" s="218" t="str">
        <f t="shared" si="3"/>
        <v xml:space="preserve"> </v>
      </c>
      <c r="O59" s="189"/>
      <c r="P59" s="189"/>
      <c r="Q59" s="189"/>
      <c r="R59" s="189" t="str">
        <f t="shared" si="4"/>
        <v xml:space="preserve"> </v>
      </c>
      <c r="S59" s="189"/>
      <c r="T59" s="253"/>
      <c r="U59" s="13"/>
      <c r="V59" s="253"/>
      <c r="W59" s="253"/>
      <c r="X59" s="16"/>
    </row>
    <row r="60" spans="1:24" ht="15" customHeight="1" x14ac:dyDescent="0.35">
      <c r="A60" s="245"/>
      <c r="B60" s="246"/>
      <c r="C60" s="211"/>
      <c r="D60" s="15"/>
      <c r="E60" s="15"/>
      <c r="F60" s="9">
        <v>860</v>
      </c>
      <c r="G60" s="29">
        <f t="shared" si="5"/>
        <v>0</v>
      </c>
      <c r="H60" s="11"/>
      <c r="I60" s="10"/>
      <c r="J60" s="29">
        <f t="shared" si="1"/>
        <v>0</v>
      </c>
      <c r="K60" s="29"/>
      <c r="L60" s="223">
        <f t="shared" si="2"/>
        <v>0</v>
      </c>
      <c r="M60" s="12"/>
      <c r="N60" s="218" t="str">
        <f t="shared" si="3"/>
        <v xml:space="preserve"> </v>
      </c>
      <c r="O60" s="189"/>
      <c r="P60" s="189"/>
      <c r="Q60" s="189"/>
      <c r="R60" s="189" t="str">
        <f>IF(O60&gt;0,SUM(O60-(L60+P60))," ")</f>
        <v xml:space="preserve"> </v>
      </c>
      <c r="S60" s="189"/>
      <c r="T60" s="253"/>
      <c r="U60" s="13"/>
      <c r="V60" s="253"/>
      <c r="W60" s="253"/>
      <c r="X60" s="16"/>
    </row>
    <row r="61" spans="1:24" ht="15" customHeight="1" x14ac:dyDescent="0.35">
      <c r="A61" s="245"/>
      <c r="B61" s="246"/>
      <c r="C61" s="212"/>
      <c r="D61" s="15"/>
      <c r="E61" s="15"/>
      <c r="F61" s="9">
        <v>870</v>
      </c>
      <c r="G61" s="29">
        <f t="shared" si="5"/>
        <v>0</v>
      </c>
      <c r="H61" s="11"/>
      <c r="I61" s="10"/>
      <c r="J61" s="29">
        <f t="shared" si="1"/>
        <v>0</v>
      </c>
      <c r="K61" s="29"/>
      <c r="L61" s="223">
        <f t="shared" si="2"/>
        <v>0</v>
      </c>
      <c r="M61" s="12"/>
      <c r="N61" s="218" t="str">
        <f t="shared" si="3"/>
        <v xml:space="preserve"> </v>
      </c>
      <c r="O61" s="189"/>
      <c r="P61" s="189"/>
      <c r="Q61" s="189"/>
      <c r="R61" s="189" t="str">
        <f>IF(O61&gt;0,SUM(O61-(L61+P61))," ")</f>
        <v xml:space="preserve"> </v>
      </c>
      <c r="S61" s="189"/>
      <c r="T61" s="253"/>
      <c r="U61" s="13"/>
      <c r="V61" s="253"/>
      <c r="W61" s="253"/>
      <c r="X61" s="16"/>
    </row>
    <row r="62" spans="1:24" ht="15" customHeight="1" x14ac:dyDescent="0.35">
      <c r="A62" s="245"/>
      <c r="B62" s="246"/>
      <c r="C62" s="211"/>
      <c r="D62" s="15"/>
      <c r="E62" s="15"/>
      <c r="F62" s="9">
        <v>880</v>
      </c>
      <c r="G62" s="29">
        <f t="shared" si="5"/>
        <v>0</v>
      </c>
      <c r="H62" s="11"/>
      <c r="I62" s="10"/>
      <c r="J62" s="29">
        <f t="shared" si="1"/>
        <v>0</v>
      </c>
      <c r="K62" s="29"/>
      <c r="L62" s="223">
        <f t="shared" si="2"/>
        <v>0</v>
      </c>
      <c r="M62" s="213"/>
      <c r="N62" s="218" t="str">
        <f t="shared" ref="N62:N101" si="6">IF(M62&gt;0,SUM(L62-M62)," ")</f>
        <v xml:space="preserve"> </v>
      </c>
      <c r="O62" s="189"/>
      <c r="P62" s="189"/>
      <c r="Q62" s="189"/>
      <c r="R62" s="189" t="str">
        <f t="shared" ref="R62:R97" si="7">IF(O62&gt;0,SUM(O62-(L62+P62))," ")</f>
        <v xml:space="preserve"> </v>
      </c>
      <c r="S62" s="189"/>
      <c r="T62" s="253"/>
      <c r="U62" s="13"/>
      <c r="V62" s="253"/>
      <c r="W62" s="253"/>
      <c r="X62" s="16"/>
    </row>
    <row r="63" spans="1:24" ht="15" customHeight="1" x14ac:dyDescent="0.35">
      <c r="A63" s="245"/>
      <c r="B63" s="246"/>
      <c r="C63" s="211"/>
      <c r="D63" s="15"/>
      <c r="E63" s="15"/>
      <c r="F63" s="9">
        <v>800</v>
      </c>
      <c r="G63" s="29">
        <f t="shared" si="5"/>
        <v>0</v>
      </c>
      <c r="H63" s="11"/>
      <c r="I63" s="10"/>
      <c r="J63" s="29">
        <f t="shared" si="1"/>
        <v>0</v>
      </c>
      <c r="K63" s="29"/>
      <c r="L63" s="223">
        <f t="shared" si="2"/>
        <v>0</v>
      </c>
      <c r="M63" s="213"/>
      <c r="N63" s="239" t="str">
        <f t="shared" si="6"/>
        <v xml:space="preserve"> </v>
      </c>
      <c r="O63" s="189"/>
      <c r="P63" s="189"/>
      <c r="Q63" s="189"/>
      <c r="R63" s="189" t="str">
        <f t="shared" si="7"/>
        <v xml:space="preserve"> </v>
      </c>
      <c r="S63" s="189"/>
      <c r="T63" s="253"/>
      <c r="U63" s="13"/>
      <c r="V63" s="253"/>
      <c r="W63" s="253"/>
      <c r="X63" s="16"/>
    </row>
    <row r="64" spans="1:24" ht="15" customHeight="1" x14ac:dyDescent="0.35">
      <c r="A64" s="245"/>
      <c r="B64" s="246"/>
      <c r="C64" s="212"/>
      <c r="D64" s="15"/>
      <c r="E64" s="15"/>
      <c r="F64" s="9">
        <v>800</v>
      </c>
      <c r="G64" s="29">
        <f t="shared" si="5"/>
        <v>0</v>
      </c>
      <c r="H64" s="11"/>
      <c r="I64" s="10"/>
      <c r="J64" s="29">
        <f t="shared" si="1"/>
        <v>0</v>
      </c>
      <c r="K64" s="29"/>
      <c r="L64" s="223">
        <f t="shared" si="2"/>
        <v>0</v>
      </c>
      <c r="M64" s="12"/>
      <c r="N64" s="218" t="str">
        <f t="shared" si="6"/>
        <v xml:space="preserve"> </v>
      </c>
      <c r="O64" s="189"/>
      <c r="P64" s="189"/>
      <c r="Q64" s="189"/>
      <c r="R64" s="189" t="str">
        <f t="shared" si="7"/>
        <v xml:space="preserve"> </v>
      </c>
      <c r="S64" s="189"/>
      <c r="T64" s="253"/>
      <c r="U64" s="13"/>
      <c r="V64" s="253"/>
      <c r="W64" s="253"/>
      <c r="X64" s="16"/>
    </row>
    <row r="65" spans="1:24" ht="15" customHeight="1" x14ac:dyDescent="0.35">
      <c r="A65" s="245"/>
      <c r="B65" s="246"/>
      <c r="C65" s="212"/>
      <c r="D65" s="15"/>
      <c r="E65" s="15"/>
      <c r="F65" s="9">
        <v>800</v>
      </c>
      <c r="G65" s="29">
        <f t="shared" si="5"/>
        <v>0</v>
      </c>
      <c r="H65" s="11"/>
      <c r="I65" s="10"/>
      <c r="J65" s="29">
        <f t="shared" si="1"/>
        <v>0</v>
      </c>
      <c r="K65" s="29"/>
      <c r="L65" s="223">
        <f t="shared" si="2"/>
        <v>0</v>
      </c>
      <c r="M65" s="12"/>
      <c r="N65" s="218" t="str">
        <f t="shared" si="6"/>
        <v xml:space="preserve"> </v>
      </c>
      <c r="O65" s="189"/>
      <c r="P65" s="189"/>
      <c r="Q65" s="189"/>
      <c r="R65" s="189" t="str">
        <f t="shared" si="7"/>
        <v xml:space="preserve"> </v>
      </c>
      <c r="S65" s="189"/>
      <c r="T65" s="253"/>
      <c r="U65" s="13"/>
      <c r="V65" s="253"/>
      <c r="W65" s="253"/>
      <c r="X65" s="16"/>
    </row>
    <row r="66" spans="1:24" ht="15" customHeight="1" x14ac:dyDescent="0.35">
      <c r="A66" s="245"/>
      <c r="B66" s="246"/>
      <c r="C66" s="211"/>
      <c r="D66" s="15"/>
      <c r="E66" s="15"/>
      <c r="F66" s="9">
        <v>800</v>
      </c>
      <c r="G66" s="29">
        <f t="shared" si="5"/>
        <v>0</v>
      </c>
      <c r="H66" s="11"/>
      <c r="I66" s="10"/>
      <c r="J66" s="29">
        <f t="shared" si="1"/>
        <v>0</v>
      </c>
      <c r="K66" s="29"/>
      <c r="L66" s="223">
        <f t="shared" si="2"/>
        <v>0</v>
      </c>
      <c r="M66" s="12"/>
      <c r="N66" s="218" t="str">
        <f t="shared" si="6"/>
        <v xml:space="preserve"> </v>
      </c>
      <c r="O66" s="189"/>
      <c r="P66" s="189"/>
      <c r="Q66" s="189"/>
      <c r="R66" s="189" t="str">
        <f t="shared" si="7"/>
        <v xml:space="preserve"> </v>
      </c>
      <c r="S66" s="189"/>
      <c r="T66" s="253"/>
      <c r="U66" s="13"/>
      <c r="V66" s="253"/>
      <c r="W66" s="253"/>
      <c r="X66" s="16"/>
    </row>
    <row r="67" spans="1:24" ht="15" customHeight="1" x14ac:dyDescent="0.35">
      <c r="A67" s="245"/>
      <c r="B67" s="246"/>
      <c r="C67" s="211"/>
      <c r="D67" s="15"/>
      <c r="E67" s="15"/>
      <c r="F67" s="9">
        <v>800</v>
      </c>
      <c r="G67" s="29">
        <f t="shared" si="5"/>
        <v>0</v>
      </c>
      <c r="H67" s="11"/>
      <c r="I67" s="10"/>
      <c r="J67" s="29">
        <f t="shared" si="1"/>
        <v>0</v>
      </c>
      <c r="K67" s="29"/>
      <c r="L67" s="223">
        <f t="shared" si="2"/>
        <v>0</v>
      </c>
      <c r="M67" s="12"/>
      <c r="N67" s="218" t="str">
        <f t="shared" si="6"/>
        <v xml:space="preserve"> </v>
      </c>
      <c r="O67" s="189"/>
      <c r="P67" s="189"/>
      <c r="Q67" s="189"/>
      <c r="R67" s="189" t="str">
        <f t="shared" si="7"/>
        <v xml:space="preserve"> </v>
      </c>
      <c r="S67" s="189"/>
      <c r="T67" s="253"/>
      <c r="U67" s="13"/>
      <c r="V67" s="253"/>
      <c r="W67" s="253"/>
      <c r="X67" s="16"/>
    </row>
    <row r="68" spans="1:24" ht="15" customHeight="1" x14ac:dyDescent="0.35">
      <c r="A68" s="245"/>
      <c r="B68" s="246"/>
      <c r="C68" s="211"/>
      <c r="D68" s="15"/>
      <c r="E68" s="15"/>
      <c r="F68" s="9">
        <v>800</v>
      </c>
      <c r="G68" s="29">
        <f t="shared" ref="G68:G100" si="8">(F68*D68)+(E68*F68)</f>
        <v>0</v>
      </c>
      <c r="H68" s="11"/>
      <c r="I68" s="10"/>
      <c r="J68" s="29">
        <f t="shared" ref="J68:J100" si="9">H68*I68</f>
        <v>0</v>
      </c>
      <c r="K68" s="29"/>
      <c r="L68" s="223">
        <f t="shared" si="2"/>
        <v>0</v>
      </c>
      <c r="M68" s="12"/>
      <c r="N68" s="218" t="str">
        <f t="shared" si="6"/>
        <v xml:space="preserve"> </v>
      </c>
      <c r="O68" s="189"/>
      <c r="P68" s="189"/>
      <c r="Q68" s="189"/>
      <c r="R68" s="189" t="str">
        <f t="shared" si="7"/>
        <v xml:space="preserve"> </v>
      </c>
      <c r="S68" s="189"/>
      <c r="T68" s="253"/>
      <c r="U68" s="13"/>
      <c r="V68" s="253"/>
      <c r="W68" s="253"/>
      <c r="X68" s="16"/>
    </row>
    <row r="69" spans="1:24" ht="15" customHeight="1" x14ac:dyDescent="0.35">
      <c r="A69" s="245"/>
      <c r="B69" s="246"/>
      <c r="C69" s="211"/>
      <c r="D69" s="15"/>
      <c r="E69" s="15"/>
      <c r="F69" s="9">
        <v>800</v>
      </c>
      <c r="G69" s="29">
        <f t="shared" si="8"/>
        <v>0</v>
      </c>
      <c r="H69" s="11"/>
      <c r="I69" s="10"/>
      <c r="J69" s="29">
        <f t="shared" si="9"/>
        <v>0</v>
      </c>
      <c r="K69" s="29"/>
      <c r="L69" s="223">
        <f t="shared" ref="L69:L100" si="10">(J69+G69)-K69</f>
        <v>0</v>
      </c>
      <c r="M69" s="12"/>
      <c r="N69" s="218" t="str">
        <f t="shared" si="6"/>
        <v xml:space="preserve"> </v>
      </c>
      <c r="O69" s="189"/>
      <c r="P69" s="189"/>
      <c r="Q69" s="189"/>
      <c r="R69" s="189" t="str">
        <f t="shared" si="7"/>
        <v xml:space="preserve"> </v>
      </c>
      <c r="S69" s="189"/>
      <c r="T69" s="253"/>
      <c r="U69" s="13"/>
      <c r="V69" s="253"/>
      <c r="W69" s="253"/>
      <c r="X69" s="16"/>
    </row>
    <row r="70" spans="1:24" ht="15" customHeight="1" x14ac:dyDescent="0.35">
      <c r="A70" s="245"/>
      <c r="B70" s="246"/>
      <c r="C70" s="212"/>
      <c r="D70" s="15"/>
      <c r="E70" s="15"/>
      <c r="F70" s="9">
        <v>800</v>
      </c>
      <c r="G70" s="29">
        <f t="shared" si="8"/>
        <v>0</v>
      </c>
      <c r="H70" s="11"/>
      <c r="I70" s="10"/>
      <c r="J70" s="29">
        <f t="shared" si="9"/>
        <v>0</v>
      </c>
      <c r="K70" s="29"/>
      <c r="L70" s="223">
        <f t="shared" si="10"/>
        <v>0</v>
      </c>
      <c r="M70" s="12"/>
      <c r="N70" s="218" t="str">
        <f t="shared" si="6"/>
        <v xml:space="preserve"> </v>
      </c>
      <c r="O70" s="189"/>
      <c r="P70" s="189"/>
      <c r="Q70" s="189"/>
      <c r="R70" s="189" t="str">
        <f t="shared" si="7"/>
        <v xml:space="preserve"> </v>
      </c>
      <c r="S70" s="189"/>
      <c r="T70" s="253"/>
      <c r="U70" s="13"/>
      <c r="V70" s="253"/>
      <c r="W70" s="253"/>
      <c r="X70" s="16"/>
    </row>
    <row r="71" spans="1:24" ht="15" customHeight="1" x14ac:dyDescent="0.35">
      <c r="A71" s="245"/>
      <c r="B71" s="246"/>
      <c r="C71" s="211"/>
      <c r="D71" s="15"/>
      <c r="E71" s="15"/>
      <c r="F71" s="9">
        <v>800</v>
      </c>
      <c r="G71" s="29">
        <f t="shared" si="8"/>
        <v>0</v>
      </c>
      <c r="H71" s="11"/>
      <c r="I71" s="10"/>
      <c r="J71" s="29">
        <f t="shared" si="9"/>
        <v>0</v>
      </c>
      <c r="K71" s="29"/>
      <c r="L71" s="223">
        <f t="shared" si="10"/>
        <v>0</v>
      </c>
      <c r="M71" s="12"/>
      <c r="N71" s="218" t="str">
        <f t="shared" si="6"/>
        <v xml:space="preserve"> </v>
      </c>
      <c r="O71" s="189"/>
      <c r="P71" s="189"/>
      <c r="Q71" s="189"/>
      <c r="R71" s="189" t="str">
        <f t="shared" si="7"/>
        <v xml:space="preserve"> </v>
      </c>
      <c r="S71" s="189"/>
      <c r="T71" s="253"/>
      <c r="U71" s="13"/>
      <c r="V71" s="253"/>
      <c r="W71" s="253"/>
      <c r="X71" s="16"/>
    </row>
    <row r="72" spans="1:24" ht="15" customHeight="1" x14ac:dyDescent="0.35">
      <c r="A72" s="245"/>
      <c r="B72" s="246"/>
      <c r="C72" s="212"/>
      <c r="D72" s="15"/>
      <c r="E72" s="15"/>
      <c r="F72" s="9">
        <v>800</v>
      </c>
      <c r="G72" s="29">
        <f t="shared" si="8"/>
        <v>0</v>
      </c>
      <c r="H72" s="11"/>
      <c r="I72" s="10"/>
      <c r="J72" s="29">
        <f t="shared" si="9"/>
        <v>0</v>
      </c>
      <c r="K72" s="29"/>
      <c r="L72" s="223">
        <f t="shared" si="10"/>
        <v>0</v>
      </c>
      <c r="M72" s="12"/>
      <c r="N72" s="218" t="str">
        <f t="shared" si="6"/>
        <v xml:space="preserve"> </v>
      </c>
      <c r="O72" s="189"/>
      <c r="P72" s="189"/>
      <c r="Q72" s="189"/>
      <c r="R72" s="189" t="str">
        <f t="shared" si="7"/>
        <v xml:space="preserve"> </v>
      </c>
      <c r="S72" s="189"/>
      <c r="T72" s="253"/>
      <c r="U72" s="13"/>
      <c r="V72" s="253"/>
      <c r="W72" s="253"/>
      <c r="X72" s="16"/>
    </row>
    <row r="73" spans="1:24" ht="15" customHeight="1" x14ac:dyDescent="0.35">
      <c r="A73" s="245"/>
      <c r="B73" s="246"/>
      <c r="C73" s="211"/>
      <c r="D73" s="15"/>
      <c r="E73" s="15"/>
      <c r="F73" s="9">
        <v>800</v>
      </c>
      <c r="G73" s="29">
        <f t="shared" si="8"/>
        <v>0</v>
      </c>
      <c r="H73" s="11"/>
      <c r="I73" s="10"/>
      <c r="J73" s="29">
        <f t="shared" si="9"/>
        <v>0</v>
      </c>
      <c r="K73" s="29"/>
      <c r="L73" s="223">
        <f t="shared" si="10"/>
        <v>0</v>
      </c>
      <c r="M73" s="12"/>
      <c r="N73" s="218" t="str">
        <f t="shared" si="6"/>
        <v xml:space="preserve"> </v>
      </c>
      <c r="O73" s="189"/>
      <c r="P73" s="189"/>
      <c r="Q73" s="189"/>
      <c r="R73" s="189" t="str">
        <f t="shared" si="7"/>
        <v xml:space="preserve"> </v>
      </c>
      <c r="S73" s="189"/>
      <c r="T73" s="253"/>
      <c r="U73" s="13"/>
      <c r="V73" s="253"/>
      <c r="W73" s="253"/>
      <c r="X73" s="16"/>
    </row>
    <row r="74" spans="1:24" ht="15" customHeight="1" x14ac:dyDescent="0.35">
      <c r="A74" s="245"/>
      <c r="B74" s="246"/>
      <c r="C74" s="211"/>
      <c r="D74" s="15"/>
      <c r="E74" s="15"/>
      <c r="F74" s="9">
        <v>800</v>
      </c>
      <c r="G74" s="29">
        <f t="shared" si="8"/>
        <v>0</v>
      </c>
      <c r="H74" s="11"/>
      <c r="I74" s="10"/>
      <c r="J74" s="29">
        <f t="shared" si="9"/>
        <v>0</v>
      </c>
      <c r="K74" s="29"/>
      <c r="L74" s="223">
        <f t="shared" si="10"/>
        <v>0</v>
      </c>
      <c r="M74" s="12"/>
      <c r="N74" s="218" t="str">
        <f t="shared" si="6"/>
        <v xml:space="preserve"> </v>
      </c>
      <c r="O74" s="189"/>
      <c r="P74" s="189"/>
      <c r="Q74" s="189"/>
      <c r="R74" s="189" t="str">
        <f t="shared" si="7"/>
        <v xml:space="preserve"> </v>
      </c>
      <c r="S74" s="189"/>
      <c r="T74" s="253"/>
      <c r="U74" s="13"/>
      <c r="V74" s="253"/>
      <c r="W74" s="253"/>
      <c r="X74" s="16"/>
    </row>
    <row r="75" spans="1:24" ht="15" customHeight="1" x14ac:dyDescent="0.35">
      <c r="A75" s="245"/>
      <c r="B75" s="246"/>
      <c r="C75" s="211"/>
      <c r="D75" s="15"/>
      <c r="E75" s="15"/>
      <c r="F75" s="9">
        <v>800</v>
      </c>
      <c r="G75" s="29">
        <f t="shared" si="8"/>
        <v>0</v>
      </c>
      <c r="H75" s="11"/>
      <c r="I75" s="10"/>
      <c r="J75" s="29">
        <f t="shared" si="9"/>
        <v>0</v>
      </c>
      <c r="K75" s="29"/>
      <c r="L75" s="223">
        <f t="shared" si="10"/>
        <v>0</v>
      </c>
      <c r="M75" s="12"/>
      <c r="N75" s="218" t="str">
        <f t="shared" si="6"/>
        <v xml:space="preserve"> </v>
      </c>
      <c r="O75" s="189"/>
      <c r="P75" s="189"/>
      <c r="Q75" s="189"/>
      <c r="R75" s="189" t="str">
        <f t="shared" si="7"/>
        <v xml:space="preserve"> </v>
      </c>
      <c r="S75" s="189"/>
      <c r="T75" s="253"/>
      <c r="U75" s="13"/>
      <c r="V75" s="253"/>
      <c r="W75" s="253"/>
      <c r="X75" s="16"/>
    </row>
    <row r="76" spans="1:24" ht="15" customHeight="1" x14ac:dyDescent="0.35">
      <c r="A76" s="245"/>
      <c r="B76" s="246"/>
      <c r="C76" s="211"/>
      <c r="D76" s="15"/>
      <c r="E76" s="15"/>
      <c r="F76" s="9">
        <v>800</v>
      </c>
      <c r="G76" s="29">
        <f t="shared" si="8"/>
        <v>0</v>
      </c>
      <c r="H76" s="11"/>
      <c r="I76" s="10"/>
      <c r="J76" s="29">
        <f t="shared" si="9"/>
        <v>0</v>
      </c>
      <c r="K76" s="29"/>
      <c r="L76" s="223">
        <f t="shared" si="10"/>
        <v>0</v>
      </c>
      <c r="M76" s="12"/>
      <c r="N76" s="218" t="str">
        <f t="shared" si="6"/>
        <v xml:space="preserve"> </v>
      </c>
      <c r="O76" s="189"/>
      <c r="P76" s="189"/>
      <c r="Q76" s="189"/>
      <c r="R76" s="189" t="str">
        <f t="shared" si="7"/>
        <v xml:space="preserve"> </v>
      </c>
      <c r="S76" s="189"/>
      <c r="T76" s="253"/>
      <c r="U76" s="13"/>
      <c r="V76" s="253"/>
      <c r="W76" s="253"/>
      <c r="X76" s="16"/>
    </row>
    <row r="77" spans="1:24" ht="15" customHeight="1" x14ac:dyDescent="0.35">
      <c r="A77" s="245"/>
      <c r="B77" s="246"/>
      <c r="C77" s="211"/>
      <c r="D77" s="15"/>
      <c r="E77" s="15"/>
      <c r="F77" s="9">
        <v>800</v>
      </c>
      <c r="G77" s="29">
        <f t="shared" si="8"/>
        <v>0</v>
      </c>
      <c r="H77" s="11"/>
      <c r="I77" s="10"/>
      <c r="J77" s="29">
        <f t="shared" si="9"/>
        <v>0</v>
      </c>
      <c r="K77" s="29"/>
      <c r="L77" s="223">
        <f t="shared" si="10"/>
        <v>0</v>
      </c>
      <c r="M77" s="12"/>
      <c r="N77" s="218" t="str">
        <f t="shared" si="6"/>
        <v xml:space="preserve"> </v>
      </c>
      <c r="O77" s="189"/>
      <c r="P77" s="189"/>
      <c r="Q77" s="189"/>
      <c r="R77" s="189" t="str">
        <f t="shared" si="7"/>
        <v xml:space="preserve"> </v>
      </c>
      <c r="S77" s="189"/>
      <c r="T77" s="253"/>
      <c r="U77" s="13"/>
      <c r="V77" s="253"/>
      <c r="W77" s="253"/>
      <c r="X77" s="16"/>
    </row>
    <row r="78" spans="1:24" ht="15" customHeight="1" x14ac:dyDescent="0.35">
      <c r="A78" s="245"/>
      <c r="B78" s="246"/>
      <c r="C78" s="211"/>
      <c r="D78" s="15"/>
      <c r="E78" s="15"/>
      <c r="F78" s="9">
        <v>800</v>
      </c>
      <c r="G78" s="29">
        <f t="shared" si="8"/>
        <v>0</v>
      </c>
      <c r="H78" s="11"/>
      <c r="I78" s="10"/>
      <c r="J78" s="29">
        <f t="shared" si="9"/>
        <v>0</v>
      </c>
      <c r="K78" s="29"/>
      <c r="L78" s="223">
        <f t="shared" si="10"/>
        <v>0</v>
      </c>
      <c r="M78" s="12"/>
      <c r="N78" s="239" t="str">
        <f t="shared" si="6"/>
        <v xml:space="preserve"> </v>
      </c>
      <c r="O78" s="189"/>
      <c r="P78" s="189"/>
      <c r="Q78" s="189"/>
      <c r="R78" s="189" t="str">
        <f t="shared" si="7"/>
        <v xml:space="preserve"> </v>
      </c>
      <c r="S78" s="189"/>
      <c r="T78" s="253"/>
      <c r="U78" s="13"/>
      <c r="V78" s="253"/>
      <c r="W78" s="253"/>
      <c r="X78" s="16"/>
    </row>
    <row r="79" spans="1:24" ht="15" customHeight="1" x14ac:dyDescent="0.35">
      <c r="A79" s="245"/>
      <c r="B79" s="246"/>
      <c r="C79" s="211"/>
      <c r="D79" s="15"/>
      <c r="E79" s="15"/>
      <c r="F79" s="9">
        <v>800</v>
      </c>
      <c r="G79" s="29">
        <f t="shared" si="8"/>
        <v>0</v>
      </c>
      <c r="H79" s="11"/>
      <c r="I79" s="10"/>
      <c r="J79" s="29">
        <f t="shared" si="9"/>
        <v>0</v>
      </c>
      <c r="K79" s="29"/>
      <c r="L79" s="223">
        <f t="shared" si="10"/>
        <v>0</v>
      </c>
      <c r="M79" s="12"/>
      <c r="N79" s="218" t="str">
        <f t="shared" si="6"/>
        <v xml:space="preserve"> </v>
      </c>
      <c r="O79" s="189"/>
      <c r="P79" s="189"/>
      <c r="Q79" s="189"/>
      <c r="R79" s="189" t="str">
        <f t="shared" si="7"/>
        <v xml:space="preserve"> </v>
      </c>
      <c r="S79" s="189"/>
      <c r="T79" s="253"/>
      <c r="U79" s="13"/>
      <c r="V79" s="253"/>
      <c r="W79" s="253"/>
      <c r="X79" s="16"/>
    </row>
    <row r="80" spans="1:24" ht="15" customHeight="1" x14ac:dyDescent="0.35">
      <c r="A80" s="23"/>
      <c r="B80" s="24"/>
      <c r="C80" s="211"/>
      <c r="D80" s="15"/>
      <c r="E80" s="15"/>
      <c r="F80" s="9">
        <v>800</v>
      </c>
      <c r="G80" s="29">
        <f t="shared" si="8"/>
        <v>0</v>
      </c>
      <c r="H80" s="11"/>
      <c r="I80" s="10"/>
      <c r="J80" s="29">
        <f t="shared" si="9"/>
        <v>0</v>
      </c>
      <c r="K80" s="29"/>
      <c r="L80" s="223">
        <f t="shared" si="10"/>
        <v>0</v>
      </c>
      <c r="M80" s="12"/>
      <c r="N80" s="218" t="str">
        <f t="shared" ref="N80:N88" si="11">IF(M80&gt;0,SUM(L80-M80)," ")</f>
        <v xml:space="preserve"> </v>
      </c>
      <c r="O80" s="189"/>
      <c r="P80" s="189"/>
      <c r="Q80" s="189"/>
      <c r="R80" s="189" t="str">
        <f t="shared" si="7"/>
        <v xml:space="preserve"> </v>
      </c>
      <c r="S80" s="189"/>
      <c r="T80" s="253"/>
      <c r="U80" s="13"/>
      <c r="V80" s="253"/>
      <c r="W80" s="253"/>
      <c r="X80" s="16"/>
    </row>
    <row r="81" spans="1:24" ht="15" customHeight="1" x14ac:dyDescent="0.35">
      <c r="A81" s="227"/>
      <c r="B81" s="24"/>
      <c r="C81" s="211"/>
      <c r="D81" s="15"/>
      <c r="E81" s="15"/>
      <c r="F81" s="9">
        <v>800</v>
      </c>
      <c r="G81" s="29">
        <f t="shared" si="8"/>
        <v>0</v>
      </c>
      <c r="H81" s="11"/>
      <c r="I81" s="10"/>
      <c r="J81" s="29">
        <f t="shared" si="9"/>
        <v>0</v>
      </c>
      <c r="K81" s="29"/>
      <c r="L81" s="223">
        <f t="shared" si="10"/>
        <v>0</v>
      </c>
      <c r="M81" s="12"/>
      <c r="N81" s="218" t="str">
        <f t="shared" si="11"/>
        <v xml:space="preserve"> </v>
      </c>
      <c r="O81" s="189"/>
      <c r="P81" s="189"/>
      <c r="Q81" s="189"/>
      <c r="R81" s="189" t="str">
        <f t="shared" si="7"/>
        <v xml:space="preserve"> </v>
      </c>
      <c r="S81" s="189"/>
      <c r="T81" s="253"/>
      <c r="U81" s="13"/>
      <c r="V81" s="253"/>
      <c r="W81" s="253"/>
      <c r="X81" s="16"/>
    </row>
    <row r="82" spans="1:24" ht="15" customHeight="1" x14ac:dyDescent="0.35">
      <c r="A82" s="227"/>
      <c r="B82" s="24"/>
      <c r="C82" s="211"/>
      <c r="D82" s="15"/>
      <c r="E82" s="15"/>
      <c r="F82" s="9">
        <v>800</v>
      </c>
      <c r="G82" s="29">
        <f t="shared" si="8"/>
        <v>0</v>
      </c>
      <c r="H82" s="11"/>
      <c r="I82" s="10"/>
      <c r="J82" s="29">
        <f t="shared" si="9"/>
        <v>0</v>
      </c>
      <c r="K82" s="29"/>
      <c r="L82" s="223">
        <f t="shared" si="10"/>
        <v>0</v>
      </c>
      <c r="M82" s="12"/>
      <c r="N82" s="218" t="str">
        <f t="shared" si="11"/>
        <v xml:space="preserve"> </v>
      </c>
      <c r="O82" s="189"/>
      <c r="P82" s="189"/>
      <c r="Q82" s="189"/>
      <c r="R82" s="189" t="str">
        <f t="shared" si="7"/>
        <v xml:space="preserve"> </v>
      </c>
      <c r="S82" s="189"/>
      <c r="T82" s="253"/>
      <c r="U82" s="13"/>
      <c r="V82" s="253"/>
      <c r="W82" s="253"/>
      <c r="X82" s="16"/>
    </row>
    <row r="83" spans="1:24" ht="15" customHeight="1" x14ac:dyDescent="0.35">
      <c r="A83" s="23"/>
      <c r="B83" s="23"/>
      <c r="C83" s="188"/>
      <c r="D83" s="15"/>
      <c r="E83" s="15"/>
      <c r="F83" s="9">
        <v>800</v>
      </c>
      <c r="G83" s="29">
        <f t="shared" si="8"/>
        <v>0</v>
      </c>
      <c r="H83" s="11"/>
      <c r="I83" s="10"/>
      <c r="J83" s="29">
        <f t="shared" si="9"/>
        <v>0</v>
      </c>
      <c r="K83" s="29"/>
      <c r="L83" s="223">
        <f t="shared" si="10"/>
        <v>0</v>
      </c>
      <c r="M83" s="12"/>
      <c r="N83" s="218" t="str">
        <f t="shared" si="11"/>
        <v xml:space="preserve"> </v>
      </c>
      <c r="O83" s="189"/>
      <c r="P83" s="189"/>
      <c r="Q83" s="189"/>
      <c r="R83" s="189" t="str">
        <f t="shared" si="7"/>
        <v xml:space="preserve"> </v>
      </c>
      <c r="S83" s="189"/>
      <c r="T83" s="253"/>
      <c r="U83" s="13"/>
      <c r="V83" s="253"/>
      <c r="W83" s="253"/>
      <c r="X83" s="16"/>
    </row>
    <row r="84" spans="1:24" ht="15" customHeight="1" x14ac:dyDescent="0.35">
      <c r="A84" s="23"/>
      <c r="B84" s="23"/>
      <c r="C84" s="211"/>
      <c r="D84" s="15"/>
      <c r="E84" s="15"/>
      <c r="F84" s="9">
        <v>800</v>
      </c>
      <c r="G84" s="29">
        <f t="shared" si="8"/>
        <v>0</v>
      </c>
      <c r="H84" s="11"/>
      <c r="I84" s="10"/>
      <c r="J84" s="29">
        <f t="shared" si="9"/>
        <v>0</v>
      </c>
      <c r="K84" s="29"/>
      <c r="L84" s="223">
        <f t="shared" si="10"/>
        <v>0</v>
      </c>
      <c r="M84" s="12"/>
      <c r="N84" s="218" t="str">
        <f t="shared" si="11"/>
        <v xml:space="preserve"> </v>
      </c>
      <c r="O84" s="189"/>
      <c r="P84" s="189"/>
      <c r="Q84" s="189"/>
      <c r="R84" s="189" t="str">
        <f t="shared" si="7"/>
        <v xml:space="preserve"> </v>
      </c>
      <c r="S84" s="189"/>
      <c r="T84" s="253"/>
      <c r="U84" s="13"/>
      <c r="V84" s="253"/>
      <c r="W84" s="253"/>
      <c r="X84" s="16"/>
    </row>
    <row r="85" spans="1:24" ht="15" customHeight="1" x14ac:dyDescent="0.35">
      <c r="A85" s="23"/>
      <c r="B85" s="24"/>
      <c r="C85" s="211"/>
      <c r="D85" s="15"/>
      <c r="E85" s="15"/>
      <c r="F85" s="9">
        <v>800</v>
      </c>
      <c r="G85" s="29">
        <f t="shared" si="8"/>
        <v>0</v>
      </c>
      <c r="H85" s="11"/>
      <c r="I85" s="10"/>
      <c r="J85" s="29">
        <f t="shared" si="9"/>
        <v>0</v>
      </c>
      <c r="K85" s="29"/>
      <c r="L85" s="223">
        <f t="shared" si="10"/>
        <v>0</v>
      </c>
      <c r="M85" s="12"/>
      <c r="N85" s="218" t="str">
        <f t="shared" si="11"/>
        <v xml:space="preserve"> </v>
      </c>
      <c r="O85" s="189"/>
      <c r="P85" s="189"/>
      <c r="Q85" s="189"/>
      <c r="R85" s="189" t="str">
        <f t="shared" si="7"/>
        <v xml:space="preserve"> </v>
      </c>
      <c r="S85" s="189"/>
      <c r="T85" s="253"/>
      <c r="U85" s="13"/>
      <c r="V85" s="253"/>
      <c r="W85" s="253"/>
      <c r="X85" s="16"/>
    </row>
    <row r="86" spans="1:24" ht="15" customHeight="1" x14ac:dyDescent="0.35">
      <c r="A86" s="23"/>
      <c r="B86" s="24"/>
      <c r="C86" s="211"/>
      <c r="D86" s="15"/>
      <c r="E86" s="15"/>
      <c r="F86" s="9">
        <v>800</v>
      </c>
      <c r="G86" s="29">
        <f t="shared" si="8"/>
        <v>0</v>
      </c>
      <c r="H86" s="11"/>
      <c r="I86" s="10"/>
      <c r="J86" s="29">
        <f t="shared" si="9"/>
        <v>0</v>
      </c>
      <c r="K86" s="29"/>
      <c r="L86" s="223">
        <f t="shared" si="10"/>
        <v>0</v>
      </c>
      <c r="M86" s="12"/>
      <c r="N86" s="218" t="str">
        <f t="shared" si="11"/>
        <v xml:space="preserve"> </v>
      </c>
      <c r="O86" s="189"/>
      <c r="P86" s="189"/>
      <c r="Q86" s="189"/>
      <c r="R86" s="189" t="str">
        <f t="shared" si="7"/>
        <v xml:space="preserve"> </v>
      </c>
      <c r="S86" s="189"/>
      <c r="T86" s="253"/>
      <c r="U86" s="13"/>
      <c r="V86" s="253"/>
      <c r="W86" s="253"/>
      <c r="X86" s="16"/>
    </row>
    <row r="87" spans="1:24" ht="15" customHeight="1" x14ac:dyDescent="0.35">
      <c r="A87" s="227"/>
      <c r="B87" s="23"/>
      <c r="C87" s="212"/>
      <c r="D87" s="15"/>
      <c r="E87" s="15"/>
      <c r="F87" s="9">
        <v>800</v>
      </c>
      <c r="G87" s="29">
        <f t="shared" si="8"/>
        <v>0</v>
      </c>
      <c r="H87" s="11"/>
      <c r="I87" s="10"/>
      <c r="J87" s="29">
        <f t="shared" si="9"/>
        <v>0</v>
      </c>
      <c r="K87" s="29"/>
      <c r="L87" s="223">
        <f t="shared" si="10"/>
        <v>0</v>
      </c>
      <c r="M87" s="12"/>
      <c r="N87" s="218" t="str">
        <f t="shared" si="11"/>
        <v xml:space="preserve"> </v>
      </c>
      <c r="O87" s="189"/>
      <c r="P87" s="189"/>
      <c r="Q87" s="189"/>
      <c r="R87" s="189" t="str">
        <f t="shared" si="7"/>
        <v xml:space="preserve"> </v>
      </c>
      <c r="S87" s="189"/>
      <c r="T87" s="253"/>
      <c r="U87" s="13"/>
      <c r="V87" s="253"/>
      <c r="W87" s="253"/>
      <c r="X87" s="16"/>
    </row>
    <row r="88" spans="1:24" ht="15" customHeight="1" x14ac:dyDescent="0.35">
      <c r="A88" s="23"/>
      <c r="B88" s="24"/>
      <c r="C88" s="211"/>
      <c r="D88" s="15"/>
      <c r="E88" s="15"/>
      <c r="F88" s="9">
        <v>800</v>
      </c>
      <c r="G88" s="29">
        <f t="shared" si="8"/>
        <v>0</v>
      </c>
      <c r="H88" s="11"/>
      <c r="I88" s="10"/>
      <c r="J88" s="29">
        <f t="shared" si="9"/>
        <v>0</v>
      </c>
      <c r="K88" s="29"/>
      <c r="L88" s="223">
        <f t="shared" si="10"/>
        <v>0</v>
      </c>
      <c r="M88" s="12"/>
      <c r="N88" s="218" t="str">
        <f t="shared" si="11"/>
        <v xml:space="preserve"> </v>
      </c>
      <c r="O88" s="189"/>
      <c r="P88" s="189"/>
      <c r="Q88" s="189"/>
      <c r="R88" s="189" t="str">
        <f t="shared" si="7"/>
        <v xml:space="preserve"> </v>
      </c>
      <c r="S88" s="189"/>
      <c r="T88" s="253"/>
      <c r="U88" s="13"/>
      <c r="V88" s="253"/>
      <c r="W88" s="253"/>
      <c r="X88" s="16"/>
    </row>
    <row r="89" spans="1:24" ht="15" customHeight="1" x14ac:dyDescent="0.35">
      <c r="A89" s="23"/>
      <c r="B89" s="24"/>
      <c r="C89" s="211"/>
      <c r="D89" s="15"/>
      <c r="E89" s="15"/>
      <c r="F89" s="9">
        <v>800</v>
      </c>
      <c r="G89" s="29">
        <f t="shared" si="8"/>
        <v>0</v>
      </c>
      <c r="H89" s="11"/>
      <c r="I89" s="10"/>
      <c r="J89" s="29">
        <f t="shared" si="9"/>
        <v>0</v>
      </c>
      <c r="K89" s="29"/>
      <c r="L89" s="223">
        <f t="shared" si="10"/>
        <v>0</v>
      </c>
      <c r="M89" s="12"/>
      <c r="N89" s="218" t="str">
        <f t="shared" si="6"/>
        <v xml:space="preserve"> </v>
      </c>
      <c r="O89" s="189"/>
      <c r="P89" s="189"/>
      <c r="Q89" s="189"/>
      <c r="R89" s="189" t="str">
        <f t="shared" si="7"/>
        <v xml:space="preserve"> </v>
      </c>
      <c r="S89" s="189"/>
      <c r="T89" s="253"/>
      <c r="U89" s="13"/>
      <c r="V89" s="253"/>
      <c r="W89" s="253"/>
      <c r="X89" s="16"/>
    </row>
    <row r="90" spans="1:24" ht="15" customHeight="1" x14ac:dyDescent="0.35">
      <c r="A90" s="23"/>
      <c r="B90" s="24"/>
      <c r="C90" s="211"/>
      <c r="D90" s="15"/>
      <c r="E90" s="15"/>
      <c r="F90" s="9">
        <v>800</v>
      </c>
      <c r="G90" s="29">
        <f t="shared" si="8"/>
        <v>0</v>
      </c>
      <c r="H90" s="11"/>
      <c r="I90" s="10"/>
      <c r="J90" s="29">
        <f t="shared" si="9"/>
        <v>0</v>
      </c>
      <c r="K90" s="29"/>
      <c r="L90" s="223">
        <f t="shared" si="10"/>
        <v>0</v>
      </c>
      <c r="M90" s="12"/>
      <c r="N90" s="218" t="str">
        <f t="shared" si="6"/>
        <v xml:space="preserve"> </v>
      </c>
      <c r="O90" s="189"/>
      <c r="P90" s="189"/>
      <c r="Q90" s="189"/>
      <c r="R90" s="189" t="str">
        <f t="shared" si="7"/>
        <v xml:space="preserve"> </v>
      </c>
      <c r="S90" s="189"/>
      <c r="T90" s="253"/>
      <c r="U90" s="13"/>
      <c r="V90" s="253"/>
      <c r="W90" s="253"/>
      <c r="X90" s="16"/>
    </row>
    <row r="91" spans="1:24" ht="15" customHeight="1" x14ac:dyDescent="0.35">
      <c r="A91" s="227"/>
      <c r="B91" s="23"/>
      <c r="C91" s="212"/>
      <c r="D91" s="15"/>
      <c r="E91" s="15"/>
      <c r="F91" s="9">
        <v>800</v>
      </c>
      <c r="G91" s="29">
        <f t="shared" si="8"/>
        <v>0</v>
      </c>
      <c r="H91" s="11"/>
      <c r="I91" s="10"/>
      <c r="J91" s="29">
        <f t="shared" si="9"/>
        <v>0</v>
      </c>
      <c r="K91" s="29"/>
      <c r="L91" s="223">
        <f t="shared" si="10"/>
        <v>0</v>
      </c>
      <c r="M91" s="12"/>
      <c r="N91" s="218" t="str">
        <f t="shared" si="6"/>
        <v xml:space="preserve"> </v>
      </c>
      <c r="O91" s="189"/>
      <c r="P91" s="189"/>
      <c r="Q91" s="189"/>
      <c r="R91" s="189" t="str">
        <f t="shared" si="7"/>
        <v xml:space="preserve"> </v>
      </c>
      <c r="S91" s="189"/>
      <c r="T91" s="253"/>
      <c r="U91" s="13"/>
      <c r="V91" s="253"/>
      <c r="W91" s="253"/>
      <c r="X91" s="16"/>
    </row>
    <row r="92" spans="1:24" ht="15" customHeight="1" x14ac:dyDescent="0.35">
      <c r="A92" s="23"/>
      <c r="B92" s="24"/>
      <c r="C92" s="211"/>
      <c r="D92" s="15"/>
      <c r="E92" s="15"/>
      <c r="F92" s="9">
        <v>800</v>
      </c>
      <c r="G92" s="29">
        <f t="shared" si="8"/>
        <v>0</v>
      </c>
      <c r="H92" s="11"/>
      <c r="I92" s="10"/>
      <c r="J92" s="29">
        <f t="shared" si="9"/>
        <v>0</v>
      </c>
      <c r="K92" s="29"/>
      <c r="L92" s="223">
        <f t="shared" si="10"/>
        <v>0</v>
      </c>
      <c r="M92" s="12"/>
      <c r="N92" s="218" t="str">
        <f t="shared" si="6"/>
        <v xml:space="preserve"> </v>
      </c>
      <c r="O92" s="189"/>
      <c r="P92" s="189"/>
      <c r="Q92" s="189"/>
      <c r="R92" s="189" t="str">
        <f t="shared" si="7"/>
        <v xml:space="preserve"> </v>
      </c>
      <c r="S92" s="189"/>
      <c r="T92" s="253"/>
      <c r="U92" s="13"/>
      <c r="V92" s="253"/>
      <c r="W92" s="253"/>
      <c r="X92" s="16"/>
    </row>
    <row r="93" spans="1:24" ht="15" customHeight="1" x14ac:dyDescent="0.35">
      <c r="A93" s="227"/>
      <c r="B93" s="24"/>
      <c r="C93" s="211"/>
      <c r="D93" s="15"/>
      <c r="E93" s="15"/>
      <c r="F93" s="9">
        <v>800</v>
      </c>
      <c r="G93" s="29">
        <f t="shared" si="8"/>
        <v>0</v>
      </c>
      <c r="H93" s="11"/>
      <c r="I93" s="10"/>
      <c r="J93" s="29">
        <f t="shared" si="9"/>
        <v>0</v>
      </c>
      <c r="K93" s="29"/>
      <c r="L93" s="223">
        <f t="shared" si="10"/>
        <v>0</v>
      </c>
      <c r="M93" s="12"/>
      <c r="N93" s="218" t="str">
        <f t="shared" si="6"/>
        <v xml:space="preserve"> </v>
      </c>
      <c r="O93" s="189"/>
      <c r="P93" s="189"/>
      <c r="Q93" s="189"/>
      <c r="R93" s="189" t="str">
        <f t="shared" si="7"/>
        <v xml:space="preserve"> </v>
      </c>
      <c r="S93" s="189"/>
      <c r="T93" s="253"/>
      <c r="U93" s="13"/>
      <c r="V93" s="253"/>
      <c r="W93" s="253"/>
      <c r="X93" s="16"/>
    </row>
    <row r="94" spans="1:24" ht="15" customHeight="1" x14ac:dyDescent="0.35">
      <c r="A94" s="227"/>
      <c r="B94" s="24"/>
      <c r="C94" s="212"/>
      <c r="D94" s="15"/>
      <c r="E94" s="15"/>
      <c r="F94" s="9">
        <v>800</v>
      </c>
      <c r="G94" s="29">
        <f t="shared" si="8"/>
        <v>0</v>
      </c>
      <c r="H94" s="11"/>
      <c r="I94" s="10"/>
      <c r="J94" s="29">
        <f t="shared" si="9"/>
        <v>0</v>
      </c>
      <c r="K94" s="29"/>
      <c r="L94" s="223">
        <f t="shared" si="10"/>
        <v>0</v>
      </c>
      <c r="M94" s="12"/>
      <c r="N94" s="218" t="str">
        <f t="shared" si="6"/>
        <v xml:space="preserve"> </v>
      </c>
      <c r="O94" s="189"/>
      <c r="P94" s="189"/>
      <c r="Q94" s="189"/>
      <c r="R94" s="189" t="str">
        <f t="shared" si="7"/>
        <v xml:space="preserve"> </v>
      </c>
      <c r="S94" s="189"/>
      <c r="T94" s="253"/>
      <c r="U94" s="13"/>
      <c r="V94" s="253"/>
      <c r="W94" s="253"/>
      <c r="X94" s="16"/>
    </row>
    <row r="95" spans="1:24" ht="15" customHeight="1" x14ac:dyDescent="0.35">
      <c r="A95" s="227"/>
      <c r="B95" s="24"/>
      <c r="C95" s="211"/>
      <c r="D95" s="15"/>
      <c r="E95" s="15"/>
      <c r="F95" s="9">
        <v>800</v>
      </c>
      <c r="G95" s="29">
        <f t="shared" si="8"/>
        <v>0</v>
      </c>
      <c r="H95" s="11"/>
      <c r="I95" s="10"/>
      <c r="J95" s="29">
        <f t="shared" si="9"/>
        <v>0</v>
      </c>
      <c r="K95" s="29"/>
      <c r="L95" s="223">
        <f t="shared" si="10"/>
        <v>0</v>
      </c>
      <c r="M95" s="12"/>
      <c r="N95" s="218" t="str">
        <f t="shared" si="6"/>
        <v xml:space="preserve"> </v>
      </c>
      <c r="O95" s="189"/>
      <c r="P95" s="189"/>
      <c r="Q95" s="189"/>
      <c r="R95" s="189" t="str">
        <f t="shared" si="7"/>
        <v xml:space="preserve"> </v>
      </c>
      <c r="S95" s="189"/>
      <c r="T95" s="253"/>
      <c r="U95" s="13"/>
      <c r="V95" s="253"/>
      <c r="W95" s="253"/>
      <c r="X95" s="16"/>
    </row>
    <row r="96" spans="1:24" ht="15" customHeight="1" x14ac:dyDescent="0.35">
      <c r="A96" s="227"/>
      <c r="B96" s="24"/>
      <c r="C96" s="212"/>
      <c r="D96" s="15"/>
      <c r="E96" s="15"/>
      <c r="F96" s="9">
        <v>800</v>
      </c>
      <c r="G96" s="29">
        <f t="shared" si="8"/>
        <v>0</v>
      </c>
      <c r="H96" s="11"/>
      <c r="I96" s="10"/>
      <c r="J96" s="29">
        <f t="shared" si="9"/>
        <v>0</v>
      </c>
      <c r="K96" s="29"/>
      <c r="L96" s="223">
        <f t="shared" si="10"/>
        <v>0</v>
      </c>
      <c r="M96" s="12"/>
      <c r="N96" s="218" t="str">
        <f>IF(M96&gt;0,SUM(L96-M96)," ")</f>
        <v xml:space="preserve"> </v>
      </c>
      <c r="O96" s="189"/>
      <c r="P96" s="189"/>
      <c r="Q96" s="189"/>
      <c r="R96" s="189" t="str">
        <f t="shared" si="7"/>
        <v xml:space="preserve"> </v>
      </c>
      <c r="S96" s="189"/>
      <c r="T96" s="253"/>
      <c r="U96" s="13"/>
      <c r="V96" s="253"/>
      <c r="W96" s="253"/>
      <c r="X96" s="16"/>
    </row>
    <row r="97" spans="1:24" ht="15" customHeight="1" x14ac:dyDescent="0.35">
      <c r="A97" s="227"/>
      <c r="B97" s="24"/>
      <c r="C97" s="211"/>
      <c r="D97" s="15"/>
      <c r="E97" s="15"/>
      <c r="F97" s="9">
        <v>800</v>
      </c>
      <c r="G97" s="29">
        <f t="shared" si="8"/>
        <v>0</v>
      </c>
      <c r="H97" s="11"/>
      <c r="I97" s="10"/>
      <c r="J97" s="29">
        <f t="shared" si="9"/>
        <v>0</v>
      </c>
      <c r="K97" s="29"/>
      <c r="L97" s="223">
        <f t="shared" si="10"/>
        <v>0</v>
      </c>
      <c r="M97" s="12"/>
      <c r="N97" s="218" t="str">
        <f>IF(M97&gt;0,SUM(L97-M97)," ")</f>
        <v xml:space="preserve"> </v>
      </c>
      <c r="O97" s="189"/>
      <c r="P97" s="189"/>
      <c r="Q97" s="189"/>
      <c r="R97" s="189" t="str">
        <f t="shared" si="7"/>
        <v xml:space="preserve"> </v>
      </c>
      <c r="S97" s="189"/>
      <c r="T97" s="253"/>
      <c r="U97" s="13"/>
      <c r="V97" s="253"/>
      <c r="W97" s="253"/>
      <c r="X97" s="16"/>
    </row>
    <row r="98" spans="1:24" ht="15" customHeight="1" x14ac:dyDescent="0.35">
      <c r="A98" s="227"/>
      <c r="B98" s="24"/>
      <c r="C98" s="206"/>
      <c r="D98" s="15"/>
      <c r="E98" s="15"/>
      <c r="F98" s="9">
        <v>706.2</v>
      </c>
      <c r="G98" s="29">
        <f t="shared" si="8"/>
        <v>0</v>
      </c>
      <c r="H98" s="11"/>
      <c r="I98" s="10"/>
      <c r="J98" s="29">
        <f t="shared" si="9"/>
        <v>0</v>
      </c>
      <c r="K98" s="29"/>
      <c r="L98" s="223">
        <f t="shared" si="10"/>
        <v>0</v>
      </c>
      <c r="M98" s="12"/>
      <c r="N98" s="218" t="str">
        <f t="shared" si="6"/>
        <v xml:space="preserve"> </v>
      </c>
      <c r="O98" s="189"/>
      <c r="P98" s="189"/>
      <c r="Q98" s="189"/>
      <c r="R98" s="189" t="str">
        <f t="shared" si="4"/>
        <v xml:space="preserve"> </v>
      </c>
      <c r="S98" s="189"/>
      <c r="T98" s="253"/>
      <c r="U98" s="13"/>
      <c r="V98" s="253"/>
      <c r="W98" s="253"/>
      <c r="X98" s="16"/>
    </row>
    <row r="99" spans="1:24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8"/>
        <v>0</v>
      </c>
      <c r="H99" s="11"/>
      <c r="I99" s="10"/>
      <c r="J99" s="29">
        <f t="shared" si="9"/>
        <v>0</v>
      </c>
      <c r="K99" s="29"/>
      <c r="L99" s="223">
        <f t="shared" si="10"/>
        <v>0</v>
      </c>
      <c r="M99" s="12"/>
      <c r="N99" s="218" t="str">
        <f t="shared" si="6"/>
        <v xml:space="preserve"> </v>
      </c>
      <c r="O99" s="189"/>
      <c r="P99" s="189"/>
      <c r="Q99" s="189"/>
      <c r="R99" s="189" t="str">
        <f t="shared" si="4"/>
        <v xml:space="preserve"> </v>
      </c>
      <c r="S99" s="189"/>
      <c r="T99" s="253"/>
      <c r="U99" s="13"/>
      <c r="V99" s="253"/>
      <c r="W99" s="253"/>
      <c r="X99" s="16"/>
    </row>
    <row r="100" spans="1:24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8"/>
        <v>0</v>
      </c>
      <c r="H100" s="11"/>
      <c r="I100" s="10"/>
      <c r="J100" s="29">
        <f t="shared" si="9"/>
        <v>0</v>
      </c>
      <c r="K100" s="29"/>
      <c r="L100" s="223">
        <f t="shared" si="10"/>
        <v>0</v>
      </c>
      <c r="M100" s="12"/>
      <c r="N100" s="218" t="str">
        <f t="shared" si="6"/>
        <v xml:space="preserve"> </v>
      </c>
      <c r="O100" s="189"/>
      <c r="P100" s="189"/>
      <c r="Q100" s="189"/>
      <c r="R100" s="189" t="str">
        <f t="shared" si="4"/>
        <v xml:space="preserve"> </v>
      </c>
      <c r="S100" s="189"/>
      <c r="T100" s="253"/>
      <c r="U100" s="13"/>
      <c r="V100" s="253"/>
      <c r="W100" s="253"/>
      <c r="X100" s="16"/>
    </row>
    <row r="101" spans="1:24" ht="16" x14ac:dyDescent="0.5">
      <c r="D101" s="21">
        <f>SUM(D4:D100)</f>
        <v>92</v>
      </c>
      <c r="E101" s="21">
        <f>SUM(E4:E100)</f>
        <v>53</v>
      </c>
      <c r="G101" s="198">
        <f>SUM(G4:G100)</f>
        <v>126290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126290</v>
      </c>
      <c r="M101" s="198"/>
      <c r="N101" s="218" t="str">
        <f t="shared" si="6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-1600</v>
      </c>
      <c r="S101" s="199">
        <f>SUM(S4:S100)</f>
        <v>0</v>
      </c>
    </row>
    <row r="102" spans="1:24" x14ac:dyDescent="0.35">
      <c r="D102" s="290">
        <f>D101+E101</f>
        <v>145</v>
      </c>
      <c r="E102" s="291"/>
      <c r="G102" s="22"/>
      <c r="I102" s="5"/>
      <c r="J102" s="22"/>
      <c r="K102" s="22"/>
    </row>
    <row r="103" spans="1:24" x14ac:dyDescent="0.35">
      <c r="I103" s="5"/>
      <c r="J103" s="6"/>
      <c r="K103" s="6"/>
    </row>
    <row r="108" spans="1:24" x14ac:dyDescent="0.35">
      <c r="C108" s="211" t="s">
        <v>82</v>
      </c>
    </row>
    <row r="109" spans="1:24" x14ac:dyDescent="0.35">
      <c r="C109" s="211" t="s">
        <v>103</v>
      </c>
    </row>
    <row r="110" spans="1:24" x14ac:dyDescent="0.35">
      <c r="C110" s="211" t="s">
        <v>82</v>
      </c>
    </row>
    <row r="111" spans="1:24" x14ac:dyDescent="0.35">
      <c r="C111" s="211" t="s">
        <v>15</v>
      </c>
    </row>
    <row r="112" spans="1:24" x14ac:dyDescent="0.35">
      <c r="C112" s="212" t="s">
        <v>100</v>
      </c>
    </row>
    <row r="113" spans="3:3" x14ac:dyDescent="0.35">
      <c r="C113" s="211" t="s">
        <v>81</v>
      </c>
    </row>
    <row r="114" spans="3:3" x14ac:dyDescent="0.35">
      <c r="C114" s="211" t="s">
        <v>82</v>
      </c>
    </row>
    <row r="115" spans="3:3" x14ac:dyDescent="0.35">
      <c r="C115" s="211" t="s">
        <v>82</v>
      </c>
    </row>
    <row r="116" spans="3:3" x14ac:dyDescent="0.35">
      <c r="C116" s="211" t="s">
        <v>82</v>
      </c>
    </row>
    <row r="117" spans="3:3" x14ac:dyDescent="0.35">
      <c r="C117" s="211" t="s">
        <v>103</v>
      </c>
    </row>
    <row r="118" spans="3:3" x14ac:dyDescent="0.35">
      <c r="C118" s="212"/>
    </row>
    <row r="119" spans="3:3" x14ac:dyDescent="0.35">
      <c r="C119" s="211"/>
    </row>
    <row r="120" spans="3:3" x14ac:dyDescent="0.35">
      <c r="C120" s="212" t="s">
        <v>112</v>
      </c>
    </row>
    <row r="121" spans="3:3" x14ac:dyDescent="0.35">
      <c r="C121" s="211" t="s">
        <v>102</v>
      </c>
    </row>
    <row r="122" spans="3:3" x14ac:dyDescent="0.35">
      <c r="C122" s="211" t="s">
        <v>15</v>
      </c>
    </row>
    <row r="123" spans="3:3" x14ac:dyDescent="0.35">
      <c r="C123" s="211"/>
    </row>
    <row r="124" spans="3:3" x14ac:dyDescent="0.35">
      <c r="C124" s="211"/>
    </row>
    <row r="125" spans="3:3" x14ac:dyDescent="0.35">
      <c r="C125" s="211" t="s">
        <v>82</v>
      </c>
    </row>
    <row r="126" spans="3:3" x14ac:dyDescent="0.35">
      <c r="C126" s="212" t="s">
        <v>100</v>
      </c>
    </row>
    <row r="127" spans="3:3" x14ac:dyDescent="0.35">
      <c r="C127" s="211" t="s">
        <v>82</v>
      </c>
    </row>
    <row r="128" spans="3:3" x14ac:dyDescent="0.35">
      <c r="C128" s="211" t="s">
        <v>81</v>
      </c>
    </row>
    <row r="129" spans="3:3" x14ac:dyDescent="0.35">
      <c r="C129" s="211" t="s">
        <v>115</v>
      </c>
    </row>
    <row r="130" spans="3:3" x14ac:dyDescent="0.35">
      <c r="C130" s="212" t="s">
        <v>101</v>
      </c>
    </row>
    <row r="131" spans="3:3" x14ac:dyDescent="0.35">
      <c r="C131" s="211" t="s">
        <v>82</v>
      </c>
    </row>
    <row r="132" spans="3:3" x14ac:dyDescent="0.35">
      <c r="C132" s="211" t="s">
        <v>111</v>
      </c>
    </row>
    <row r="133" spans="3:3" x14ac:dyDescent="0.35">
      <c r="C133" s="206"/>
    </row>
    <row r="134" spans="3:3" x14ac:dyDescent="0.35">
      <c r="C134" s="212"/>
    </row>
    <row r="135" spans="3:3" x14ac:dyDescent="0.35">
      <c r="C135" s="212" t="s">
        <v>101</v>
      </c>
    </row>
    <row r="136" spans="3:3" x14ac:dyDescent="0.35">
      <c r="C136" s="212" t="s">
        <v>15</v>
      </c>
    </row>
    <row r="137" spans="3:3" x14ac:dyDescent="0.35">
      <c r="C137" s="211" t="s">
        <v>81</v>
      </c>
    </row>
    <row r="138" spans="3:3" x14ac:dyDescent="0.35">
      <c r="C138" s="211"/>
    </row>
    <row r="1048434" spans="15:21" x14ac:dyDescent="0.35">
      <c r="O1048434" s="189"/>
      <c r="P1048434" s="189"/>
      <c r="Q1048434" s="189"/>
      <c r="R1048434" s="189"/>
      <c r="S1048434" s="189"/>
      <c r="U1048434" s="13"/>
    </row>
  </sheetData>
  <autoFilter ref="B3:AA102" xr:uid="{00000000-0009-0000-0000-000009000000}"/>
  <mergeCells count="15">
    <mergeCell ref="A2:A3"/>
    <mergeCell ref="B2:B3"/>
    <mergeCell ref="C2:C3"/>
    <mergeCell ref="D2:G2"/>
    <mergeCell ref="H2:J2"/>
    <mergeCell ref="K2:K3"/>
    <mergeCell ref="V2:V3"/>
    <mergeCell ref="X2:X3"/>
    <mergeCell ref="O3:O4"/>
    <mergeCell ref="L2:L3"/>
    <mergeCell ref="M2:M3"/>
    <mergeCell ref="N2:N3"/>
    <mergeCell ref="O2:S2"/>
    <mergeCell ref="T2:T3"/>
    <mergeCell ref="U2:U3"/>
  </mergeCells>
  <conditionalFormatting sqref="B2 B100:B1048576 A65 A93:A94 A82:A91 A25 A75:A76 A78:A80 A49:A60 A67 A62:A63 A38:A43 A69 A28:A30 A20:A23">
    <cfRule type="containsText" dxfId="1977" priority="180" operator="containsText" text="OK">
      <formula>NOT(ISERROR(SEARCH("OK",A2)))</formula>
    </cfRule>
  </conditionalFormatting>
  <conditionalFormatting sqref="B2 B100:B1048576 A65 A93:A94 A82:A91 A25 A75:A76 A78:A80 A49:A60 A67 A62:A63 A38:A43 A69 A28:A30 A20:A23">
    <cfRule type="containsText" dxfId="1976" priority="179" operator="containsText" text="ok">
      <formula>NOT(ISERROR(SEARCH("ok",A2)))</formula>
    </cfRule>
  </conditionalFormatting>
  <conditionalFormatting sqref="B54:B65 B67">
    <cfRule type="containsText" dxfId="1975" priority="178" operator="containsText" text="OK">
      <formula>NOT(ISERROR(SEARCH("OK",B54)))</formula>
    </cfRule>
  </conditionalFormatting>
  <conditionalFormatting sqref="B54:B65 B67">
    <cfRule type="containsText" dxfId="1974" priority="177" operator="containsText" text="ok">
      <formula>NOT(ISERROR(SEARCH("ok",B54)))</formula>
    </cfRule>
  </conditionalFormatting>
  <conditionalFormatting sqref="B91">
    <cfRule type="containsText" dxfId="1973" priority="176" operator="containsText" text="OK">
      <formula>NOT(ISERROR(SEARCH("OK",B91)))</formula>
    </cfRule>
  </conditionalFormatting>
  <conditionalFormatting sqref="B91">
    <cfRule type="containsText" dxfId="1972" priority="175" operator="containsText" text="ok">
      <formula>NOT(ISERROR(SEARCH("ok",B91)))</formula>
    </cfRule>
  </conditionalFormatting>
  <conditionalFormatting sqref="A2 A100:A1048576">
    <cfRule type="containsText" dxfId="1971" priority="174" operator="containsText" text="OK">
      <formula>NOT(ISERROR(SEARCH("OK",A2)))</formula>
    </cfRule>
  </conditionalFormatting>
  <conditionalFormatting sqref="A2 A100:A1048576">
    <cfRule type="containsText" dxfId="1970" priority="173" operator="containsText" text="ok">
      <formula>NOT(ISERROR(SEARCH("ok",A2)))</formula>
    </cfRule>
  </conditionalFormatting>
  <conditionalFormatting sqref="A95">
    <cfRule type="containsText" dxfId="1969" priority="172" operator="containsText" text="OK">
      <formula>NOT(ISERROR(SEARCH("OK",A95)))</formula>
    </cfRule>
  </conditionalFormatting>
  <conditionalFormatting sqref="A95">
    <cfRule type="containsText" dxfId="1968" priority="171" operator="containsText" text="ok">
      <formula>NOT(ISERROR(SEARCH("ok",A95)))</formula>
    </cfRule>
  </conditionalFormatting>
  <conditionalFormatting sqref="A96">
    <cfRule type="containsText" dxfId="1967" priority="170" operator="containsText" text="OK">
      <formula>NOT(ISERROR(SEARCH("OK",A96)))</formula>
    </cfRule>
  </conditionalFormatting>
  <conditionalFormatting sqref="A96">
    <cfRule type="containsText" dxfId="1966" priority="169" operator="containsText" text="ok">
      <formula>NOT(ISERROR(SEARCH("ok",A96)))</formula>
    </cfRule>
  </conditionalFormatting>
  <conditionalFormatting sqref="A97">
    <cfRule type="containsText" dxfId="1965" priority="168" operator="containsText" text="OK">
      <formula>NOT(ISERROR(SEARCH("OK",A97)))</formula>
    </cfRule>
  </conditionalFormatting>
  <conditionalFormatting sqref="A97">
    <cfRule type="containsText" dxfId="1964" priority="167" operator="containsText" text="ok">
      <formula>NOT(ISERROR(SEARCH("ok",A97)))</formula>
    </cfRule>
  </conditionalFormatting>
  <conditionalFormatting sqref="A98">
    <cfRule type="containsText" dxfId="1963" priority="166" operator="containsText" text="OK">
      <formula>NOT(ISERROR(SEARCH("OK",A98)))</formula>
    </cfRule>
  </conditionalFormatting>
  <conditionalFormatting sqref="A98">
    <cfRule type="containsText" dxfId="1962" priority="165" operator="containsText" text="ok">
      <formula>NOT(ISERROR(SEARCH("ok",A98)))</formula>
    </cfRule>
  </conditionalFormatting>
  <conditionalFormatting sqref="A99">
    <cfRule type="containsText" dxfId="1961" priority="164" operator="containsText" text="OK">
      <formula>NOT(ISERROR(SEARCH("OK",A99)))</formula>
    </cfRule>
  </conditionalFormatting>
  <conditionalFormatting sqref="A99">
    <cfRule type="containsText" dxfId="1960" priority="163" operator="containsText" text="ok">
      <formula>NOT(ISERROR(SEARCH("ok",A99)))</formula>
    </cfRule>
  </conditionalFormatting>
  <conditionalFormatting sqref="B87">
    <cfRule type="containsText" dxfId="1959" priority="162" operator="containsText" text="OK">
      <formula>NOT(ISERROR(SEARCH("OK",B87)))</formula>
    </cfRule>
  </conditionalFormatting>
  <conditionalFormatting sqref="B87">
    <cfRule type="containsText" dxfId="1958" priority="161" operator="containsText" text="ok">
      <formula>NOT(ISERROR(SEARCH("ok",B87)))</formula>
    </cfRule>
  </conditionalFormatting>
  <conditionalFormatting sqref="B82">
    <cfRule type="containsText" dxfId="1957" priority="160" operator="containsText" text="OK">
      <formula>NOT(ISERROR(SEARCH("OK",B82)))</formula>
    </cfRule>
  </conditionalFormatting>
  <conditionalFormatting sqref="B82">
    <cfRule type="containsText" dxfId="1956" priority="159" operator="containsText" text="ok">
      <formula>NOT(ISERROR(SEARCH("ok",B82)))</formula>
    </cfRule>
  </conditionalFormatting>
  <conditionalFormatting sqref="B83">
    <cfRule type="containsText" dxfId="1955" priority="158" operator="containsText" text="OK">
      <formula>NOT(ISERROR(SEARCH("OK",B83)))</formula>
    </cfRule>
  </conditionalFormatting>
  <conditionalFormatting sqref="B83">
    <cfRule type="containsText" dxfId="1954" priority="157" operator="containsText" text="ok">
      <formula>NOT(ISERROR(SEARCH("ok",B83)))</formula>
    </cfRule>
  </conditionalFormatting>
  <conditionalFormatting sqref="B84">
    <cfRule type="containsText" dxfId="1953" priority="156" operator="containsText" text="OK">
      <formula>NOT(ISERROR(SEARCH("OK",B84)))</formula>
    </cfRule>
  </conditionalFormatting>
  <conditionalFormatting sqref="B84">
    <cfRule type="containsText" dxfId="1952" priority="155" operator="containsText" text="ok">
      <formula>NOT(ISERROR(SEARCH("ok",B84)))</formula>
    </cfRule>
  </conditionalFormatting>
  <conditionalFormatting sqref="B85">
    <cfRule type="containsText" dxfId="1951" priority="154" operator="containsText" text="OK">
      <formula>NOT(ISERROR(SEARCH("OK",B85)))</formula>
    </cfRule>
  </conditionalFormatting>
  <conditionalFormatting sqref="B85">
    <cfRule type="containsText" dxfId="1950" priority="153" operator="containsText" text="ok">
      <formula>NOT(ISERROR(SEARCH("ok",B85)))</formula>
    </cfRule>
  </conditionalFormatting>
  <conditionalFormatting sqref="B86">
    <cfRule type="containsText" dxfId="1949" priority="152" operator="containsText" text="OK">
      <formula>NOT(ISERROR(SEARCH("OK",B86)))</formula>
    </cfRule>
  </conditionalFormatting>
  <conditionalFormatting sqref="B86">
    <cfRule type="containsText" dxfId="1948" priority="151" operator="containsText" text="ok">
      <formula>NOT(ISERROR(SEARCH("ok",B86)))</formula>
    </cfRule>
  </conditionalFormatting>
  <conditionalFormatting sqref="A45">
    <cfRule type="containsText" dxfId="1947" priority="150" operator="containsText" text="OK">
      <formula>NOT(ISERROR(SEARCH("OK",A45)))</formula>
    </cfRule>
  </conditionalFormatting>
  <conditionalFormatting sqref="A45">
    <cfRule type="containsText" dxfId="1946" priority="149" operator="containsText" text="ok">
      <formula>NOT(ISERROR(SEARCH("ok",A45)))</formula>
    </cfRule>
  </conditionalFormatting>
  <conditionalFormatting sqref="B69">
    <cfRule type="containsText" dxfId="1945" priority="148" operator="containsText" text="OK">
      <formula>NOT(ISERROR(SEARCH("OK",B69)))</formula>
    </cfRule>
  </conditionalFormatting>
  <conditionalFormatting sqref="B69">
    <cfRule type="containsText" dxfId="1944" priority="147" operator="containsText" text="ok">
      <formula>NOT(ISERROR(SEARCH("ok",B69)))</formula>
    </cfRule>
  </conditionalFormatting>
  <conditionalFormatting sqref="B88">
    <cfRule type="containsText" dxfId="1943" priority="146" operator="containsText" text="OK">
      <formula>NOT(ISERROR(SEARCH("OK",B88)))</formula>
    </cfRule>
  </conditionalFormatting>
  <conditionalFormatting sqref="B88">
    <cfRule type="containsText" dxfId="1942" priority="145" operator="containsText" text="ok">
      <formula>NOT(ISERROR(SEARCH("ok",B88)))</formula>
    </cfRule>
  </conditionalFormatting>
  <conditionalFormatting sqref="A92">
    <cfRule type="containsText" dxfId="1941" priority="144" operator="containsText" text="OK">
      <formula>NOT(ISERROR(SEARCH("OK",A92)))</formula>
    </cfRule>
  </conditionalFormatting>
  <conditionalFormatting sqref="A92">
    <cfRule type="containsText" dxfId="1940" priority="143" operator="containsText" text="ok">
      <formula>NOT(ISERROR(SEARCH("ok",A92)))</formula>
    </cfRule>
  </conditionalFormatting>
  <conditionalFormatting sqref="B87">
    <cfRule type="containsText" dxfId="1939" priority="142" operator="containsText" text="OK">
      <formula>NOT(ISERROR(SEARCH("OK",B87)))</formula>
    </cfRule>
  </conditionalFormatting>
  <conditionalFormatting sqref="B87">
    <cfRule type="containsText" dxfId="1938" priority="141" operator="containsText" text="ok">
      <formula>NOT(ISERROR(SEARCH("ok",B87)))</formula>
    </cfRule>
  </conditionalFormatting>
  <conditionalFormatting sqref="B83">
    <cfRule type="containsText" dxfId="1937" priority="140" operator="containsText" text="OK">
      <formula>NOT(ISERROR(SEARCH("OK",B83)))</formula>
    </cfRule>
  </conditionalFormatting>
  <conditionalFormatting sqref="B83">
    <cfRule type="containsText" dxfId="1936" priority="139" operator="containsText" text="ok">
      <formula>NOT(ISERROR(SEARCH("ok",B83)))</formula>
    </cfRule>
  </conditionalFormatting>
  <conditionalFormatting sqref="B84">
    <cfRule type="containsText" dxfId="1935" priority="138" operator="containsText" text="OK">
      <formula>NOT(ISERROR(SEARCH("OK",B84)))</formula>
    </cfRule>
  </conditionalFormatting>
  <conditionalFormatting sqref="B84">
    <cfRule type="containsText" dxfId="1934" priority="137" operator="containsText" text="ok">
      <formula>NOT(ISERROR(SEARCH("ok",B84)))</formula>
    </cfRule>
  </conditionalFormatting>
  <conditionalFormatting sqref="A88">
    <cfRule type="containsText" dxfId="1933" priority="136" operator="containsText" text="OK">
      <formula>NOT(ISERROR(SEARCH("OK",A88)))</formula>
    </cfRule>
  </conditionalFormatting>
  <conditionalFormatting sqref="A88">
    <cfRule type="containsText" dxfId="1932" priority="135" operator="containsText" text="ok">
      <formula>NOT(ISERROR(SEARCH("ok",A88)))</formula>
    </cfRule>
  </conditionalFormatting>
  <conditionalFormatting sqref="A81">
    <cfRule type="containsText" dxfId="1931" priority="134" operator="containsText" text="OK">
      <formula>NOT(ISERROR(SEARCH("OK",A81)))</formula>
    </cfRule>
  </conditionalFormatting>
  <conditionalFormatting sqref="A81">
    <cfRule type="containsText" dxfId="1930" priority="133" operator="containsText" text="ok">
      <formula>NOT(ISERROR(SEARCH("ok",A81)))</formula>
    </cfRule>
  </conditionalFormatting>
  <conditionalFormatting sqref="B81">
    <cfRule type="containsText" dxfId="1929" priority="132" operator="containsText" text="OK">
      <formula>NOT(ISERROR(SEARCH("OK",B81)))</formula>
    </cfRule>
  </conditionalFormatting>
  <conditionalFormatting sqref="B81">
    <cfRule type="containsText" dxfId="1928" priority="131" operator="containsText" text="ok">
      <formula>NOT(ISERROR(SEARCH("ok",B81)))</formula>
    </cfRule>
  </conditionalFormatting>
  <conditionalFormatting sqref="A61">
    <cfRule type="containsText" dxfId="1927" priority="130" operator="containsText" text="OK">
      <formula>NOT(ISERROR(SEARCH("OK",A61)))</formula>
    </cfRule>
  </conditionalFormatting>
  <conditionalFormatting sqref="A61">
    <cfRule type="containsText" dxfId="1926" priority="129" operator="containsText" text="ok">
      <formula>NOT(ISERROR(SEARCH("ok",A61)))</formula>
    </cfRule>
  </conditionalFormatting>
  <conditionalFormatting sqref="B66">
    <cfRule type="containsText" dxfId="1925" priority="126" operator="containsText" text="OK">
      <formula>NOT(ISERROR(SEARCH("OK",B66)))</formula>
    </cfRule>
  </conditionalFormatting>
  <conditionalFormatting sqref="B66">
    <cfRule type="containsText" dxfId="1924" priority="125" operator="containsText" text="ok">
      <formula>NOT(ISERROR(SEARCH("ok",B66)))</formula>
    </cfRule>
  </conditionalFormatting>
  <conditionalFormatting sqref="A66">
    <cfRule type="containsText" dxfId="1923" priority="128" operator="containsText" text="OK">
      <formula>NOT(ISERROR(SEARCH("OK",A66)))</formula>
    </cfRule>
  </conditionalFormatting>
  <conditionalFormatting sqref="A66">
    <cfRule type="containsText" dxfId="1922" priority="127" operator="containsText" text="ok">
      <formula>NOT(ISERROR(SEARCH("ok",A66)))</formula>
    </cfRule>
  </conditionalFormatting>
  <conditionalFormatting sqref="B75">
    <cfRule type="containsText" dxfId="1921" priority="122" operator="containsText" text="OK">
      <formula>NOT(ISERROR(SEARCH("OK",B75)))</formula>
    </cfRule>
  </conditionalFormatting>
  <conditionalFormatting sqref="B75">
    <cfRule type="containsText" dxfId="1920" priority="121" operator="containsText" text="ok">
      <formula>NOT(ISERROR(SEARCH("ok",B75)))</formula>
    </cfRule>
  </conditionalFormatting>
  <conditionalFormatting sqref="B74">
    <cfRule type="containsText" dxfId="1919" priority="124" operator="containsText" text="OK">
      <formula>NOT(ISERROR(SEARCH("OK",B74)))</formula>
    </cfRule>
  </conditionalFormatting>
  <conditionalFormatting sqref="B74">
    <cfRule type="containsText" dxfId="1918" priority="123" operator="containsText" text="ok">
      <formula>NOT(ISERROR(SEARCH("ok",B74)))</formula>
    </cfRule>
  </conditionalFormatting>
  <conditionalFormatting sqref="B76">
    <cfRule type="containsText" dxfId="1917" priority="120" operator="containsText" text="OK">
      <formula>NOT(ISERROR(SEARCH("OK",B76)))</formula>
    </cfRule>
  </conditionalFormatting>
  <conditionalFormatting sqref="B76">
    <cfRule type="containsText" dxfId="1916" priority="119" operator="containsText" text="ok">
      <formula>NOT(ISERROR(SEARCH("ok",B76)))</formula>
    </cfRule>
  </conditionalFormatting>
  <conditionalFormatting sqref="B77">
    <cfRule type="containsText" dxfId="1915" priority="118" operator="containsText" text="OK">
      <formula>NOT(ISERROR(SEARCH("OK",B77)))</formula>
    </cfRule>
  </conditionalFormatting>
  <conditionalFormatting sqref="B77">
    <cfRule type="containsText" dxfId="1914" priority="117" operator="containsText" text="ok">
      <formula>NOT(ISERROR(SEARCH("ok",B77)))</formula>
    </cfRule>
  </conditionalFormatting>
  <conditionalFormatting sqref="B78">
    <cfRule type="containsText" dxfId="1913" priority="116" operator="containsText" text="OK">
      <formula>NOT(ISERROR(SEARCH("OK",B78)))</formula>
    </cfRule>
  </conditionalFormatting>
  <conditionalFormatting sqref="B78">
    <cfRule type="containsText" dxfId="1912" priority="115" operator="containsText" text="ok">
      <formula>NOT(ISERROR(SEARCH("ok",B78)))</formula>
    </cfRule>
  </conditionalFormatting>
  <conditionalFormatting sqref="A77">
    <cfRule type="containsText" dxfId="1911" priority="114" operator="containsText" text="OK">
      <formula>NOT(ISERROR(SEARCH("OK",A77)))</formula>
    </cfRule>
  </conditionalFormatting>
  <conditionalFormatting sqref="A77">
    <cfRule type="containsText" dxfId="1910" priority="113" operator="containsText" text="ok">
      <formula>NOT(ISERROR(SEARCH("ok",A77)))</formula>
    </cfRule>
  </conditionalFormatting>
  <conditionalFormatting sqref="A48">
    <cfRule type="containsText" dxfId="1909" priority="112" operator="containsText" text="OK">
      <formula>NOT(ISERROR(SEARCH("OK",A48)))</formula>
    </cfRule>
  </conditionalFormatting>
  <conditionalFormatting sqref="A48">
    <cfRule type="containsText" dxfId="1908" priority="111" operator="containsText" text="ok">
      <formula>NOT(ISERROR(SEARCH("ok",A48)))</formula>
    </cfRule>
  </conditionalFormatting>
  <conditionalFormatting sqref="A74">
    <cfRule type="containsText" dxfId="1907" priority="110" operator="containsText" text="OK">
      <formula>NOT(ISERROR(SEARCH("OK",A74)))</formula>
    </cfRule>
  </conditionalFormatting>
  <conditionalFormatting sqref="A74">
    <cfRule type="containsText" dxfId="1906" priority="109" operator="containsText" text="ok">
      <formula>NOT(ISERROR(SEARCH("ok",A74)))</formula>
    </cfRule>
  </conditionalFormatting>
  <conditionalFormatting sqref="A44">
    <cfRule type="containsText" dxfId="1905" priority="108" operator="containsText" text="OK">
      <formula>NOT(ISERROR(SEARCH("OK",A44)))</formula>
    </cfRule>
  </conditionalFormatting>
  <conditionalFormatting sqref="A44">
    <cfRule type="containsText" dxfId="1904" priority="107" operator="containsText" text="ok">
      <formula>NOT(ISERROR(SEARCH("ok",A44)))</formula>
    </cfRule>
  </conditionalFormatting>
  <conditionalFormatting sqref="A64">
    <cfRule type="containsText" dxfId="1903" priority="106" operator="containsText" text="OK">
      <formula>NOT(ISERROR(SEARCH("OK",A64)))</formula>
    </cfRule>
  </conditionalFormatting>
  <conditionalFormatting sqref="A64">
    <cfRule type="containsText" dxfId="1902" priority="105" operator="containsText" text="ok">
      <formula>NOT(ISERROR(SEARCH("ok",A64)))</formula>
    </cfRule>
  </conditionalFormatting>
  <conditionalFormatting sqref="A38">
    <cfRule type="containsText" dxfId="1901" priority="104" operator="containsText" text="OK">
      <formula>NOT(ISERROR(SEARCH("OK",A38)))</formula>
    </cfRule>
  </conditionalFormatting>
  <conditionalFormatting sqref="A38">
    <cfRule type="containsText" dxfId="1900" priority="103" operator="containsText" text="ok">
      <formula>NOT(ISERROR(SEARCH("ok",A38)))</formula>
    </cfRule>
  </conditionalFormatting>
  <conditionalFormatting sqref="A46">
    <cfRule type="containsText" dxfId="1899" priority="102" operator="containsText" text="OK">
      <formula>NOT(ISERROR(SEARCH("OK",A46)))</formula>
    </cfRule>
  </conditionalFormatting>
  <conditionalFormatting sqref="A46">
    <cfRule type="containsText" dxfId="1898" priority="101" operator="containsText" text="ok">
      <formula>NOT(ISERROR(SEARCH("ok",A46)))</formula>
    </cfRule>
  </conditionalFormatting>
  <conditionalFormatting sqref="A47">
    <cfRule type="containsText" dxfId="1897" priority="100" operator="containsText" text="OK">
      <formula>NOT(ISERROR(SEARCH("OK",A47)))</formula>
    </cfRule>
  </conditionalFormatting>
  <conditionalFormatting sqref="A47">
    <cfRule type="containsText" dxfId="1896" priority="99" operator="containsText" text="ok">
      <formula>NOT(ISERROR(SEARCH("ok",A47)))</formula>
    </cfRule>
  </conditionalFormatting>
  <conditionalFormatting sqref="A68">
    <cfRule type="containsText" dxfId="1895" priority="98" operator="containsText" text="OK">
      <formula>NOT(ISERROR(SEARCH("OK",A68)))</formula>
    </cfRule>
  </conditionalFormatting>
  <conditionalFormatting sqref="A68">
    <cfRule type="containsText" dxfId="1894" priority="97" operator="containsText" text="ok">
      <formula>NOT(ISERROR(SEARCH("ok",A68)))</formula>
    </cfRule>
  </conditionalFormatting>
  <conditionalFormatting sqref="B68">
    <cfRule type="containsText" dxfId="1893" priority="96" operator="containsText" text="OK">
      <formula>NOT(ISERROR(SEARCH("OK",B68)))</formula>
    </cfRule>
  </conditionalFormatting>
  <conditionalFormatting sqref="B68">
    <cfRule type="containsText" dxfId="1892" priority="95" operator="containsText" text="ok">
      <formula>NOT(ISERROR(SEARCH("ok",B68)))</formula>
    </cfRule>
  </conditionalFormatting>
  <conditionalFormatting sqref="A66">
    <cfRule type="containsText" dxfId="1891" priority="94" operator="containsText" text="OK">
      <formula>NOT(ISERROR(SEARCH("OK",A66)))</formula>
    </cfRule>
  </conditionalFormatting>
  <conditionalFormatting sqref="A66">
    <cfRule type="containsText" dxfId="1890" priority="93" operator="containsText" text="ok">
      <formula>NOT(ISERROR(SEARCH("ok",A66)))</formula>
    </cfRule>
  </conditionalFormatting>
  <conditionalFormatting sqref="B66">
    <cfRule type="containsText" dxfId="1889" priority="92" operator="containsText" text="OK">
      <formula>NOT(ISERROR(SEARCH("OK",B66)))</formula>
    </cfRule>
  </conditionalFormatting>
  <conditionalFormatting sqref="B66">
    <cfRule type="containsText" dxfId="1888" priority="91" operator="containsText" text="ok">
      <formula>NOT(ISERROR(SEARCH("ok",B66)))</formula>
    </cfRule>
  </conditionalFormatting>
  <conditionalFormatting sqref="B65">
    <cfRule type="containsText" dxfId="1887" priority="88" operator="containsText" text="OK">
      <formula>NOT(ISERROR(SEARCH("OK",B65)))</formula>
    </cfRule>
  </conditionalFormatting>
  <conditionalFormatting sqref="B65">
    <cfRule type="containsText" dxfId="1886" priority="87" operator="containsText" text="ok">
      <formula>NOT(ISERROR(SEARCH("ok",B65)))</formula>
    </cfRule>
  </conditionalFormatting>
  <conditionalFormatting sqref="A65">
    <cfRule type="containsText" dxfId="1885" priority="90" operator="containsText" text="OK">
      <formula>NOT(ISERROR(SEARCH("OK",A65)))</formula>
    </cfRule>
  </conditionalFormatting>
  <conditionalFormatting sqref="A65">
    <cfRule type="containsText" dxfId="1884" priority="89" operator="containsText" text="ok">
      <formula>NOT(ISERROR(SEARCH("ok",A65)))</formula>
    </cfRule>
  </conditionalFormatting>
  <conditionalFormatting sqref="A67">
    <cfRule type="containsText" dxfId="1883" priority="86" operator="containsText" text="OK">
      <formula>NOT(ISERROR(SEARCH("OK",A67)))</formula>
    </cfRule>
  </conditionalFormatting>
  <conditionalFormatting sqref="A67">
    <cfRule type="containsText" dxfId="1882" priority="85" operator="containsText" text="ok">
      <formula>NOT(ISERROR(SEARCH("ok",A67)))</formula>
    </cfRule>
  </conditionalFormatting>
  <conditionalFormatting sqref="B67">
    <cfRule type="containsText" dxfId="1881" priority="84" operator="containsText" text="OK">
      <formula>NOT(ISERROR(SEARCH("OK",B67)))</formula>
    </cfRule>
  </conditionalFormatting>
  <conditionalFormatting sqref="B67">
    <cfRule type="containsText" dxfId="1880" priority="83" operator="containsText" text="ok">
      <formula>NOT(ISERROR(SEARCH("ok",B67)))</formula>
    </cfRule>
  </conditionalFormatting>
  <conditionalFormatting sqref="B70">
    <cfRule type="containsText" dxfId="1879" priority="82" operator="containsText" text="OK">
      <formula>NOT(ISERROR(SEARCH("OK",B70)))</formula>
    </cfRule>
  </conditionalFormatting>
  <conditionalFormatting sqref="B70">
    <cfRule type="containsText" dxfId="1878" priority="81" operator="containsText" text="ok">
      <formula>NOT(ISERROR(SEARCH("ok",B70)))</formula>
    </cfRule>
  </conditionalFormatting>
  <conditionalFormatting sqref="A70">
    <cfRule type="containsText" dxfId="1877" priority="80" operator="containsText" text="OK">
      <formula>NOT(ISERROR(SEARCH("OK",A70)))</formula>
    </cfRule>
  </conditionalFormatting>
  <conditionalFormatting sqref="A70">
    <cfRule type="containsText" dxfId="1876" priority="79" operator="containsText" text="ok">
      <formula>NOT(ISERROR(SEARCH("ok",A70)))</formula>
    </cfRule>
  </conditionalFormatting>
  <conditionalFormatting sqref="A71">
    <cfRule type="containsText" dxfId="1875" priority="78" operator="containsText" text="OK">
      <formula>NOT(ISERROR(SEARCH("OK",A71)))</formula>
    </cfRule>
  </conditionalFormatting>
  <conditionalFormatting sqref="A71">
    <cfRule type="containsText" dxfId="1874" priority="77" operator="containsText" text="ok">
      <formula>NOT(ISERROR(SEARCH("ok",A71)))</formula>
    </cfRule>
  </conditionalFormatting>
  <conditionalFormatting sqref="B71">
    <cfRule type="containsText" dxfId="1873" priority="76" operator="containsText" text="OK">
      <formula>NOT(ISERROR(SEARCH("OK",B71)))</formula>
    </cfRule>
  </conditionalFormatting>
  <conditionalFormatting sqref="B71">
    <cfRule type="containsText" dxfId="1872" priority="75" operator="containsText" text="ok">
      <formula>NOT(ISERROR(SEARCH("ok",B71)))</formula>
    </cfRule>
  </conditionalFormatting>
  <conditionalFormatting sqref="A71">
    <cfRule type="containsText" dxfId="1871" priority="74" operator="containsText" text="OK">
      <formula>NOT(ISERROR(SEARCH("OK",A71)))</formula>
    </cfRule>
  </conditionalFormatting>
  <conditionalFormatting sqref="A71">
    <cfRule type="containsText" dxfId="1870" priority="73" operator="containsText" text="ok">
      <formula>NOT(ISERROR(SEARCH("ok",A71)))</formula>
    </cfRule>
  </conditionalFormatting>
  <conditionalFormatting sqref="B71">
    <cfRule type="containsText" dxfId="1869" priority="72" operator="containsText" text="OK">
      <formula>NOT(ISERROR(SEARCH("OK",B71)))</formula>
    </cfRule>
  </conditionalFormatting>
  <conditionalFormatting sqref="B71">
    <cfRule type="containsText" dxfId="1868" priority="71" operator="containsText" text="ok">
      <formula>NOT(ISERROR(SEARCH("ok",B71)))</formula>
    </cfRule>
  </conditionalFormatting>
  <conditionalFormatting sqref="A72">
    <cfRule type="containsText" dxfId="1867" priority="70" operator="containsText" text="OK">
      <formula>NOT(ISERROR(SEARCH("OK",A72)))</formula>
    </cfRule>
  </conditionalFormatting>
  <conditionalFormatting sqref="A72">
    <cfRule type="containsText" dxfId="1866" priority="69" operator="containsText" text="ok">
      <formula>NOT(ISERROR(SEARCH("ok",A72)))</formula>
    </cfRule>
  </conditionalFormatting>
  <conditionalFormatting sqref="B72">
    <cfRule type="containsText" dxfId="1865" priority="68" operator="containsText" text="OK">
      <formula>NOT(ISERROR(SEARCH("OK",B72)))</formula>
    </cfRule>
  </conditionalFormatting>
  <conditionalFormatting sqref="B72">
    <cfRule type="containsText" dxfId="1864" priority="67" operator="containsText" text="ok">
      <formula>NOT(ISERROR(SEARCH("ok",B72)))</formula>
    </cfRule>
  </conditionalFormatting>
  <conditionalFormatting sqref="B73">
    <cfRule type="containsText" dxfId="1863" priority="64" operator="containsText" text="OK">
      <formula>NOT(ISERROR(SEARCH("OK",B73)))</formula>
    </cfRule>
  </conditionalFormatting>
  <conditionalFormatting sqref="B73">
    <cfRule type="containsText" dxfId="1862" priority="63" operator="containsText" text="ok">
      <formula>NOT(ISERROR(SEARCH("ok",B73)))</formula>
    </cfRule>
  </conditionalFormatting>
  <conditionalFormatting sqref="A73">
    <cfRule type="containsText" dxfId="1861" priority="66" operator="containsText" text="OK">
      <formula>NOT(ISERROR(SEARCH("OK",A73)))</formula>
    </cfRule>
  </conditionalFormatting>
  <conditionalFormatting sqref="A73">
    <cfRule type="containsText" dxfId="1860" priority="65" operator="containsText" text="ok">
      <formula>NOT(ISERROR(SEARCH("ok",A73)))</formula>
    </cfRule>
  </conditionalFormatting>
  <conditionalFormatting sqref="A73">
    <cfRule type="containsText" dxfId="1859" priority="62" operator="containsText" text="OK">
      <formula>NOT(ISERROR(SEARCH("OK",A73)))</formula>
    </cfRule>
  </conditionalFormatting>
  <conditionalFormatting sqref="A73">
    <cfRule type="containsText" dxfId="1858" priority="61" operator="containsText" text="ok">
      <formula>NOT(ISERROR(SEARCH("ok",A73)))</formula>
    </cfRule>
  </conditionalFormatting>
  <conditionalFormatting sqref="B73">
    <cfRule type="containsText" dxfId="1857" priority="60" operator="containsText" text="OK">
      <formula>NOT(ISERROR(SEARCH("OK",B73)))</formula>
    </cfRule>
  </conditionalFormatting>
  <conditionalFormatting sqref="B73">
    <cfRule type="containsText" dxfId="1856" priority="59" operator="containsText" text="ok">
      <formula>NOT(ISERROR(SEARCH("ok",B73)))</formula>
    </cfRule>
  </conditionalFormatting>
  <conditionalFormatting sqref="B72">
    <cfRule type="containsText" dxfId="1855" priority="56" operator="containsText" text="OK">
      <formula>NOT(ISERROR(SEARCH("OK",B72)))</formula>
    </cfRule>
  </conditionalFormatting>
  <conditionalFormatting sqref="B72">
    <cfRule type="containsText" dxfId="1854" priority="55" operator="containsText" text="ok">
      <formula>NOT(ISERROR(SEARCH("ok",B72)))</formula>
    </cfRule>
  </conditionalFormatting>
  <conditionalFormatting sqref="A72">
    <cfRule type="containsText" dxfId="1853" priority="58" operator="containsText" text="OK">
      <formula>NOT(ISERROR(SEARCH("OK",A72)))</formula>
    </cfRule>
  </conditionalFormatting>
  <conditionalFormatting sqref="A72">
    <cfRule type="containsText" dxfId="1852" priority="57" operator="containsText" text="ok">
      <formula>NOT(ISERROR(SEARCH("ok",A72)))</formula>
    </cfRule>
  </conditionalFormatting>
  <conditionalFormatting sqref="A31">
    <cfRule type="containsText" dxfId="1851" priority="34" operator="containsText" text="OK">
      <formula>NOT(ISERROR(SEARCH("OK",A31)))</formula>
    </cfRule>
  </conditionalFormatting>
  <conditionalFormatting sqref="A31">
    <cfRule type="containsText" dxfId="1850" priority="33" operator="containsText" text="ok">
      <formula>NOT(ISERROR(SEARCH("ok",A31)))</formula>
    </cfRule>
  </conditionalFormatting>
  <conditionalFormatting sqref="A32">
    <cfRule type="containsText" dxfId="1849" priority="32" operator="containsText" text="OK">
      <formula>NOT(ISERROR(SEARCH("OK",A32)))</formula>
    </cfRule>
  </conditionalFormatting>
  <conditionalFormatting sqref="A32">
    <cfRule type="containsText" dxfId="1848" priority="31" operator="containsText" text="ok">
      <formula>NOT(ISERROR(SEARCH("ok",A32)))</formula>
    </cfRule>
  </conditionalFormatting>
  <conditionalFormatting sqref="A33">
    <cfRule type="containsText" dxfId="1847" priority="30" operator="containsText" text="OK">
      <formula>NOT(ISERROR(SEARCH("OK",A33)))</formula>
    </cfRule>
  </conditionalFormatting>
  <conditionalFormatting sqref="A33">
    <cfRule type="containsText" dxfId="1846" priority="29" operator="containsText" text="ok">
      <formula>NOT(ISERROR(SEARCH("ok",A33)))</formula>
    </cfRule>
  </conditionalFormatting>
  <conditionalFormatting sqref="A35">
    <cfRule type="containsText" dxfId="1845" priority="26" operator="containsText" text="OK">
      <formula>NOT(ISERROR(SEARCH("OK",A35)))</formula>
    </cfRule>
  </conditionalFormatting>
  <conditionalFormatting sqref="A35">
    <cfRule type="containsText" dxfId="1844" priority="25" operator="containsText" text="ok">
      <formula>NOT(ISERROR(SEARCH("ok",A35)))</formula>
    </cfRule>
  </conditionalFormatting>
  <conditionalFormatting sqref="A36">
    <cfRule type="containsText" dxfId="1843" priority="24" operator="containsText" text="OK">
      <formula>NOT(ISERROR(SEARCH("OK",A36)))</formula>
    </cfRule>
  </conditionalFormatting>
  <conditionalFormatting sqref="A36">
    <cfRule type="containsText" dxfId="1842" priority="23" operator="containsText" text="ok">
      <formula>NOT(ISERROR(SEARCH("ok",A36)))</formula>
    </cfRule>
  </conditionalFormatting>
  <conditionalFormatting sqref="A37">
    <cfRule type="containsText" dxfId="1841" priority="22" operator="containsText" text="OK">
      <formula>NOT(ISERROR(SEARCH("OK",A37)))</formula>
    </cfRule>
  </conditionalFormatting>
  <conditionalFormatting sqref="A37">
    <cfRule type="containsText" dxfId="1840" priority="21" operator="containsText" text="ok">
      <formula>NOT(ISERROR(SEARCH("ok",A37)))</formula>
    </cfRule>
  </conditionalFormatting>
  <conditionalFormatting sqref="A27">
    <cfRule type="containsText" dxfId="1839" priority="20" operator="containsText" text="OK">
      <formula>NOT(ISERROR(SEARCH("OK",A27)))</formula>
    </cfRule>
  </conditionalFormatting>
  <conditionalFormatting sqref="A27">
    <cfRule type="containsText" dxfId="1838" priority="19" operator="containsText" text="ok">
      <formula>NOT(ISERROR(SEARCH("ok",A27)))</formula>
    </cfRule>
  </conditionalFormatting>
  <conditionalFormatting sqref="A28">
    <cfRule type="containsText" dxfId="1837" priority="18" operator="containsText" text="OK">
      <formula>NOT(ISERROR(SEARCH("OK",A28)))</formula>
    </cfRule>
  </conditionalFormatting>
  <conditionalFormatting sqref="A28">
    <cfRule type="containsText" dxfId="1836" priority="17" operator="containsText" text="ok">
      <formula>NOT(ISERROR(SEARCH("ok",A28)))</formula>
    </cfRule>
  </conditionalFormatting>
  <conditionalFormatting sqref="A34">
    <cfRule type="containsText" dxfId="1835" priority="16" operator="containsText" text="OK">
      <formula>NOT(ISERROR(SEARCH("OK",A34)))</formula>
    </cfRule>
  </conditionalFormatting>
  <conditionalFormatting sqref="A34">
    <cfRule type="containsText" dxfId="1834" priority="15" operator="containsText" text="ok">
      <formula>NOT(ISERROR(SEARCH("ok",A34)))</formula>
    </cfRule>
  </conditionalFormatting>
  <conditionalFormatting sqref="A8:A19">
    <cfRule type="containsText" dxfId="1833" priority="14" operator="containsText" text="OK">
      <formula>NOT(ISERROR(SEARCH("OK",A8)))</formula>
    </cfRule>
  </conditionalFormatting>
  <conditionalFormatting sqref="A8:A19">
    <cfRule type="containsText" dxfId="1832" priority="13" operator="containsText" text="ok">
      <formula>NOT(ISERROR(SEARCH("ok",A8)))</formula>
    </cfRule>
  </conditionalFormatting>
  <conditionalFormatting sqref="B13:B19">
    <cfRule type="containsText" dxfId="1831" priority="12" operator="containsText" text="OK">
      <formula>NOT(ISERROR(SEARCH("OK",B13)))</formula>
    </cfRule>
  </conditionalFormatting>
  <conditionalFormatting sqref="B13:B19">
    <cfRule type="containsText" dxfId="1830" priority="11" operator="containsText" text="ok">
      <formula>NOT(ISERROR(SEARCH("ok",B13)))</formula>
    </cfRule>
  </conditionalFormatting>
  <conditionalFormatting sqref="A4">
    <cfRule type="containsText" dxfId="1829" priority="10" operator="containsText" text="OK">
      <formula>NOT(ISERROR(SEARCH("OK",A4)))</formula>
    </cfRule>
  </conditionalFormatting>
  <conditionalFormatting sqref="A4">
    <cfRule type="containsText" dxfId="1828" priority="9" operator="containsText" text="ok">
      <formula>NOT(ISERROR(SEARCH("ok",A4)))</formula>
    </cfRule>
  </conditionalFormatting>
  <conditionalFormatting sqref="A7">
    <cfRule type="containsText" dxfId="1827" priority="8" operator="containsText" text="OK">
      <formula>NOT(ISERROR(SEARCH("OK",A7)))</formula>
    </cfRule>
  </conditionalFormatting>
  <conditionalFormatting sqref="A7">
    <cfRule type="containsText" dxfId="1826" priority="7" operator="containsText" text="ok">
      <formula>NOT(ISERROR(SEARCH("ok",A7)))</formula>
    </cfRule>
  </conditionalFormatting>
  <conditionalFormatting sqref="A5">
    <cfRule type="containsText" dxfId="1825" priority="6" operator="containsText" text="OK">
      <formula>NOT(ISERROR(SEARCH("OK",A5)))</formula>
    </cfRule>
  </conditionalFormatting>
  <conditionalFormatting sqref="A5">
    <cfRule type="containsText" dxfId="1824" priority="5" operator="containsText" text="ok">
      <formula>NOT(ISERROR(SEARCH("ok",A5)))</formula>
    </cfRule>
  </conditionalFormatting>
  <conditionalFormatting sqref="A6">
    <cfRule type="containsText" dxfId="1823" priority="4" operator="containsText" text="OK">
      <formula>NOT(ISERROR(SEARCH("OK",A6)))</formula>
    </cfRule>
  </conditionalFormatting>
  <conditionalFormatting sqref="A6">
    <cfRule type="containsText" dxfId="1822" priority="3" operator="containsText" text="ok">
      <formula>NOT(ISERROR(SEARCH("ok",A6)))</formula>
    </cfRule>
  </conditionalFormatting>
  <conditionalFormatting sqref="A24">
    <cfRule type="containsText" dxfId="1821" priority="2" operator="containsText" text="OK">
      <formula>NOT(ISERROR(SEARCH("OK",A24)))</formula>
    </cfRule>
  </conditionalFormatting>
  <conditionalFormatting sqref="A24">
    <cfRule type="containsText" dxfId="1820" priority="1" operator="containsText" text="ok">
      <formula>NOT(ISERROR(SEARCH("ok",A24)))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33" max="16383" man="1"/>
  </rowBreaks>
  <colBreaks count="1" manualBreakCount="1">
    <brk id="1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48434"/>
  <sheetViews>
    <sheetView zoomScale="86" zoomScaleNormal="86" workbookViewId="0">
      <pane xSplit="3" ySplit="3" topLeftCell="D4" activePane="bottomRight" state="frozen"/>
      <selection activeCell="C83" sqref="C83"/>
      <selection pane="topRight" activeCell="C83" sqref="C83"/>
      <selection pane="bottomLeft" activeCell="C83" sqref="C83"/>
      <selection pane="bottomRight" activeCell="A48" sqref="A48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187" customWidth="1"/>
    <col min="4" max="4" width="14.54296875" style="187" bestFit="1" customWidth="1"/>
    <col min="5" max="5" width="13.1796875" style="187" bestFit="1" customWidth="1"/>
    <col min="6" max="6" width="11.54296875" style="5" bestFit="1" customWidth="1"/>
    <col min="7" max="7" width="14.453125" style="6" bestFit="1" customWidth="1"/>
    <col min="8" max="8" width="8.81640625" style="187" hidden="1" customWidth="1"/>
    <col min="9" max="9" width="13.26953125" style="187" hidden="1" customWidth="1"/>
    <col min="10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187" hidden="1" customWidth="1"/>
    <col min="21" max="21" width="10.26953125" style="7" hidden="1" customWidth="1"/>
    <col min="22" max="22" width="9.81640625" style="187" hidden="1" customWidth="1"/>
    <col min="23" max="23" width="18.81640625" style="187" hidden="1" customWidth="1"/>
    <col min="24" max="24" width="30.26953125" style="187" customWidth="1"/>
    <col min="25" max="25" width="14.7265625" style="187" bestFit="1" customWidth="1"/>
    <col min="26" max="26" width="5" style="187" bestFit="1" customWidth="1"/>
    <col min="27" max="27" width="14.26953125" style="187" customWidth="1"/>
    <col min="28" max="28" width="14" style="187" bestFit="1" customWidth="1"/>
    <col min="29" max="16384" width="9.1796875" style="187"/>
  </cols>
  <sheetData>
    <row r="1" spans="1:27" x14ac:dyDescent="0.35">
      <c r="A1" s="226" t="s">
        <v>2</v>
      </c>
      <c r="B1" s="192" t="s">
        <v>2</v>
      </c>
      <c r="C1" s="193"/>
      <c r="D1" s="320">
        <f>D102</f>
        <v>125</v>
      </c>
      <c r="E1" s="193"/>
      <c r="F1" s="193"/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19" t="s">
        <v>350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2" t="s">
        <v>16</v>
      </c>
      <c r="X2" s="718" t="s">
        <v>16</v>
      </c>
    </row>
    <row r="3" spans="1:27" ht="29.5" thickBot="1" x14ac:dyDescent="0.4">
      <c r="A3" s="717"/>
      <c r="B3" s="719"/>
      <c r="C3" s="719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2"/>
      <c r="X3" s="718"/>
      <c r="Y3" s="8"/>
    </row>
    <row r="4" spans="1:27" ht="15" customHeight="1" x14ac:dyDescent="0.35">
      <c r="A4" s="245">
        <v>45019</v>
      </c>
      <c r="B4" s="245"/>
      <c r="C4" s="248" t="s">
        <v>279</v>
      </c>
      <c r="D4" s="15">
        <v>4</v>
      </c>
      <c r="E4" s="15"/>
      <c r="F4" s="9">
        <v>840</v>
      </c>
      <c r="G4" s="29">
        <f t="shared" ref="G4:G67" si="0">(F4*D4)+(E4*F4)</f>
        <v>3360</v>
      </c>
      <c r="H4" s="11"/>
      <c r="I4" s="10"/>
      <c r="J4" s="29">
        <f t="shared" ref="J4:J67" si="1">H4*I4</f>
        <v>0</v>
      </c>
      <c r="K4" s="29"/>
      <c r="L4" s="223">
        <f>(J4+G4)-K4</f>
        <v>3360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>IF(O4&gt;0,SUM(O4-(L4+P4))," ")</f>
        <v xml:space="preserve"> </v>
      </c>
      <c r="S4" s="189"/>
      <c r="T4" s="253" t="s">
        <v>1</v>
      </c>
      <c r="U4" s="13">
        <v>0</v>
      </c>
      <c r="V4" s="253" t="s">
        <v>10</v>
      </c>
      <c r="W4" s="253"/>
      <c r="X4" s="14"/>
    </row>
    <row r="5" spans="1:27" ht="15" customHeight="1" x14ac:dyDescent="0.35">
      <c r="A5" s="245">
        <v>45020</v>
      </c>
      <c r="B5" s="245"/>
      <c r="C5" s="248" t="s">
        <v>321</v>
      </c>
      <c r="D5" s="15">
        <v>1</v>
      </c>
      <c r="E5" s="15"/>
      <c r="F5" s="9">
        <v>880</v>
      </c>
      <c r="G5" s="29">
        <f t="shared" si="0"/>
        <v>880</v>
      </c>
      <c r="H5" s="11"/>
      <c r="I5" s="10"/>
      <c r="J5" s="29">
        <f t="shared" si="1"/>
        <v>0</v>
      </c>
      <c r="K5" s="29"/>
      <c r="L5" s="223">
        <f t="shared" ref="L5:L68" si="2">(J5+G5)-K5</f>
        <v>880</v>
      </c>
      <c r="M5" s="12"/>
      <c r="N5" s="218" t="str">
        <f t="shared" ref="N5:N61" si="3">IF(M5&gt;0,SUM(L5-M5)," ")</f>
        <v xml:space="preserve"> </v>
      </c>
      <c r="O5" s="189"/>
      <c r="P5" s="189"/>
      <c r="Q5" s="189"/>
      <c r="R5" s="189" t="str">
        <f t="shared" ref="R5:R100" si="4">IF(O5&gt;0,SUM(O5-(L5+P5))," ")</f>
        <v xml:space="preserve"> </v>
      </c>
      <c r="S5" s="189"/>
      <c r="T5" s="253" t="s">
        <v>1</v>
      </c>
      <c r="U5" s="13">
        <v>0</v>
      </c>
      <c r="V5" s="253" t="s">
        <v>10</v>
      </c>
      <c r="W5" s="253"/>
      <c r="X5" s="14"/>
    </row>
    <row r="6" spans="1:27" ht="15" customHeight="1" x14ac:dyDescent="0.35">
      <c r="A6" s="245">
        <v>45021</v>
      </c>
      <c r="B6" s="245"/>
      <c r="C6" s="212" t="s">
        <v>323</v>
      </c>
      <c r="D6" s="15">
        <v>1</v>
      </c>
      <c r="E6" s="15"/>
      <c r="F6" s="9">
        <v>880</v>
      </c>
      <c r="G6" s="29">
        <f t="shared" si="0"/>
        <v>880</v>
      </c>
      <c r="H6" s="11"/>
      <c r="I6" s="10"/>
      <c r="J6" s="29">
        <f t="shared" si="1"/>
        <v>0</v>
      </c>
      <c r="K6" s="29"/>
      <c r="L6" s="223">
        <f t="shared" si="2"/>
        <v>880</v>
      </c>
      <c r="M6" s="213"/>
      <c r="N6" s="218" t="str">
        <f t="shared" si="3"/>
        <v xml:space="preserve"> </v>
      </c>
      <c r="O6" s="189"/>
      <c r="P6" s="189"/>
      <c r="Q6" s="189"/>
      <c r="R6" s="189" t="str">
        <f t="shared" si="4"/>
        <v xml:space="preserve"> </v>
      </c>
      <c r="S6" s="189"/>
      <c r="T6" s="253" t="s">
        <v>1</v>
      </c>
      <c r="U6" s="13">
        <v>0</v>
      </c>
      <c r="V6" s="253" t="s">
        <v>10</v>
      </c>
      <c r="W6" s="253"/>
      <c r="X6" s="17"/>
    </row>
    <row r="7" spans="1:27" ht="15" customHeight="1" x14ac:dyDescent="0.35">
      <c r="A7" s="245"/>
      <c r="B7" s="245"/>
      <c r="C7" s="211"/>
      <c r="D7" s="15"/>
      <c r="E7" s="15"/>
      <c r="F7" s="9">
        <v>880</v>
      </c>
      <c r="G7" s="29">
        <f t="shared" si="0"/>
        <v>0</v>
      </c>
      <c r="H7" s="11"/>
      <c r="I7" s="10"/>
      <c r="J7" s="29">
        <f t="shared" si="1"/>
        <v>0</v>
      </c>
      <c r="K7" s="29"/>
      <c r="L7" s="223">
        <f t="shared" si="2"/>
        <v>0</v>
      </c>
      <c r="M7" s="12"/>
      <c r="N7" s="218" t="str">
        <f t="shared" si="3"/>
        <v xml:space="preserve"> </v>
      </c>
      <c r="O7" s="189"/>
      <c r="P7" s="189"/>
      <c r="Q7" s="189"/>
      <c r="R7" s="189" t="str">
        <f t="shared" si="4"/>
        <v xml:space="preserve"> </v>
      </c>
      <c r="S7" s="189"/>
      <c r="T7" s="253" t="s">
        <v>1</v>
      </c>
      <c r="U7" s="13">
        <v>0</v>
      </c>
      <c r="V7" s="253" t="s">
        <v>10</v>
      </c>
      <c r="W7" s="253"/>
      <c r="X7" s="16"/>
    </row>
    <row r="8" spans="1:27" ht="15" customHeight="1" x14ac:dyDescent="0.35">
      <c r="A8" s="245">
        <v>45021</v>
      </c>
      <c r="B8" s="245"/>
      <c r="C8" s="211" t="s">
        <v>339</v>
      </c>
      <c r="D8" s="15">
        <v>6</v>
      </c>
      <c r="E8" s="15"/>
      <c r="F8" s="9">
        <v>860</v>
      </c>
      <c r="G8" s="29">
        <f t="shared" si="0"/>
        <v>5160</v>
      </c>
      <c r="H8" s="11"/>
      <c r="I8" s="10"/>
      <c r="J8" s="29">
        <f t="shared" si="1"/>
        <v>0</v>
      </c>
      <c r="K8" s="29"/>
      <c r="L8" s="223">
        <f t="shared" si="2"/>
        <v>5160</v>
      </c>
      <c r="M8" s="12"/>
      <c r="N8" s="218" t="str">
        <f t="shared" si="3"/>
        <v xml:space="preserve"> </v>
      </c>
      <c r="O8" s="189">
        <v>1400</v>
      </c>
      <c r="P8" s="189"/>
      <c r="Q8" s="189"/>
      <c r="R8" s="189">
        <f t="shared" si="4"/>
        <v>-3760</v>
      </c>
      <c r="S8" s="189"/>
      <c r="T8" s="253" t="s">
        <v>83</v>
      </c>
      <c r="U8" s="13">
        <v>0</v>
      </c>
      <c r="V8" s="253" t="s">
        <v>10</v>
      </c>
      <c r="W8" s="253" t="s">
        <v>84</v>
      </c>
      <c r="X8" s="16"/>
      <c r="Y8" s="187" t="s">
        <v>0</v>
      </c>
      <c r="Z8" s="187" t="s">
        <v>8</v>
      </c>
      <c r="AA8" s="249">
        <f>G101</f>
        <v>107660</v>
      </c>
    </row>
    <row r="9" spans="1:27" ht="15" customHeight="1" x14ac:dyDescent="0.35">
      <c r="A9" s="245">
        <v>45022</v>
      </c>
      <c r="B9" s="245"/>
      <c r="C9" s="212" t="s">
        <v>280</v>
      </c>
      <c r="D9" s="15"/>
      <c r="E9" s="15">
        <v>2</v>
      </c>
      <c r="F9" s="9">
        <v>880</v>
      </c>
      <c r="G9" s="29">
        <f t="shared" si="0"/>
        <v>1760</v>
      </c>
      <c r="H9" s="11"/>
      <c r="I9" s="10"/>
      <c r="J9" s="29">
        <f t="shared" si="1"/>
        <v>0</v>
      </c>
      <c r="K9" s="29"/>
      <c r="L9" s="223">
        <f t="shared" si="2"/>
        <v>1760</v>
      </c>
      <c r="M9" s="12"/>
      <c r="N9" s="218" t="str">
        <f t="shared" si="3"/>
        <v xml:space="preserve"> </v>
      </c>
      <c r="O9" s="189"/>
      <c r="P9" s="189"/>
      <c r="Q9" s="189"/>
      <c r="R9" s="189" t="str">
        <f t="shared" si="4"/>
        <v xml:space="preserve"> </v>
      </c>
      <c r="S9" s="189"/>
      <c r="T9" s="18" t="s">
        <v>1</v>
      </c>
      <c r="U9" s="13">
        <v>0</v>
      </c>
      <c r="V9" s="253" t="s">
        <v>10</v>
      </c>
      <c r="W9" s="253"/>
      <c r="X9" s="16"/>
      <c r="Y9" s="187">
        <v>720</v>
      </c>
      <c r="AA9" s="191">
        <f>Y9*Z9</f>
        <v>0</v>
      </c>
    </row>
    <row r="10" spans="1:27" ht="15" customHeight="1" x14ac:dyDescent="0.35">
      <c r="A10" s="245">
        <v>45027</v>
      </c>
      <c r="B10" s="246"/>
      <c r="C10" s="211" t="s">
        <v>338</v>
      </c>
      <c r="D10" s="15">
        <v>1</v>
      </c>
      <c r="E10" s="15"/>
      <c r="F10" s="9">
        <v>860</v>
      </c>
      <c r="G10" s="29">
        <f t="shared" si="0"/>
        <v>860</v>
      </c>
      <c r="H10" s="11"/>
      <c r="I10" s="10"/>
      <c r="J10" s="29">
        <f t="shared" si="1"/>
        <v>0</v>
      </c>
      <c r="K10" s="29"/>
      <c r="L10" s="223">
        <f t="shared" si="2"/>
        <v>860</v>
      </c>
      <c r="M10" s="12"/>
      <c r="N10" s="218" t="str">
        <f t="shared" si="3"/>
        <v xml:space="preserve"> </v>
      </c>
      <c r="O10" s="189"/>
      <c r="P10" s="189"/>
      <c r="Q10" s="189"/>
      <c r="R10" s="189" t="str">
        <f t="shared" si="4"/>
        <v xml:space="preserve"> </v>
      </c>
      <c r="S10" s="189"/>
      <c r="T10" s="18" t="s">
        <v>1</v>
      </c>
      <c r="U10" s="13">
        <v>0</v>
      </c>
      <c r="V10" s="253" t="s">
        <v>10</v>
      </c>
      <c r="W10" s="253"/>
      <c r="X10" s="16"/>
      <c r="Y10" s="187">
        <v>750</v>
      </c>
      <c r="AA10" s="191">
        <f>Y10*Z10</f>
        <v>0</v>
      </c>
    </row>
    <row r="11" spans="1:27" ht="15" customHeight="1" x14ac:dyDescent="0.35">
      <c r="A11" s="245">
        <v>45027</v>
      </c>
      <c r="B11" s="246"/>
      <c r="C11" s="212" t="s">
        <v>322</v>
      </c>
      <c r="D11" s="15">
        <v>1</v>
      </c>
      <c r="E11" s="15"/>
      <c r="F11" s="9">
        <v>900</v>
      </c>
      <c r="G11" s="29">
        <f t="shared" si="0"/>
        <v>900</v>
      </c>
      <c r="H11" s="11"/>
      <c r="I11" s="10"/>
      <c r="J11" s="29">
        <f t="shared" si="1"/>
        <v>0</v>
      </c>
      <c r="K11" s="29"/>
      <c r="L11" s="223">
        <f t="shared" si="2"/>
        <v>900</v>
      </c>
      <c r="M11" s="213"/>
      <c r="N11" s="218" t="str">
        <f t="shared" si="3"/>
        <v xml:space="preserve"> </v>
      </c>
      <c r="O11" s="189"/>
      <c r="P11" s="189"/>
      <c r="Q11" s="189"/>
      <c r="R11" s="189" t="str">
        <f t="shared" si="4"/>
        <v xml:space="preserve"> </v>
      </c>
      <c r="S11" s="189"/>
      <c r="T11" s="18" t="s">
        <v>1</v>
      </c>
      <c r="U11" s="13">
        <v>0</v>
      </c>
      <c r="V11" s="253" t="s">
        <v>10</v>
      </c>
      <c r="W11" s="253"/>
      <c r="X11" s="16"/>
      <c r="Y11" s="187">
        <v>780</v>
      </c>
      <c r="AA11" s="191">
        <f>Y11*Z11</f>
        <v>0</v>
      </c>
    </row>
    <row r="12" spans="1:27" ht="15" customHeight="1" x14ac:dyDescent="0.35">
      <c r="A12" s="245">
        <v>45027</v>
      </c>
      <c r="B12" s="246"/>
      <c r="C12" s="211" t="s">
        <v>318</v>
      </c>
      <c r="D12" s="15">
        <v>1</v>
      </c>
      <c r="E12" s="15"/>
      <c r="F12" s="9">
        <v>900</v>
      </c>
      <c r="G12" s="29">
        <f t="shared" si="0"/>
        <v>900</v>
      </c>
      <c r="H12" s="11"/>
      <c r="I12" s="10"/>
      <c r="J12" s="29">
        <f t="shared" si="1"/>
        <v>0</v>
      </c>
      <c r="K12" s="29"/>
      <c r="L12" s="223">
        <f t="shared" si="2"/>
        <v>900</v>
      </c>
      <c r="M12" s="12"/>
      <c r="N12" s="218" t="str">
        <f t="shared" si="3"/>
        <v xml:space="preserve"> </v>
      </c>
      <c r="O12" s="189"/>
      <c r="P12" s="189"/>
      <c r="Q12" s="189"/>
      <c r="R12" s="189" t="str">
        <f t="shared" si="4"/>
        <v xml:space="preserve"> </v>
      </c>
      <c r="S12" s="189"/>
      <c r="T12" s="253" t="s">
        <v>1</v>
      </c>
      <c r="U12" s="13">
        <v>0</v>
      </c>
      <c r="V12" s="253" t="s">
        <v>10</v>
      </c>
      <c r="W12" s="253"/>
      <c r="X12" s="17"/>
      <c r="Y12" s="187">
        <v>800</v>
      </c>
      <c r="AA12" s="191">
        <f>Y12*Z12</f>
        <v>0</v>
      </c>
    </row>
    <row r="13" spans="1:27" ht="15" customHeight="1" x14ac:dyDescent="0.35">
      <c r="A13" s="245">
        <v>45027</v>
      </c>
      <c r="B13" s="246"/>
      <c r="C13" s="212" t="s">
        <v>112</v>
      </c>
      <c r="D13" s="15"/>
      <c r="E13" s="15">
        <v>10</v>
      </c>
      <c r="F13" s="9">
        <v>850</v>
      </c>
      <c r="G13" s="29">
        <f t="shared" si="0"/>
        <v>8500</v>
      </c>
      <c r="H13" s="11"/>
      <c r="I13" s="10"/>
      <c r="J13" s="29">
        <f t="shared" si="1"/>
        <v>0</v>
      </c>
      <c r="K13" s="29"/>
      <c r="L13" s="223">
        <f t="shared" si="2"/>
        <v>8500</v>
      </c>
      <c r="M13" s="213"/>
      <c r="N13" s="218" t="str">
        <f t="shared" si="3"/>
        <v xml:space="preserve"> </v>
      </c>
      <c r="O13" s="189">
        <v>440</v>
      </c>
      <c r="P13" s="189"/>
      <c r="Q13" s="189"/>
      <c r="R13" s="189">
        <f t="shared" si="4"/>
        <v>-8060</v>
      </c>
      <c r="S13" s="189">
        <f>P13-Q13</f>
        <v>0</v>
      </c>
      <c r="T13" s="253" t="s">
        <v>1</v>
      </c>
      <c r="U13" s="13">
        <v>30</v>
      </c>
      <c r="V13" s="253" t="s">
        <v>10</v>
      </c>
      <c r="W13" s="253" t="s">
        <v>92</v>
      </c>
      <c r="X13" s="16"/>
      <c r="AA13" s="251">
        <f>AA8-(SUM(AA9:AA12))</f>
        <v>107660</v>
      </c>
    </row>
    <row r="14" spans="1:27" ht="15" customHeight="1" x14ac:dyDescent="0.35">
      <c r="A14" s="245">
        <v>45027</v>
      </c>
      <c r="B14" s="246"/>
      <c r="C14" s="211" t="s">
        <v>326</v>
      </c>
      <c r="D14" s="15"/>
      <c r="E14" s="15">
        <v>1</v>
      </c>
      <c r="F14" s="9">
        <v>900</v>
      </c>
      <c r="G14" s="29">
        <f t="shared" si="0"/>
        <v>900</v>
      </c>
      <c r="H14" s="11"/>
      <c r="I14" s="10"/>
      <c r="J14" s="29">
        <f t="shared" si="1"/>
        <v>0</v>
      </c>
      <c r="K14" s="29"/>
      <c r="L14" s="223">
        <f t="shared" si="2"/>
        <v>900</v>
      </c>
      <c r="M14" s="12"/>
      <c r="N14" s="218" t="str">
        <f t="shared" si="3"/>
        <v xml:space="preserve"> </v>
      </c>
      <c r="O14" s="190"/>
      <c r="P14" s="190"/>
      <c r="Q14" s="190"/>
      <c r="R14" s="189" t="str">
        <f t="shared" si="4"/>
        <v xml:space="preserve"> </v>
      </c>
      <c r="S14" s="190"/>
      <c r="T14" s="253"/>
      <c r="U14" s="19"/>
      <c r="V14" s="253"/>
      <c r="W14" s="253"/>
      <c r="X14" s="16"/>
    </row>
    <row r="15" spans="1:27" ht="15" customHeight="1" x14ac:dyDescent="0.35">
      <c r="A15" s="246">
        <v>45027</v>
      </c>
      <c r="B15" s="245"/>
      <c r="C15" s="212" t="s">
        <v>296</v>
      </c>
      <c r="D15" s="15"/>
      <c r="E15" s="15">
        <v>2</v>
      </c>
      <c r="F15" s="9">
        <v>900</v>
      </c>
      <c r="G15" s="29">
        <f t="shared" si="0"/>
        <v>1800</v>
      </c>
      <c r="H15" s="11"/>
      <c r="I15" s="10"/>
      <c r="J15" s="29">
        <f t="shared" si="1"/>
        <v>0</v>
      </c>
      <c r="K15" s="29"/>
      <c r="L15" s="223">
        <f t="shared" si="2"/>
        <v>1800</v>
      </c>
      <c r="M15" s="12"/>
      <c r="N15" s="218" t="str">
        <f t="shared" si="3"/>
        <v xml:space="preserve"> </v>
      </c>
      <c r="O15" s="190"/>
      <c r="P15" s="190"/>
      <c r="Q15" s="190"/>
      <c r="R15" s="189" t="str">
        <f t="shared" si="4"/>
        <v xml:space="preserve"> </v>
      </c>
      <c r="S15" s="190"/>
      <c r="T15" s="253"/>
      <c r="U15" s="19"/>
      <c r="V15" s="253"/>
      <c r="W15" s="253"/>
      <c r="X15" s="16"/>
    </row>
    <row r="16" spans="1:27" ht="15" customHeight="1" x14ac:dyDescent="0.35">
      <c r="A16" s="245">
        <v>45028</v>
      </c>
      <c r="B16" s="245"/>
      <c r="C16" s="212" t="s">
        <v>349</v>
      </c>
      <c r="D16" s="15"/>
      <c r="E16" s="15">
        <v>2</v>
      </c>
      <c r="F16" s="9">
        <v>860</v>
      </c>
      <c r="G16" s="29">
        <f t="shared" si="0"/>
        <v>1720</v>
      </c>
      <c r="H16" s="11"/>
      <c r="I16" s="10"/>
      <c r="J16" s="29">
        <f t="shared" si="1"/>
        <v>0</v>
      </c>
      <c r="K16" s="29"/>
      <c r="L16" s="223">
        <f t="shared" si="2"/>
        <v>1720</v>
      </c>
      <c r="M16" s="12"/>
      <c r="N16" s="218" t="str">
        <f t="shared" si="3"/>
        <v xml:space="preserve"> </v>
      </c>
      <c r="O16" s="189"/>
      <c r="P16" s="189"/>
      <c r="Q16" s="189"/>
      <c r="R16" s="189" t="str">
        <f t="shared" si="4"/>
        <v xml:space="preserve"> </v>
      </c>
      <c r="S16" s="189"/>
      <c r="T16" s="253"/>
      <c r="U16" s="13"/>
      <c r="V16" s="253"/>
      <c r="W16" s="253"/>
      <c r="X16" s="16"/>
    </row>
    <row r="17" spans="1:24" ht="15" customHeight="1" x14ac:dyDescent="0.35">
      <c r="A17" s="245">
        <v>45028</v>
      </c>
      <c r="B17" s="245"/>
      <c r="C17" s="212" t="s">
        <v>323</v>
      </c>
      <c r="D17" s="15">
        <v>1</v>
      </c>
      <c r="E17" s="15"/>
      <c r="F17" s="9">
        <v>880</v>
      </c>
      <c r="G17" s="29">
        <f t="shared" si="0"/>
        <v>880</v>
      </c>
      <c r="H17" s="11"/>
      <c r="I17" s="10"/>
      <c r="J17" s="29">
        <f t="shared" si="1"/>
        <v>0</v>
      </c>
      <c r="K17" s="29"/>
      <c r="L17" s="223">
        <f t="shared" si="2"/>
        <v>880</v>
      </c>
      <c r="M17" s="223"/>
      <c r="N17" s="218" t="str">
        <f t="shared" si="3"/>
        <v xml:space="preserve"> </v>
      </c>
      <c r="O17" s="189"/>
      <c r="P17" s="189"/>
      <c r="Q17" s="189"/>
      <c r="R17" s="189" t="str">
        <f t="shared" si="4"/>
        <v xml:space="preserve"> </v>
      </c>
      <c r="S17" s="189"/>
      <c r="T17" s="253"/>
      <c r="U17" s="13"/>
      <c r="V17" s="253"/>
      <c r="W17" s="253"/>
      <c r="X17" s="16"/>
    </row>
    <row r="18" spans="1:24" ht="15" customHeight="1" x14ac:dyDescent="0.35">
      <c r="A18" s="245">
        <v>45028</v>
      </c>
      <c r="B18" s="245"/>
      <c r="C18" s="212" t="s">
        <v>153</v>
      </c>
      <c r="D18" s="15">
        <v>1</v>
      </c>
      <c r="E18" s="15"/>
      <c r="F18" s="9">
        <v>880</v>
      </c>
      <c r="G18" s="29">
        <f t="shared" si="0"/>
        <v>880</v>
      </c>
      <c r="H18" s="11"/>
      <c r="I18" s="10"/>
      <c r="J18" s="29">
        <f t="shared" si="1"/>
        <v>0</v>
      </c>
      <c r="K18" s="29"/>
      <c r="L18" s="223">
        <f t="shared" si="2"/>
        <v>880</v>
      </c>
      <c r="M18" s="213"/>
      <c r="N18" s="218" t="str">
        <f t="shared" si="3"/>
        <v xml:space="preserve"> </v>
      </c>
      <c r="O18" s="189"/>
      <c r="P18" s="189"/>
      <c r="Q18" s="189"/>
      <c r="R18" s="189" t="str">
        <f t="shared" si="4"/>
        <v xml:space="preserve"> </v>
      </c>
      <c r="S18" s="189"/>
      <c r="T18" s="253"/>
      <c r="U18" s="13"/>
      <c r="V18" s="253"/>
      <c r="W18" s="253"/>
      <c r="X18" s="16"/>
    </row>
    <row r="19" spans="1:24" ht="15" customHeight="1" x14ac:dyDescent="0.35">
      <c r="A19" s="245">
        <v>45029</v>
      </c>
      <c r="B19" s="245"/>
      <c r="C19" s="212" t="s">
        <v>279</v>
      </c>
      <c r="D19" s="15"/>
      <c r="E19" s="15">
        <v>7</v>
      </c>
      <c r="F19" s="9">
        <v>840</v>
      </c>
      <c r="G19" s="29">
        <f t="shared" si="0"/>
        <v>5880</v>
      </c>
      <c r="H19" s="11"/>
      <c r="I19" s="10"/>
      <c r="J19" s="29">
        <f t="shared" si="1"/>
        <v>0</v>
      </c>
      <c r="K19" s="29"/>
      <c r="L19" s="223">
        <f t="shared" si="2"/>
        <v>5880</v>
      </c>
      <c r="M19" s="223"/>
      <c r="N19" s="218" t="str">
        <f t="shared" si="3"/>
        <v xml:space="preserve"> </v>
      </c>
      <c r="O19" s="189"/>
      <c r="P19" s="189"/>
      <c r="Q19" s="189"/>
      <c r="R19" s="189" t="str">
        <f t="shared" si="4"/>
        <v xml:space="preserve"> </v>
      </c>
      <c r="S19" s="189"/>
      <c r="T19" s="253"/>
      <c r="U19" s="13"/>
      <c r="V19" s="253"/>
      <c r="W19" s="253"/>
      <c r="X19" s="16"/>
    </row>
    <row r="20" spans="1:24" ht="15" customHeight="1" x14ac:dyDescent="0.35">
      <c r="A20" s="245">
        <v>45029</v>
      </c>
      <c r="B20" s="245"/>
      <c r="C20" s="212" t="s">
        <v>321</v>
      </c>
      <c r="D20" s="15">
        <v>2</v>
      </c>
      <c r="E20" s="15"/>
      <c r="F20" s="9">
        <v>880</v>
      </c>
      <c r="G20" s="29">
        <f t="shared" si="0"/>
        <v>1760</v>
      </c>
      <c r="H20" s="11"/>
      <c r="I20" s="10"/>
      <c r="J20" s="29">
        <f t="shared" si="1"/>
        <v>0</v>
      </c>
      <c r="K20" s="29"/>
      <c r="L20" s="223">
        <f t="shared" si="2"/>
        <v>1760</v>
      </c>
      <c r="M20" s="12"/>
      <c r="N20" s="218" t="str">
        <f t="shared" si="3"/>
        <v xml:space="preserve"> </v>
      </c>
      <c r="O20" s="189"/>
      <c r="P20" s="189"/>
      <c r="Q20" s="189"/>
      <c r="R20" s="189" t="str">
        <f t="shared" si="4"/>
        <v xml:space="preserve"> </v>
      </c>
      <c r="S20" s="189"/>
      <c r="T20" s="253"/>
      <c r="U20" s="13"/>
      <c r="V20" s="253"/>
      <c r="W20" s="253"/>
      <c r="X20" s="16"/>
    </row>
    <row r="21" spans="1:24" ht="15" customHeight="1" x14ac:dyDescent="0.35">
      <c r="A21" s="245">
        <v>45032</v>
      </c>
      <c r="B21" s="245"/>
      <c r="C21" s="212" t="s">
        <v>353</v>
      </c>
      <c r="D21" s="15"/>
      <c r="E21" s="15">
        <v>1</v>
      </c>
      <c r="F21" s="9">
        <v>880</v>
      </c>
      <c r="G21" s="29">
        <f t="shared" si="0"/>
        <v>880</v>
      </c>
      <c r="H21" s="11"/>
      <c r="I21" s="10"/>
      <c r="J21" s="29">
        <f t="shared" si="1"/>
        <v>0</v>
      </c>
      <c r="K21" s="29"/>
      <c r="L21" s="223">
        <f t="shared" si="2"/>
        <v>880</v>
      </c>
      <c r="M21" s="12"/>
      <c r="N21" s="218" t="str">
        <f t="shared" si="3"/>
        <v xml:space="preserve"> </v>
      </c>
      <c r="O21" s="189"/>
      <c r="P21" s="189"/>
      <c r="Q21" s="189"/>
      <c r="R21" s="189" t="str">
        <f t="shared" si="4"/>
        <v xml:space="preserve"> </v>
      </c>
      <c r="S21" s="189"/>
      <c r="T21" s="253"/>
      <c r="U21" s="13"/>
      <c r="V21" s="253"/>
      <c r="W21" s="253"/>
      <c r="X21" s="16"/>
    </row>
    <row r="22" spans="1:24" ht="15" customHeight="1" x14ac:dyDescent="0.35">
      <c r="A22" s="245">
        <v>45032</v>
      </c>
      <c r="B22" s="245"/>
      <c r="C22" s="212" t="s">
        <v>296</v>
      </c>
      <c r="D22" s="15">
        <v>2</v>
      </c>
      <c r="E22" s="15"/>
      <c r="F22" s="9">
        <v>880</v>
      </c>
      <c r="G22" s="29">
        <f t="shared" si="0"/>
        <v>1760</v>
      </c>
      <c r="H22" s="11"/>
      <c r="I22" s="10"/>
      <c r="J22" s="29">
        <f t="shared" si="1"/>
        <v>0</v>
      </c>
      <c r="K22" s="29"/>
      <c r="L22" s="223">
        <f t="shared" si="2"/>
        <v>1760</v>
      </c>
      <c r="M22" s="12"/>
      <c r="N22" s="218" t="str">
        <f t="shared" si="3"/>
        <v xml:space="preserve"> </v>
      </c>
      <c r="O22" s="189"/>
      <c r="P22" s="189"/>
      <c r="Q22" s="189"/>
      <c r="R22" s="189" t="str">
        <f t="shared" si="4"/>
        <v xml:space="preserve"> </v>
      </c>
      <c r="S22" s="189"/>
      <c r="T22" s="253"/>
      <c r="U22" s="13"/>
      <c r="V22" s="253"/>
      <c r="W22" s="253"/>
      <c r="X22" s="16"/>
    </row>
    <row r="23" spans="1:24" ht="15" customHeight="1" x14ac:dyDescent="0.35">
      <c r="A23" s="245">
        <v>45032</v>
      </c>
      <c r="B23" s="245"/>
      <c r="C23" s="212" t="s">
        <v>339</v>
      </c>
      <c r="D23" s="15">
        <v>4</v>
      </c>
      <c r="E23" s="15"/>
      <c r="F23" s="9">
        <v>860</v>
      </c>
      <c r="G23" s="29">
        <f t="shared" si="0"/>
        <v>3440</v>
      </c>
      <c r="H23" s="11"/>
      <c r="I23" s="10"/>
      <c r="J23" s="29">
        <f t="shared" si="1"/>
        <v>0</v>
      </c>
      <c r="K23" s="29"/>
      <c r="L23" s="223">
        <f t="shared" si="2"/>
        <v>3440</v>
      </c>
      <c r="M23" s="12"/>
      <c r="N23" s="218" t="str">
        <f t="shared" si="3"/>
        <v xml:space="preserve"> </v>
      </c>
      <c r="O23" s="189"/>
      <c r="P23" s="189"/>
      <c r="Q23" s="189"/>
      <c r="R23" s="189" t="str">
        <f t="shared" si="4"/>
        <v xml:space="preserve"> </v>
      </c>
      <c r="S23" s="189"/>
      <c r="T23" s="253"/>
      <c r="U23" s="13"/>
      <c r="V23" s="253"/>
      <c r="W23" s="253"/>
      <c r="X23" s="16"/>
    </row>
    <row r="24" spans="1:24" ht="15" customHeight="1" x14ac:dyDescent="0.35">
      <c r="A24" s="250">
        <v>45033</v>
      </c>
      <c r="B24" s="250"/>
      <c r="C24" s="212" t="s">
        <v>153</v>
      </c>
      <c r="D24" s="15"/>
      <c r="E24" s="15">
        <v>1</v>
      </c>
      <c r="F24" s="9">
        <v>880</v>
      </c>
      <c r="G24" s="29">
        <f t="shared" si="0"/>
        <v>880</v>
      </c>
      <c r="H24" s="11"/>
      <c r="I24" s="10"/>
      <c r="J24" s="29">
        <f t="shared" si="1"/>
        <v>0</v>
      </c>
      <c r="K24" s="29"/>
      <c r="L24" s="223">
        <f t="shared" si="2"/>
        <v>880</v>
      </c>
      <c r="M24" s="12"/>
      <c r="N24" s="218" t="str">
        <f t="shared" si="3"/>
        <v xml:space="preserve"> </v>
      </c>
      <c r="O24" s="189"/>
      <c r="P24" s="189"/>
      <c r="Q24" s="189"/>
      <c r="R24" s="189" t="str">
        <f t="shared" si="4"/>
        <v xml:space="preserve"> </v>
      </c>
      <c r="S24" s="189"/>
      <c r="T24" s="253"/>
      <c r="U24" s="13"/>
      <c r="V24" s="253"/>
      <c r="W24" s="253"/>
      <c r="X24" s="16"/>
    </row>
    <row r="25" spans="1:24" ht="15" customHeight="1" x14ac:dyDescent="0.35">
      <c r="A25" s="245">
        <v>45034</v>
      </c>
      <c r="B25" s="245"/>
      <c r="C25" s="211" t="s">
        <v>321</v>
      </c>
      <c r="D25" s="15">
        <v>1</v>
      </c>
      <c r="E25" s="15"/>
      <c r="F25" s="9">
        <v>880</v>
      </c>
      <c r="G25" s="29">
        <f t="shared" si="0"/>
        <v>880</v>
      </c>
      <c r="H25" s="11"/>
      <c r="I25" s="10"/>
      <c r="J25" s="29">
        <f t="shared" si="1"/>
        <v>0</v>
      </c>
      <c r="K25" s="29"/>
      <c r="L25" s="223">
        <f t="shared" si="2"/>
        <v>880</v>
      </c>
      <c r="M25" s="12"/>
      <c r="N25" s="218" t="str">
        <f t="shared" si="3"/>
        <v xml:space="preserve"> </v>
      </c>
      <c r="O25" s="189"/>
      <c r="P25" s="189"/>
      <c r="Q25" s="189"/>
      <c r="R25" s="189" t="str">
        <f t="shared" si="4"/>
        <v xml:space="preserve"> </v>
      </c>
      <c r="S25" s="189"/>
      <c r="T25" s="253"/>
      <c r="U25" s="13"/>
      <c r="V25" s="253"/>
      <c r="W25" s="253"/>
      <c r="X25" s="16"/>
    </row>
    <row r="26" spans="1:24" ht="15" customHeight="1" x14ac:dyDescent="0.35">
      <c r="A26" s="246">
        <v>45034</v>
      </c>
      <c r="B26" s="245"/>
      <c r="C26" s="211" t="s">
        <v>356</v>
      </c>
      <c r="D26" s="15">
        <v>2</v>
      </c>
      <c r="E26" s="15"/>
      <c r="F26" s="9">
        <v>900</v>
      </c>
      <c r="G26" s="29">
        <f t="shared" si="0"/>
        <v>1800</v>
      </c>
      <c r="H26" s="11"/>
      <c r="I26" s="10"/>
      <c r="J26" s="29">
        <f t="shared" si="1"/>
        <v>0</v>
      </c>
      <c r="K26" s="29"/>
      <c r="L26" s="223">
        <f t="shared" si="2"/>
        <v>1800</v>
      </c>
      <c r="M26" s="12"/>
      <c r="N26" s="218" t="str">
        <f t="shared" si="3"/>
        <v xml:space="preserve"> </v>
      </c>
      <c r="O26" s="189"/>
      <c r="P26" s="189"/>
      <c r="Q26" s="189"/>
      <c r="R26" s="189" t="str">
        <f t="shared" si="4"/>
        <v xml:space="preserve"> </v>
      </c>
      <c r="S26" s="189"/>
      <c r="T26" s="253"/>
      <c r="U26" s="13"/>
      <c r="V26" s="253"/>
      <c r="W26" s="253"/>
      <c r="X26" s="16"/>
    </row>
    <row r="27" spans="1:24" ht="15" customHeight="1" x14ac:dyDescent="0.35">
      <c r="A27" s="245">
        <v>45034</v>
      </c>
      <c r="B27" s="245"/>
      <c r="C27" s="212" t="s">
        <v>325</v>
      </c>
      <c r="D27" s="15"/>
      <c r="E27" s="15">
        <v>1</v>
      </c>
      <c r="F27" s="9">
        <v>900</v>
      </c>
      <c r="G27" s="29">
        <f t="shared" si="0"/>
        <v>900</v>
      </c>
      <c r="H27" s="11"/>
      <c r="I27" s="10"/>
      <c r="J27" s="29">
        <f t="shared" si="1"/>
        <v>0</v>
      </c>
      <c r="K27" s="29"/>
      <c r="L27" s="223">
        <f t="shared" si="2"/>
        <v>900</v>
      </c>
      <c r="M27" s="12"/>
      <c r="N27" s="218" t="str">
        <f t="shared" si="3"/>
        <v xml:space="preserve"> </v>
      </c>
      <c r="O27" s="189"/>
      <c r="P27" s="189"/>
      <c r="Q27" s="189"/>
      <c r="R27" s="189" t="str">
        <f t="shared" si="4"/>
        <v xml:space="preserve"> </v>
      </c>
      <c r="S27" s="189"/>
      <c r="T27" s="253"/>
      <c r="U27" s="13"/>
      <c r="V27" s="253"/>
      <c r="W27" s="253"/>
      <c r="X27" s="16"/>
    </row>
    <row r="28" spans="1:24" ht="15" customHeight="1" x14ac:dyDescent="0.35">
      <c r="A28" s="245">
        <v>45034</v>
      </c>
      <c r="B28" s="245"/>
      <c r="C28" s="212" t="s">
        <v>296</v>
      </c>
      <c r="D28" s="15"/>
      <c r="E28" s="15">
        <v>4</v>
      </c>
      <c r="F28" s="9">
        <v>880</v>
      </c>
      <c r="G28" s="29">
        <f t="shared" si="0"/>
        <v>3520</v>
      </c>
      <c r="H28" s="11"/>
      <c r="I28" s="10"/>
      <c r="J28" s="29">
        <f t="shared" si="1"/>
        <v>0</v>
      </c>
      <c r="K28" s="29"/>
      <c r="L28" s="223">
        <f t="shared" si="2"/>
        <v>3520</v>
      </c>
      <c r="M28" s="12"/>
      <c r="N28" s="218" t="str">
        <f t="shared" si="3"/>
        <v xml:space="preserve"> </v>
      </c>
      <c r="O28" s="189"/>
      <c r="P28" s="189"/>
      <c r="Q28" s="189"/>
      <c r="R28" s="189" t="str">
        <f t="shared" si="4"/>
        <v xml:space="preserve"> </v>
      </c>
      <c r="S28" s="189"/>
      <c r="T28" s="253"/>
      <c r="U28" s="13"/>
      <c r="V28" s="253"/>
      <c r="W28" s="253"/>
      <c r="X28" s="16"/>
    </row>
    <row r="29" spans="1:24" ht="15" customHeight="1" x14ac:dyDescent="0.35">
      <c r="A29" s="245">
        <v>45035</v>
      </c>
      <c r="B29" s="245"/>
      <c r="C29" s="248" t="s">
        <v>279</v>
      </c>
      <c r="D29" s="15"/>
      <c r="E29" s="15">
        <v>6</v>
      </c>
      <c r="F29" s="9">
        <v>840</v>
      </c>
      <c r="G29" s="29">
        <f t="shared" si="0"/>
        <v>5040</v>
      </c>
      <c r="H29" s="11"/>
      <c r="I29" s="10"/>
      <c r="J29" s="29">
        <f t="shared" si="1"/>
        <v>0</v>
      </c>
      <c r="K29" s="29"/>
      <c r="L29" s="223">
        <f t="shared" si="2"/>
        <v>5040</v>
      </c>
      <c r="M29" s="12"/>
      <c r="N29" s="239" t="str">
        <f t="shared" si="3"/>
        <v xml:space="preserve"> </v>
      </c>
      <c r="O29" s="189"/>
      <c r="P29" s="189"/>
      <c r="Q29" s="189"/>
      <c r="R29" s="189" t="str">
        <f t="shared" si="4"/>
        <v xml:space="preserve"> </v>
      </c>
      <c r="S29" s="189"/>
      <c r="T29" s="253"/>
      <c r="U29" s="13"/>
      <c r="V29" s="253"/>
      <c r="W29" s="253"/>
      <c r="X29" s="16"/>
    </row>
    <row r="30" spans="1:24" ht="15" customHeight="1" x14ac:dyDescent="0.35">
      <c r="A30" s="245">
        <v>45035</v>
      </c>
      <c r="B30" s="245"/>
      <c r="C30" s="248" t="s">
        <v>152</v>
      </c>
      <c r="D30" s="15">
        <v>8</v>
      </c>
      <c r="E30" s="15"/>
      <c r="F30" s="9">
        <v>860</v>
      </c>
      <c r="G30" s="29">
        <f t="shared" si="0"/>
        <v>6880</v>
      </c>
      <c r="H30" s="11"/>
      <c r="I30" s="10"/>
      <c r="J30" s="29">
        <f t="shared" si="1"/>
        <v>0</v>
      </c>
      <c r="K30" s="29"/>
      <c r="L30" s="223">
        <f t="shared" si="2"/>
        <v>6880</v>
      </c>
      <c r="M30" s="207"/>
      <c r="N30" s="218" t="str">
        <f t="shared" si="3"/>
        <v xml:space="preserve"> </v>
      </c>
      <c r="O30" s="189"/>
      <c r="P30" s="189"/>
      <c r="Q30" s="189"/>
      <c r="R30" s="189" t="str">
        <f t="shared" si="4"/>
        <v xml:space="preserve"> </v>
      </c>
      <c r="S30" s="189"/>
      <c r="T30" s="253"/>
      <c r="U30" s="13"/>
      <c r="V30" s="253"/>
      <c r="W30" s="253"/>
      <c r="X30" s="16"/>
    </row>
    <row r="31" spans="1:24" ht="15" customHeight="1" x14ac:dyDescent="0.35">
      <c r="A31" s="245">
        <v>45035</v>
      </c>
      <c r="B31" s="245"/>
      <c r="C31" s="212" t="s">
        <v>321</v>
      </c>
      <c r="D31" s="15">
        <v>1</v>
      </c>
      <c r="E31" s="15"/>
      <c r="F31" s="9">
        <v>880</v>
      </c>
      <c r="G31" s="29">
        <f t="shared" si="0"/>
        <v>880</v>
      </c>
      <c r="H31" s="11"/>
      <c r="I31" s="10"/>
      <c r="J31" s="29">
        <f t="shared" si="1"/>
        <v>0</v>
      </c>
      <c r="K31" s="29"/>
      <c r="L31" s="223">
        <f t="shared" si="2"/>
        <v>880</v>
      </c>
      <c r="M31" s="12"/>
      <c r="N31" s="218" t="str">
        <f t="shared" si="3"/>
        <v xml:space="preserve"> </v>
      </c>
      <c r="O31" s="189"/>
      <c r="P31" s="189"/>
      <c r="Q31" s="189"/>
      <c r="R31" s="189" t="str">
        <f t="shared" si="4"/>
        <v xml:space="preserve"> </v>
      </c>
      <c r="S31" s="189"/>
      <c r="T31" s="253"/>
      <c r="U31" s="13"/>
      <c r="V31" s="253"/>
      <c r="W31" s="253"/>
      <c r="X31" s="16"/>
    </row>
    <row r="32" spans="1:24" ht="15" customHeight="1" x14ac:dyDescent="0.35">
      <c r="A32" s="245">
        <v>45035</v>
      </c>
      <c r="B32" s="245"/>
      <c r="C32" s="211" t="s">
        <v>323</v>
      </c>
      <c r="D32" s="15">
        <v>1</v>
      </c>
      <c r="E32" s="15"/>
      <c r="F32" s="9">
        <v>880</v>
      </c>
      <c r="G32" s="29">
        <f t="shared" si="0"/>
        <v>880</v>
      </c>
      <c r="H32" s="11"/>
      <c r="I32" s="10"/>
      <c r="J32" s="29">
        <f t="shared" si="1"/>
        <v>0</v>
      </c>
      <c r="K32" s="29"/>
      <c r="L32" s="223">
        <f t="shared" si="2"/>
        <v>880</v>
      </c>
      <c r="M32" s="213"/>
      <c r="N32" s="218" t="str">
        <f t="shared" si="3"/>
        <v xml:space="preserve"> </v>
      </c>
      <c r="O32" s="189"/>
      <c r="P32" s="189"/>
      <c r="Q32" s="189"/>
      <c r="R32" s="189" t="str">
        <f t="shared" si="4"/>
        <v xml:space="preserve"> </v>
      </c>
      <c r="S32" s="189"/>
      <c r="T32" s="253"/>
      <c r="U32" s="13"/>
      <c r="V32" s="253"/>
      <c r="W32" s="253"/>
      <c r="X32" s="16"/>
    </row>
    <row r="33" spans="1:24" ht="15" customHeight="1" x14ac:dyDescent="0.35">
      <c r="A33" s="245">
        <v>45035</v>
      </c>
      <c r="B33" s="245"/>
      <c r="C33" s="211" t="s">
        <v>153</v>
      </c>
      <c r="D33" s="15">
        <v>1</v>
      </c>
      <c r="E33" s="15"/>
      <c r="F33" s="9">
        <v>880</v>
      </c>
      <c r="G33" s="29">
        <f t="shared" si="0"/>
        <v>880</v>
      </c>
      <c r="H33" s="11"/>
      <c r="I33" s="10"/>
      <c r="J33" s="29">
        <f t="shared" si="1"/>
        <v>0</v>
      </c>
      <c r="K33" s="29"/>
      <c r="L33" s="223">
        <f t="shared" si="2"/>
        <v>880</v>
      </c>
      <c r="M33" s="12"/>
      <c r="N33" s="218" t="str">
        <f t="shared" si="3"/>
        <v xml:space="preserve"> </v>
      </c>
      <c r="O33" s="189"/>
      <c r="P33" s="189"/>
      <c r="Q33" s="189"/>
      <c r="R33" s="189" t="str">
        <f t="shared" si="4"/>
        <v xml:space="preserve"> </v>
      </c>
      <c r="S33" s="189"/>
      <c r="T33" s="253"/>
      <c r="U33" s="13"/>
      <c r="V33" s="253"/>
      <c r="W33" s="253"/>
      <c r="X33" s="16"/>
    </row>
    <row r="34" spans="1:24" ht="15" customHeight="1" x14ac:dyDescent="0.35">
      <c r="A34" s="245">
        <v>45040</v>
      </c>
      <c r="B34" s="245"/>
      <c r="C34" s="212" t="s">
        <v>321</v>
      </c>
      <c r="D34" s="15"/>
      <c r="E34" s="15">
        <v>2</v>
      </c>
      <c r="F34" s="9">
        <v>880</v>
      </c>
      <c r="G34" s="29">
        <f t="shared" si="0"/>
        <v>1760</v>
      </c>
      <c r="H34" s="11"/>
      <c r="I34" s="10"/>
      <c r="J34" s="29">
        <f t="shared" si="1"/>
        <v>0</v>
      </c>
      <c r="K34" s="29"/>
      <c r="L34" s="223">
        <f t="shared" si="2"/>
        <v>1760</v>
      </c>
      <c r="M34" s="12"/>
      <c r="N34" s="218" t="str">
        <f t="shared" si="3"/>
        <v xml:space="preserve"> </v>
      </c>
      <c r="O34" s="189"/>
      <c r="P34" s="189"/>
      <c r="Q34" s="189"/>
      <c r="R34" s="189" t="str">
        <f t="shared" si="4"/>
        <v xml:space="preserve"> </v>
      </c>
      <c r="S34" s="189"/>
      <c r="T34" s="253"/>
      <c r="U34" s="13"/>
      <c r="V34" s="253"/>
      <c r="W34" s="253"/>
      <c r="X34" s="16"/>
    </row>
    <row r="35" spans="1:24" ht="15" customHeight="1" x14ac:dyDescent="0.35">
      <c r="A35" s="245">
        <v>45042</v>
      </c>
      <c r="B35" s="246"/>
      <c r="C35" s="211" t="s">
        <v>330</v>
      </c>
      <c r="D35" s="15"/>
      <c r="E35" s="15">
        <v>2</v>
      </c>
      <c r="F35" s="9">
        <v>860</v>
      </c>
      <c r="G35" s="29">
        <f t="shared" si="0"/>
        <v>1720</v>
      </c>
      <c r="H35" s="11"/>
      <c r="I35" s="10"/>
      <c r="J35" s="29">
        <f t="shared" si="1"/>
        <v>0</v>
      </c>
      <c r="K35" s="29"/>
      <c r="L35" s="223">
        <f t="shared" si="2"/>
        <v>1720</v>
      </c>
      <c r="M35" s="12"/>
      <c r="N35" s="218" t="str">
        <f t="shared" si="3"/>
        <v xml:space="preserve"> </v>
      </c>
      <c r="O35" s="189"/>
      <c r="P35" s="189"/>
      <c r="Q35" s="189"/>
      <c r="R35" s="189" t="str">
        <f t="shared" si="4"/>
        <v xml:space="preserve"> </v>
      </c>
      <c r="S35" s="189"/>
      <c r="T35" s="253"/>
      <c r="U35" s="13"/>
      <c r="V35" s="253"/>
      <c r="W35" s="253"/>
      <c r="X35" s="16"/>
    </row>
    <row r="36" spans="1:24" ht="15" customHeight="1" x14ac:dyDescent="0.35">
      <c r="A36" s="245">
        <v>45042</v>
      </c>
      <c r="B36" s="246"/>
      <c r="C36" s="212" t="s">
        <v>112</v>
      </c>
      <c r="D36" s="15"/>
      <c r="E36" s="15">
        <v>10</v>
      </c>
      <c r="F36" s="9">
        <v>850</v>
      </c>
      <c r="G36" s="29">
        <f t="shared" si="0"/>
        <v>8500</v>
      </c>
      <c r="H36" s="11"/>
      <c r="I36" s="10"/>
      <c r="J36" s="29">
        <f t="shared" si="1"/>
        <v>0</v>
      </c>
      <c r="K36" s="29"/>
      <c r="L36" s="223">
        <f t="shared" si="2"/>
        <v>8500</v>
      </c>
      <c r="M36" s="12"/>
      <c r="N36" s="218" t="str">
        <f t="shared" si="3"/>
        <v xml:space="preserve"> </v>
      </c>
      <c r="O36" s="189"/>
      <c r="P36" s="189"/>
      <c r="Q36" s="189"/>
      <c r="R36" s="189" t="str">
        <f t="shared" si="4"/>
        <v xml:space="preserve"> </v>
      </c>
      <c r="S36" s="189"/>
      <c r="T36" s="253"/>
      <c r="U36" s="13"/>
      <c r="V36" s="253"/>
      <c r="W36" s="253"/>
      <c r="X36" s="16"/>
    </row>
    <row r="37" spans="1:24" ht="15" customHeight="1" x14ac:dyDescent="0.35">
      <c r="A37" s="245">
        <v>45042</v>
      </c>
      <c r="B37" s="246"/>
      <c r="C37" s="211" t="s">
        <v>321</v>
      </c>
      <c r="D37" s="15">
        <v>2</v>
      </c>
      <c r="E37" s="15"/>
      <c r="F37" s="9">
        <v>880</v>
      </c>
      <c r="G37" s="29">
        <f t="shared" si="0"/>
        <v>1760</v>
      </c>
      <c r="H37" s="11"/>
      <c r="I37" s="10"/>
      <c r="J37" s="29">
        <f t="shared" si="1"/>
        <v>0</v>
      </c>
      <c r="K37" s="29"/>
      <c r="L37" s="223">
        <f t="shared" si="2"/>
        <v>1760</v>
      </c>
      <c r="M37" s="12"/>
      <c r="N37" s="218" t="str">
        <f t="shared" si="3"/>
        <v xml:space="preserve"> </v>
      </c>
      <c r="O37" s="189"/>
      <c r="P37" s="189"/>
      <c r="Q37" s="189"/>
      <c r="R37" s="189" t="str">
        <f t="shared" si="4"/>
        <v xml:space="preserve"> </v>
      </c>
      <c r="S37" s="189"/>
      <c r="T37" s="253"/>
      <c r="U37" s="13"/>
      <c r="V37" s="253"/>
      <c r="W37" s="253"/>
      <c r="X37" s="16"/>
    </row>
    <row r="38" spans="1:24" ht="15" customHeight="1" x14ac:dyDescent="0.35">
      <c r="A38" s="245"/>
      <c r="B38" s="246"/>
      <c r="C38" s="212"/>
      <c r="D38" s="15"/>
      <c r="E38" s="15"/>
      <c r="F38" s="9">
        <v>900</v>
      </c>
      <c r="G38" s="29">
        <f t="shared" si="0"/>
        <v>0</v>
      </c>
      <c r="H38" s="11"/>
      <c r="I38" s="10"/>
      <c r="J38" s="29">
        <f t="shared" si="1"/>
        <v>0</v>
      </c>
      <c r="K38" s="29"/>
      <c r="L38" s="223">
        <f t="shared" si="2"/>
        <v>0</v>
      </c>
      <c r="M38" s="12"/>
      <c r="N38" s="218" t="str">
        <f t="shared" si="3"/>
        <v xml:space="preserve"> </v>
      </c>
      <c r="O38" s="189"/>
      <c r="P38" s="189"/>
      <c r="Q38" s="189"/>
      <c r="R38" s="189" t="str">
        <f t="shared" si="4"/>
        <v xml:space="preserve"> </v>
      </c>
      <c r="S38" s="189"/>
      <c r="T38" s="253"/>
      <c r="U38" s="13"/>
      <c r="V38" s="253"/>
      <c r="W38" s="253"/>
      <c r="X38" s="16"/>
    </row>
    <row r="39" spans="1:24" ht="15" customHeight="1" x14ac:dyDescent="0.35">
      <c r="A39" s="245">
        <v>45042</v>
      </c>
      <c r="B39" s="246"/>
      <c r="C39" s="211" t="s">
        <v>322</v>
      </c>
      <c r="D39" s="15">
        <v>2</v>
      </c>
      <c r="E39" s="15"/>
      <c r="F39" s="9">
        <v>900</v>
      </c>
      <c r="G39" s="29">
        <f t="shared" si="0"/>
        <v>1800</v>
      </c>
      <c r="H39" s="11"/>
      <c r="I39" s="10"/>
      <c r="J39" s="29">
        <f t="shared" si="1"/>
        <v>0</v>
      </c>
      <c r="K39" s="29"/>
      <c r="L39" s="223">
        <f t="shared" si="2"/>
        <v>1800</v>
      </c>
      <c r="M39" s="12"/>
      <c r="N39" s="218" t="str">
        <f t="shared" si="3"/>
        <v xml:space="preserve"> </v>
      </c>
      <c r="O39" s="189"/>
      <c r="P39" s="189"/>
      <c r="Q39" s="189"/>
      <c r="R39" s="189" t="str">
        <f t="shared" si="4"/>
        <v xml:space="preserve"> </v>
      </c>
      <c r="S39" s="189"/>
      <c r="T39" s="253"/>
      <c r="U39" s="13"/>
      <c r="V39" s="253"/>
      <c r="W39" s="253"/>
      <c r="X39" s="16"/>
    </row>
    <row r="40" spans="1:24" ht="15" customHeight="1" x14ac:dyDescent="0.35">
      <c r="A40" s="245">
        <v>45042</v>
      </c>
      <c r="B40" s="246"/>
      <c r="C40" s="212" t="s">
        <v>358</v>
      </c>
      <c r="D40" s="15"/>
      <c r="E40" s="15">
        <v>2</v>
      </c>
      <c r="F40" s="9">
        <v>860</v>
      </c>
      <c r="G40" s="29">
        <f t="shared" si="0"/>
        <v>1720</v>
      </c>
      <c r="H40" s="11"/>
      <c r="I40" s="10"/>
      <c r="J40" s="29">
        <f t="shared" si="1"/>
        <v>0</v>
      </c>
      <c r="K40" s="29"/>
      <c r="L40" s="223">
        <f t="shared" si="2"/>
        <v>1720</v>
      </c>
      <c r="M40" s="12"/>
      <c r="N40" s="218" t="str">
        <f t="shared" si="3"/>
        <v xml:space="preserve"> </v>
      </c>
      <c r="O40" s="189"/>
      <c r="P40" s="189"/>
      <c r="Q40" s="189"/>
      <c r="R40" s="189" t="str">
        <f t="shared" si="4"/>
        <v xml:space="preserve"> </v>
      </c>
      <c r="S40" s="189"/>
      <c r="T40" s="253"/>
      <c r="U40" s="13"/>
      <c r="V40" s="253"/>
      <c r="W40" s="253"/>
      <c r="X40" s="16"/>
    </row>
    <row r="41" spans="1:24" ht="15" customHeight="1" x14ac:dyDescent="0.35">
      <c r="A41" s="245">
        <v>45043</v>
      </c>
      <c r="B41" s="246"/>
      <c r="C41" s="211" t="s">
        <v>337</v>
      </c>
      <c r="D41" s="15">
        <v>10</v>
      </c>
      <c r="E41" s="15"/>
      <c r="F41" s="9">
        <v>840</v>
      </c>
      <c r="G41" s="29">
        <f t="shared" si="0"/>
        <v>8400</v>
      </c>
      <c r="H41" s="11"/>
      <c r="I41" s="10"/>
      <c r="J41" s="29">
        <f t="shared" si="1"/>
        <v>0</v>
      </c>
      <c r="K41" s="29"/>
      <c r="L41" s="223">
        <f t="shared" si="2"/>
        <v>8400</v>
      </c>
      <c r="M41" s="12"/>
      <c r="N41" s="218" t="str">
        <f t="shared" si="3"/>
        <v xml:space="preserve"> </v>
      </c>
      <c r="O41" s="189"/>
      <c r="P41" s="189"/>
      <c r="Q41" s="189"/>
      <c r="R41" s="189" t="str">
        <f t="shared" si="4"/>
        <v xml:space="preserve"> </v>
      </c>
      <c r="S41" s="189"/>
      <c r="T41" s="253"/>
      <c r="U41" s="13"/>
      <c r="V41" s="253"/>
      <c r="W41" s="253"/>
      <c r="X41" s="16"/>
    </row>
    <row r="42" spans="1:24" ht="15" customHeight="1" x14ac:dyDescent="0.35">
      <c r="A42" s="245">
        <v>45043</v>
      </c>
      <c r="B42" s="246"/>
      <c r="C42" s="212" t="s">
        <v>321</v>
      </c>
      <c r="D42" s="15">
        <v>1</v>
      </c>
      <c r="E42" s="15"/>
      <c r="F42" s="9">
        <v>880</v>
      </c>
      <c r="G42" s="29">
        <f t="shared" si="0"/>
        <v>880</v>
      </c>
      <c r="H42" s="11"/>
      <c r="I42" s="10"/>
      <c r="J42" s="29">
        <f t="shared" si="1"/>
        <v>0</v>
      </c>
      <c r="K42" s="29"/>
      <c r="L42" s="223">
        <f t="shared" si="2"/>
        <v>880</v>
      </c>
      <c r="M42" s="12"/>
      <c r="N42" s="218" t="str">
        <f t="shared" si="3"/>
        <v xml:space="preserve"> </v>
      </c>
      <c r="O42" s="189"/>
      <c r="P42" s="189"/>
      <c r="Q42" s="189"/>
      <c r="R42" s="189" t="str">
        <f t="shared" si="4"/>
        <v xml:space="preserve"> </v>
      </c>
      <c r="S42" s="189"/>
      <c r="T42" s="253"/>
      <c r="U42" s="13"/>
      <c r="V42" s="253"/>
      <c r="W42" s="253"/>
      <c r="X42" s="16"/>
    </row>
    <row r="43" spans="1:24" ht="15" customHeight="1" x14ac:dyDescent="0.35">
      <c r="A43" s="245">
        <v>45042</v>
      </c>
      <c r="B43" s="246"/>
      <c r="C43" s="212" t="s">
        <v>323</v>
      </c>
      <c r="D43" s="15">
        <v>1</v>
      </c>
      <c r="E43" s="15"/>
      <c r="F43" s="9">
        <v>880</v>
      </c>
      <c r="G43" s="29">
        <f t="shared" si="0"/>
        <v>880</v>
      </c>
      <c r="H43" s="11"/>
      <c r="I43" s="10"/>
      <c r="J43" s="29">
        <f t="shared" si="1"/>
        <v>0</v>
      </c>
      <c r="K43" s="29"/>
      <c r="L43" s="223">
        <f t="shared" si="2"/>
        <v>880</v>
      </c>
      <c r="M43" s="12"/>
      <c r="N43" s="218" t="str">
        <f t="shared" si="3"/>
        <v xml:space="preserve"> </v>
      </c>
      <c r="O43" s="189"/>
      <c r="P43" s="189"/>
      <c r="Q43" s="189"/>
      <c r="R43" s="189" t="str">
        <f t="shared" si="4"/>
        <v xml:space="preserve"> </v>
      </c>
      <c r="S43" s="189"/>
      <c r="T43" s="253"/>
      <c r="U43" s="13"/>
      <c r="V43" s="253"/>
      <c r="W43" s="253"/>
      <c r="X43" s="16"/>
    </row>
    <row r="44" spans="1:24" ht="15" customHeight="1" x14ac:dyDescent="0.35">
      <c r="A44" s="245">
        <v>45043</v>
      </c>
      <c r="B44" s="246"/>
      <c r="C44" s="211" t="s">
        <v>153</v>
      </c>
      <c r="D44" s="15">
        <v>1</v>
      </c>
      <c r="E44" s="15"/>
      <c r="F44" s="9">
        <v>880</v>
      </c>
      <c r="G44" s="29">
        <f t="shared" si="0"/>
        <v>880</v>
      </c>
      <c r="H44" s="11"/>
      <c r="I44" s="10"/>
      <c r="J44" s="29">
        <f t="shared" si="1"/>
        <v>0</v>
      </c>
      <c r="K44" s="29"/>
      <c r="L44" s="223">
        <f t="shared" si="2"/>
        <v>880</v>
      </c>
      <c r="M44" s="213"/>
      <c r="N44" s="218" t="str">
        <f t="shared" si="3"/>
        <v xml:space="preserve"> </v>
      </c>
      <c r="O44" s="189"/>
      <c r="P44" s="189"/>
      <c r="Q44" s="189"/>
      <c r="R44" s="189" t="str">
        <f t="shared" si="4"/>
        <v xml:space="preserve"> </v>
      </c>
      <c r="S44" s="189"/>
      <c r="T44" s="253"/>
      <c r="U44" s="13"/>
      <c r="V44" s="253"/>
      <c r="W44" s="253"/>
      <c r="X44" s="16"/>
    </row>
    <row r="45" spans="1:24" ht="15" customHeight="1" x14ac:dyDescent="0.35">
      <c r="A45" s="245">
        <v>45043</v>
      </c>
      <c r="B45" s="246"/>
      <c r="C45" s="211" t="s">
        <v>296</v>
      </c>
      <c r="D45" s="15"/>
      <c r="E45" s="15">
        <v>4</v>
      </c>
      <c r="F45" s="9">
        <v>880</v>
      </c>
      <c r="G45" s="29">
        <f t="shared" si="0"/>
        <v>3520</v>
      </c>
      <c r="H45" s="11"/>
      <c r="I45" s="10"/>
      <c r="J45" s="29">
        <f t="shared" si="1"/>
        <v>0</v>
      </c>
      <c r="K45" s="29"/>
      <c r="L45" s="223">
        <f t="shared" si="2"/>
        <v>3520</v>
      </c>
      <c r="M45" s="213"/>
      <c r="N45" s="218" t="str">
        <f t="shared" si="3"/>
        <v xml:space="preserve"> </v>
      </c>
      <c r="O45" s="189"/>
      <c r="P45" s="189"/>
      <c r="Q45" s="189"/>
      <c r="R45" s="189" t="str">
        <f t="shared" si="4"/>
        <v xml:space="preserve"> </v>
      </c>
      <c r="S45" s="189"/>
      <c r="T45" s="253"/>
      <c r="U45" s="13"/>
      <c r="V45" s="253"/>
      <c r="W45" s="253"/>
      <c r="X45" s="16"/>
    </row>
    <row r="46" spans="1:24" ht="15" customHeight="1" x14ac:dyDescent="0.35">
      <c r="A46" s="245">
        <v>45043</v>
      </c>
      <c r="B46" s="246"/>
      <c r="C46" s="211" t="s">
        <v>279</v>
      </c>
      <c r="D46" s="15">
        <v>6</v>
      </c>
      <c r="E46" s="15"/>
      <c r="F46" s="9">
        <v>840</v>
      </c>
      <c r="G46" s="29">
        <f t="shared" si="0"/>
        <v>5040</v>
      </c>
      <c r="H46" s="11"/>
      <c r="I46" s="10"/>
      <c r="J46" s="29">
        <f t="shared" si="1"/>
        <v>0</v>
      </c>
      <c r="K46" s="29"/>
      <c r="L46" s="223">
        <f t="shared" si="2"/>
        <v>5040</v>
      </c>
      <c r="M46" s="12"/>
      <c r="N46" s="218" t="str">
        <f>IF(M46&gt;0,SUM(L46-M46)," ")</f>
        <v xml:space="preserve"> </v>
      </c>
      <c r="O46" s="189"/>
      <c r="P46" s="189"/>
      <c r="Q46" s="189"/>
      <c r="R46" s="189" t="str">
        <f t="shared" si="4"/>
        <v xml:space="preserve"> </v>
      </c>
      <c r="S46" s="189"/>
      <c r="T46" s="253"/>
      <c r="U46" s="13"/>
      <c r="V46" s="253"/>
      <c r="W46" s="253"/>
      <c r="X46" s="16"/>
    </row>
    <row r="47" spans="1:24" ht="15" customHeight="1" x14ac:dyDescent="0.35">
      <c r="A47" s="245">
        <v>45043</v>
      </c>
      <c r="B47" s="246"/>
      <c r="C47" s="211" t="s">
        <v>339</v>
      </c>
      <c r="D47" s="15">
        <v>6</v>
      </c>
      <c r="E47" s="15"/>
      <c r="F47" s="9">
        <v>860</v>
      </c>
      <c r="G47" s="29">
        <f t="shared" si="0"/>
        <v>5160</v>
      </c>
      <c r="H47" s="11"/>
      <c r="I47" s="10"/>
      <c r="J47" s="29">
        <f t="shared" si="1"/>
        <v>0</v>
      </c>
      <c r="K47" s="29"/>
      <c r="L47" s="223">
        <f t="shared" si="2"/>
        <v>5160</v>
      </c>
      <c r="M47" s="12"/>
      <c r="N47" s="218" t="str">
        <f>IF(M47&gt;0,SUM(L47-M47)," ")</f>
        <v xml:space="preserve"> </v>
      </c>
      <c r="O47" s="189"/>
      <c r="P47" s="189"/>
      <c r="Q47" s="189"/>
      <c r="R47" s="189" t="str">
        <f t="shared" si="4"/>
        <v xml:space="preserve"> </v>
      </c>
      <c r="S47" s="189"/>
      <c r="T47" s="253"/>
      <c r="U47" s="13"/>
      <c r="V47" s="253"/>
      <c r="W47" s="253"/>
      <c r="X47" s="16"/>
    </row>
    <row r="48" spans="1:24" ht="15" customHeight="1" x14ac:dyDescent="0.35">
      <c r="A48" s="245"/>
      <c r="B48" s="246"/>
      <c r="C48" s="211"/>
      <c r="D48" s="15"/>
      <c r="E48" s="15"/>
      <c r="F48" s="9">
        <v>860</v>
      </c>
      <c r="G48" s="29">
        <f t="shared" si="0"/>
        <v>0</v>
      </c>
      <c r="H48" s="11"/>
      <c r="I48" s="10"/>
      <c r="J48" s="29">
        <f t="shared" si="1"/>
        <v>0</v>
      </c>
      <c r="K48" s="29"/>
      <c r="L48" s="223">
        <f t="shared" si="2"/>
        <v>0</v>
      </c>
      <c r="M48" s="213"/>
      <c r="N48" s="218" t="str">
        <f t="shared" si="3"/>
        <v xml:space="preserve"> </v>
      </c>
      <c r="O48" s="189"/>
      <c r="P48" s="189"/>
      <c r="Q48" s="189"/>
      <c r="R48" s="189" t="str">
        <f t="shared" si="4"/>
        <v xml:space="preserve"> </v>
      </c>
      <c r="S48" s="189"/>
      <c r="T48" s="253"/>
      <c r="U48" s="13"/>
      <c r="V48" s="253"/>
      <c r="W48" s="253"/>
      <c r="X48" s="16"/>
    </row>
    <row r="49" spans="1:24" ht="15" customHeight="1" x14ac:dyDescent="0.35">
      <c r="A49" s="245"/>
      <c r="B49" s="246"/>
      <c r="C49" s="212"/>
      <c r="D49" s="15"/>
      <c r="E49" s="15"/>
      <c r="F49" s="9">
        <v>850</v>
      </c>
      <c r="G49" s="29">
        <f t="shared" si="0"/>
        <v>0</v>
      </c>
      <c r="H49" s="11"/>
      <c r="I49" s="10"/>
      <c r="J49" s="29">
        <f t="shared" si="1"/>
        <v>0</v>
      </c>
      <c r="K49" s="29"/>
      <c r="L49" s="223">
        <f t="shared" si="2"/>
        <v>0</v>
      </c>
      <c r="M49" s="12"/>
      <c r="N49" s="218" t="str">
        <f t="shared" si="3"/>
        <v xml:space="preserve"> </v>
      </c>
      <c r="O49" s="189"/>
      <c r="P49" s="189"/>
      <c r="Q49" s="189"/>
      <c r="R49" s="189" t="str">
        <f t="shared" si="4"/>
        <v xml:space="preserve"> </v>
      </c>
      <c r="S49" s="189"/>
      <c r="T49" s="253"/>
      <c r="U49" s="13"/>
      <c r="V49" s="253"/>
      <c r="W49" s="253"/>
      <c r="X49" s="16"/>
    </row>
    <row r="50" spans="1:24" ht="15" customHeight="1" x14ac:dyDescent="0.35">
      <c r="A50" s="245"/>
      <c r="B50" s="246"/>
      <c r="C50" s="211"/>
      <c r="D50" s="15"/>
      <c r="E50" s="15"/>
      <c r="F50" s="9">
        <v>880</v>
      </c>
      <c r="G50" s="29">
        <f t="shared" si="0"/>
        <v>0</v>
      </c>
      <c r="H50" s="11"/>
      <c r="I50" s="10"/>
      <c r="J50" s="29">
        <f t="shared" si="1"/>
        <v>0</v>
      </c>
      <c r="K50" s="29"/>
      <c r="L50" s="223">
        <f t="shared" si="2"/>
        <v>0</v>
      </c>
      <c r="M50" s="12"/>
      <c r="N50" s="218" t="str">
        <f t="shared" si="3"/>
        <v xml:space="preserve"> </v>
      </c>
      <c r="O50" s="189"/>
      <c r="P50" s="189"/>
      <c r="Q50" s="189"/>
      <c r="R50" s="189" t="str">
        <f t="shared" si="4"/>
        <v xml:space="preserve"> </v>
      </c>
      <c r="S50" s="189"/>
      <c r="T50" s="253"/>
      <c r="U50" s="13"/>
      <c r="V50" s="253"/>
      <c r="W50" s="253"/>
      <c r="X50" s="16"/>
    </row>
    <row r="51" spans="1:24" ht="15" customHeight="1" x14ac:dyDescent="0.35">
      <c r="A51" s="245"/>
      <c r="B51" s="246"/>
      <c r="C51" s="211"/>
      <c r="D51" s="15"/>
      <c r="E51" s="15"/>
      <c r="F51" s="9">
        <v>880</v>
      </c>
      <c r="G51" s="29">
        <f t="shared" si="0"/>
        <v>0</v>
      </c>
      <c r="H51" s="11"/>
      <c r="I51" s="10"/>
      <c r="J51" s="29">
        <f t="shared" si="1"/>
        <v>0</v>
      </c>
      <c r="K51" s="29"/>
      <c r="L51" s="223">
        <f t="shared" si="2"/>
        <v>0</v>
      </c>
      <c r="M51" s="213"/>
      <c r="N51" s="218" t="str">
        <f t="shared" si="3"/>
        <v xml:space="preserve"> </v>
      </c>
      <c r="O51" s="189"/>
      <c r="P51" s="189"/>
      <c r="Q51" s="189"/>
      <c r="R51" s="189" t="str">
        <f t="shared" si="4"/>
        <v xml:space="preserve"> </v>
      </c>
      <c r="S51" s="189"/>
      <c r="T51" s="253"/>
      <c r="U51" s="13"/>
      <c r="V51" s="253"/>
      <c r="W51" s="253"/>
      <c r="X51" s="16"/>
    </row>
    <row r="52" spans="1:24" ht="15" customHeight="1" x14ac:dyDescent="0.35">
      <c r="A52" s="245"/>
      <c r="B52" s="246"/>
      <c r="C52" s="211"/>
      <c r="D52" s="15"/>
      <c r="E52" s="15"/>
      <c r="F52" s="9">
        <v>850</v>
      </c>
      <c r="G52" s="29">
        <f t="shared" si="0"/>
        <v>0</v>
      </c>
      <c r="H52" s="11"/>
      <c r="I52" s="10"/>
      <c r="J52" s="29">
        <f t="shared" si="1"/>
        <v>0</v>
      </c>
      <c r="K52" s="29"/>
      <c r="L52" s="223">
        <f t="shared" si="2"/>
        <v>0</v>
      </c>
      <c r="M52" s="12"/>
      <c r="N52" s="218" t="str">
        <f t="shared" si="3"/>
        <v xml:space="preserve"> </v>
      </c>
      <c r="O52" s="189"/>
      <c r="P52" s="189"/>
      <c r="Q52" s="189"/>
      <c r="R52" s="189" t="str">
        <f t="shared" si="4"/>
        <v xml:space="preserve"> </v>
      </c>
      <c r="S52" s="189"/>
      <c r="T52" s="253"/>
      <c r="U52" s="13"/>
      <c r="V52" s="253"/>
      <c r="W52" s="253"/>
      <c r="X52" s="16"/>
    </row>
    <row r="53" spans="1:24" ht="15" customHeight="1" x14ac:dyDescent="0.35">
      <c r="A53" s="245"/>
      <c r="B53" s="246"/>
      <c r="C53" s="212"/>
      <c r="D53" s="15"/>
      <c r="E53" s="15"/>
      <c r="F53" s="9">
        <v>900</v>
      </c>
      <c r="G53" s="29">
        <f t="shared" si="0"/>
        <v>0</v>
      </c>
      <c r="H53" s="11"/>
      <c r="I53" s="10"/>
      <c r="J53" s="29">
        <f t="shared" si="1"/>
        <v>0</v>
      </c>
      <c r="K53" s="29"/>
      <c r="L53" s="223">
        <f t="shared" si="2"/>
        <v>0</v>
      </c>
      <c r="M53" s="12"/>
      <c r="N53" s="218" t="str">
        <f t="shared" si="3"/>
        <v xml:space="preserve"> </v>
      </c>
      <c r="O53" s="189"/>
      <c r="P53" s="189"/>
      <c r="Q53" s="189"/>
      <c r="R53" s="189" t="str">
        <f t="shared" si="4"/>
        <v xml:space="preserve"> </v>
      </c>
      <c r="S53" s="189"/>
      <c r="T53" s="253"/>
      <c r="U53" s="13"/>
      <c r="V53" s="253"/>
      <c r="W53" s="253"/>
      <c r="X53" s="16"/>
    </row>
    <row r="54" spans="1:24" ht="15" customHeight="1" x14ac:dyDescent="0.35">
      <c r="A54" s="245"/>
      <c r="B54" s="246"/>
      <c r="C54" s="211"/>
      <c r="D54" s="15"/>
      <c r="E54" s="15"/>
      <c r="F54" s="9">
        <v>880</v>
      </c>
      <c r="G54" s="29">
        <f t="shared" si="0"/>
        <v>0</v>
      </c>
      <c r="H54" s="11"/>
      <c r="I54" s="10"/>
      <c r="J54" s="29">
        <f t="shared" si="1"/>
        <v>0</v>
      </c>
      <c r="K54" s="29"/>
      <c r="L54" s="223">
        <f t="shared" si="2"/>
        <v>0</v>
      </c>
      <c r="M54" s="12"/>
      <c r="N54" s="218" t="str">
        <f t="shared" si="3"/>
        <v xml:space="preserve"> </v>
      </c>
      <c r="O54" s="189"/>
      <c r="P54" s="189"/>
      <c r="Q54" s="189"/>
      <c r="R54" s="189" t="str">
        <f t="shared" si="4"/>
        <v xml:space="preserve"> </v>
      </c>
      <c r="S54" s="189"/>
      <c r="T54" s="253"/>
      <c r="U54" s="13"/>
      <c r="V54" s="253"/>
      <c r="W54" s="253"/>
      <c r="X54" s="16"/>
    </row>
    <row r="55" spans="1:24" ht="15" customHeight="1" x14ac:dyDescent="0.35">
      <c r="A55" s="245"/>
      <c r="B55" s="246"/>
      <c r="C55" s="211"/>
      <c r="D55" s="15"/>
      <c r="E55" s="15"/>
      <c r="F55" s="9">
        <v>880</v>
      </c>
      <c r="G55" s="29">
        <f t="shared" si="0"/>
        <v>0</v>
      </c>
      <c r="H55" s="11"/>
      <c r="I55" s="10"/>
      <c r="J55" s="29">
        <f t="shared" si="1"/>
        <v>0</v>
      </c>
      <c r="K55" s="29"/>
      <c r="L55" s="223">
        <f t="shared" si="2"/>
        <v>0</v>
      </c>
      <c r="M55" s="12"/>
      <c r="N55" s="218" t="str">
        <f t="shared" si="3"/>
        <v xml:space="preserve"> </v>
      </c>
      <c r="O55" s="189"/>
      <c r="P55" s="189"/>
      <c r="Q55" s="189"/>
      <c r="R55" s="189" t="str">
        <f t="shared" si="4"/>
        <v xml:space="preserve"> </v>
      </c>
      <c r="S55" s="189"/>
      <c r="T55" s="253"/>
      <c r="U55" s="13"/>
      <c r="V55" s="253"/>
      <c r="W55" s="253"/>
      <c r="X55" s="16"/>
    </row>
    <row r="56" spans="1:24" ht="15" customHeight="1" x14ac:dyDescent="0.35">
      <c r="A56" s="245"/>
      <c r="B56" s="246"/>
      <c r="C56" s="211"/>
      <c r="D56" s="15"/>
      <c r="E56" s="15"/>
      <c r="F56" s="9">
        <v>880</v>
      </c>
      <c r="G56" s="29">
        <f t="shared" si="0"/>
        <v>0</v>
      </c>
      <c r="H56" s="11"/>
      <c r="I56" s="10"/>
      <c r="J56" s="29">
        <f t="shared" si="1"/>
        <v>0</v>
      </c>
      <c r="K56" s="29"/>
      <c r="L56" s="223">
        <f t="shared" si="2"/>
        <v>0</v>
      </c>
      <c r="M56" s="12"/>
      <c r="N56" s="218" t="str">
        <f t="shared" si="3"/>
        <v xml:space="preserve"> </v>
      </c>
      <c r="O56" s="189"/>
      <c r="P56" s="189"/>
      <c r="Q56" s="189"/>
      <c r="R56" s="189" t="str">
        <f t="shared" si="4"/>
        <v xml:space="preserve"> </v>
      </c>
      <c r="S56" s="189"/>
      <c r="T56" s="253"/>
      <c r="U56" s="13"/>
      <c r="V56" s="253"/>
      <c r="W56" s="253"/>
      <c r="X56" s="16"/>
    </row>
    <row r="57" spans="1:24" ht="15" customHeight="1" x14ac:dyDescent="0.35">
      <c r="A57" s="245"/>
      <c r="B57" s="246"/>
      <c r="C57" s="211"/>
      <c r="D57" s="15"/>
      <c r="E57" s="15"/>
      <c r="F57" s="9">
        <v>850</v>
      </c>
      <c r="G57" s="29">
        <f t="shared" si="0"/>
        <v>0</v>
      </c>
      <c r="H57" s="11"/>
      <c r="I57" s="10"/>
      <c r="J57" s="29">
        <f t="shared" si="1"/>
        <v>0</v>
      </c>
      <c r="K57" s="29"/>
      <c r="L57" s="223">
        <f t="shared" si="2"/>
        <v>0</v>
      </c>
      <c r="M57" s="12"/>
      <c r="N57" s="218" t="str">
        <f t="shared" si="3"/>
        <v xml:space="preserve"> </v>
      </c>
      <c r="O57" s="189"/>
      <c r="P57" s="189"/>
      <c r="Q57" s="189"/>
      <c r="R57" s="189" t="str">
        <f t="shared" si="4"/>
        <v xml:space="preserve"> </v>
      </c>
      <c r="S57" s="189"/>
      <c r="T57" s="253"/>
      <c r="U57" s="13"/>
      <c r="V57" s="253"/>
      <c r="W57" s="253"/>
      <c r="X57" s="16"/>
    </row>
    <row r="58" spans="1:24" ht="15" customHeight="1" x14ac:dyDescent="0.35">
      <c r="A58" s="245"/>
      <c r="B58" s="246"/>
      <c r="C58" s="212"/>
      <c r="D58" s="15"/>
      <c r="E58" s="15"/>
      <c r="F58" s="9">
        <v>880</v>
      </c>
      <c r="G58" s="29">
        <f t="shared" si="0"/>
        <v>0</v>
      </c>
      <c r="H58" s="11"/>
      <c r="I58" s="10"/>
      <c r="J58" s="29">
        <f t="shared" si="1"/>
        <v>0</v>
      </c>
      <c r="K58" s="29"/>
      <c r="L58" s="223">
        <f t="shared" si="2"/>
        <v>0</v>
      </c>
      <c r="M58" s="12"/>
      <c r="N58" s="239" t="str">
        <f t="shared" si="3"/>
        <v xml:space="preserve"> </v>
      </c>
      <c r="O58" s="189"/>
      <c r="P58" s="189"/>
      <c r="Q58" s="189"/>
      <c r="R58" s="189" t="str">
        <f t="shared" si="4"/>
        <v xml:space="preserve"> </v>
      </c>
      <c r="S58" s="189"/>
      <c r="T58" s="253"/>
      <c r="U58" s="13"/>
      <c r="V58" s="253"/>
      <c r="W58" s="253"/>
      <c r="X58" s="16"/>
    </row>
    <row r="59" spans="1:24" ht="15" customHeight="1" x14ac:dyDescent="0.35">
      <c r="A59" s="245"/>
      <c r="B59" s="246"/>
      <c r="C59" s="211"/>
      <c r="D59" s="15"/>
      <c r="E59" s="15"/>
      <c r="F59" s="9">
        <v>900</v>
      </c>
      <c r="G59" s="29">
        <f t="shared" si="0"/>
        <v>0</v>
      </c>
      <c r="H59" s="11"/>
      <c r="I59" s="10"/>
      <c r="J59" s="29">
        <f t="shared" si="1"/>
        <v>0</v>
      </c>
      <c r="K59" s="29"/>
      <c r="L59" s="223">
        <f t="shared" si="2"/>
        <v>0</v>
      </c>
      <c r="M59" s="12"/>
      <c r="N59" s="218" t="str">
        <f t="shared" si="3"/>
        <v xml:space="preserve"> </v>
      </c>
      <c r="O59" s="189"/>
      <c r="P59" s="189"/>
      <c r="Q59" s="189"/>
      <c r="R59" s="189" t="str">
        <f t="shared" si="4"/>
        <v xml:space="preserve"> </v>
      </c>
      <c r="S59" s="189"/>
      <c r="T59" s="253"/>
      <c r="U59" s="13"/>
      <c r="V59" s="253"/>
      <c r="W59" s="253"/>
      <c r="X59" s="16"/>
    </row>
    <row r="60" spans="1:24" ht="15" customHeight="1" x14ac:dyDescent="0.35">
      <c r="A60" s="245"/>
      <c r="B60" s="246"/>
      <c r="C60" s="211"/>
      <c r="D60" s="15"/>
      <c r="E60" s="15"/>
      <c r="F60" s="9">
        <v>870</v>
      </c>
      <c r="G60" s="29">
        <f t="shared" si="0"/>
        <v>0</v>
      </c>
      <c r="H60" s="11"/>
      <c r="I60" s="10"/>
      <c r="J60" s="29">
        <f t="shared" si="1"/>
        <v>0</v>
      </c>
      <c r="K60" s="29"/>
      <c r="L60" s="223">
        <f t="shared" si="2"/>
        <v>0</v>
      </c>
      <c r="M60" s="12"/>
      <c r="N60" s="218" t="str">
        <f t="shared" si="3"/>
        <v xml:space="preserve"> </v>
      </c>
      <c r="O60" s="189"/>
      <c r="P60" s="189"/>
      <c r="Q60" s="189"/>
      <c r="R60" s="189" t="str">
        <f>IF(O60&gt;0,SUM(O60-(L60+P60))," ")</f>
        <v xml:space="preserve"> </v>
      </c>
      <c r="S60" s="189"/>
      <c r="T60" s="253"/>
      <c r="U60" s="13"/>
      <c r="V60" s="253"/>
      <c r="W60" s="253"/>
      <c r="X60" s="16"/>
    </row>
    <row r="61" spans="1:24" ht="15" customHeight="1" x14ac:dyDescent="0.35">
      <c r="A61" s="245"/>
      <c r="B61" s="246"/>
      <c r="C61" s="212"/>
      <c r="D61" s="15"/>
      <c r="E61" s="15"/>
      <c r="F61" s="9">
        <v>880</v>
      </c>
      <c r="G61" s="29">
        <f t="shared" si="0"/>
        <v>0</v>
      </c>
      <c r="H61" s="11"/>
      <c r="I61" s="10"/>
      <c r="J61" s="29">
        <f t="shared" si="1"/>
        <v>0</v>
      </c>
      <c r="K61" s="29"/>
      <c r="L61" s="223">
        <f t="shared" si="2"/>
        <v>0</v>
      </c>
      <c r="M61" s="12"/>
      <c r="N61" s="218" t="str">
        <f t="shared" si="3"/>
        <v xml:space="preserve"> </v>
      </c>
      <c r="O61" s="189"/>
      <c r="P61" s="189"/>
      <c r="Q61" s="189"/>
      <c r="R61" s="189" t="str">
        <f>IF(O61&gt;0,SUM(O61-(L61+P61))," ")</f>
        <v xml:space="preserve"> </v>
      </c>
      <c r="S61" s="189"/>
      <c r="T61" s="253"/>
      <c r="U61" s="13"/>
      <c r="V61" s="253"/>
      <c r="W61" s="253"/>
      <c r="X61" s="16"/>
    </row>
    <row r="62" spans="1:24" ht="15" customHeight="1" x14ac:dyDescent="0.35">
      <c r="A62" s="245"/>
      <c r="B62" s="246"/>
      <c r="C62" s="211"/>
      <c r="D62" s="15"/>
      <c r="E62" s="15"/>
      <c r="F62" s="9">
        <v>800</v>
      </c>
      <c r="G62" s="29">
        <f t="shared" si="0"/>
        <v>0</v>
      </c>
      <c r="H62" s="11"/>
      <c r="I62" s="10"/>
      <c r="J62" s="29">
        <f t="shared" si="1"/>
        <v>0</v>
      </c>
      <c r="K62" s="29"/>
      <c r="L62" s="223">
        <f t="shared" si="2"/>
        <v>0</v>
      </c>
      <c r="M62" s="213"/>
      <c r="N62" s="218" t="str">
        <f t="shared" ref="N62:N101" si="5">IF(M62&gt;0,SUM(L62-M62)," ")</f>
        <v xml:space="preserve"> </v>
      </c>
      <c r="O62" s="189"/>
      <c r="P62" s="189"/>
      <c r="Q62" s="189"/>
      <c r="R62" s="189" t="str">
        <f t="shared" ref="R62:R97" si="6">IF(O62&gt;0,SUM(O62-(L62+P62))," ")</f>
        <v xml:space="preserve"> </v>
      </c>
      <c r="S62" s="189"/>
      <c r="T62" s="253"/>
      <c r="U62" s="13"/>
      <c r="V62" s="253"/>
      <c r="W62" s="253"/>
      <c r="X62" s="16"/>
    </row>
    <row r="63" spans="1:24" ht="15" customHeight="1" x14ac:dyDescent="0.35">
      <c r="A63" s="245"/>
      <c r="B63" s="246"/>
      <c r="C63" s="211"/>
      <c r="D63" s="15"/>
      <c r="E63" s="15"/>
      <c r="F63" s="9">
        <v>800</v>
      </c>
      <c r="G63" s="29">
        <f t="shared" si="0"/>
        <v>0</v>
      </c>
      <c r="H63" s="11"/>
      <c r="I63" s="10"/>
      <c r="J63" s="29">
        <f t="shared" si="1"/>
        <v>0</v>
      </c>
      <c r="K63" s="29"/>
      <c r="L63" s="223">
        <f t="shared" si="2"/>
        <v>0</v>
      </c>
      <c r="M63" s="213"/>
      <c r="N63" s="239" t="str">
        <f t="shared" si="5"/>
        <v xml:space="preserve"> </v>
      </c>
      <c r="O63" s="189"/>
      <c r="P63" s="189"/>
      <c r="Q63" s="189"/>
      <c r="R63" s="189" t="str">
        <f t="shared" si="6"/>
        <v xml:space="preserve"> </v>
      </c>
      <c r="S63" s="189"/>
      <c r="T63" s="253"/>
      <c r="U63" s="13"/>
      <c r="V63" s="253"/>
      <c r="W63" s="253"/>
      <c r="X63" s="16"/>
    </row>
    <row r="64" spans="1:24" ht="15" customHeight="1" x14ac:dyDescent="0.35">
      <c r="A64" s="245"/>
      <c r="B64" s="246"/>
      <c r="C64" s="212"/>
      <c r="D64" s="15"/>
      <c r="E64" s="15"/>
      <c r="F64" s="9">
        <v>800</v>
      </c>
      <c r="G64" s="29">
        <f t="shared" si="0"/>
        <v>0</v>
      </c>
      <c r="H64" s="11"/>
      <c r="I64" s="10"/>
      <c r="J64" s="29">
        <f t="shared" si="1"/>
        <v>0</v>
      </c>
      <c r="K64" s="29"/>
      <c r="L64" s="223">
        <f t="shared" si="2"/>
        <v>0</v>
      </c>
      <c r="M64" s="12"/>
      <c r="N64" s="218" t="str">
        <f t="shared" si="5"/>
        <v xml:space="preserve"> </v>
      </c>
      <c r="O64" s="189"/>
      <c r="P64" s="189"/>
      <c r="Q64" s="189"/>
      <c r="R64" s="189" t="str">
        <f t="shared" si="6"/>
        <v xml:space="preserve"> </v>
      </c>
      <c r="S64" s="189"/>
      <c r="T64" s="253"/>
      <c r="U64" s="13"/>
      <c r="V64" s="253"/>
      <c r="W64" s="253"/>
      <c r="X64" s="16"/>
    </row>
    <row r="65" spans="1:24" ht="15" customHeight="1" x14ac:dyDescent="0.35">
      <c r="A65" s="245"/>
      <c r="B65" s="246"/>
      <c r="C65" s="212"/>
      <c r="D65" s="15"/>
      <c r="E65" s="15"/>
      <c r="F65" s="9">
        <v>800</v>
      </c>
      <c r="G65" s="29">
        <f t="shared" si="0"/>
        <v>0</v>
      </c>
      <c r="H65" s="11"/>
      <c r="I65" s="10"/>
      <c r="J65" s="29">
        <f t="shared" si="1"/>
        <v>0</v>
      </c>
      <c r="K65" s="29"/>
      <c r="L65" s="223">
        <f t="shared" si="2"/>
        <v>0</v>
      </c>
      <c r="M65" s="12"/>
      <c r="N65" s="218" t="str">
        <f t="shared" si="5"/>
        <v xml:space="preserve"> </v>
      </c>
      <c r="O65" s="189"/>
      <c r="P65" s="189"/>
      <c r="Q65" s="189"/>
      <c r="R65" s="189" t="str">
        <f t="shared" si="6"/>
        <v xml:space="preserve"> </v>
      </c>
      <c r="S65" s="189"/>
      <c r="T65" s="253"/>
      <c r="U65" s="13"/>
      <c r="V65" s="253"/>
      <c r="W65" s="253"/>
      <c r="X65" s="16"/>
    </row>
    <row r="66" spans="1:24" ht="15" customHeight="1" x14ac:dyDescent="0.35">
      <c r="A66" s="245"/>
      <c r="B66" s="246"/>
      <c r="C66" s="211"/>
      <c r="D66" s="15"/>
      <c r="E66" s="15"/>
      <c r="F66" s="9">
        <v>800</v>
      </c>
      <c r="G66" s="29">
        <f t="shared" si="0"/>
        <v>0</v>
      </c>
      <c r="H66" s="11"/>
      <c r="I66" s="10"/>
      <c r="J66" s="29">
        <f t="shared" si="1"/>
        <v>0</v>
      </c>
      <c r="K66" s="29"/>
      <c r="L66" s="223">
        <f t="shared" si="2"/>
        <v>0</v>
      </c>
      <c r="M66" s="12"/>
      <c r="N66" s="218" t="str">
        <f t="shared" si="5"/>
        <v xml:space="preserve"> </v>
      </c>
      <c r="O66" s="189"/>
      <c r="P66" s="189"/>
      <c r="Q66" s="189"/>
      <c r="R66" s="189" t="str">
        <f t="shared" si="6"/>
        <v xml:space="preserve"> </v>
      </c>
      <c r="S66" s="189"/>
      <c r="T66" s="253"/>
      <c r="U66" s="13"/>
      <c r="V66" s="253"/>
      <c r="W66" s="253"/>
      <c r="X66" s="16"/>
    </row>
    <row r="67" spans="1:24" ht="15" customHeight="1" x14ac:dyDescent="0.35">
      <c r="A67" s="245"/>
      <c r="B67" s="246"/>
      <c r="C67" s="211"/>
      <c r="D67" s="15"/>
      <c r="E67" s="15"/>
      <c r="F67" s="9">
        <v>800</v>
      </c>
      <c r="G67" s="29">
        <f t="shared" si="0"/>
        <v>0</v>
      </c>
      <c r="H67" s="11"/>
      <c r="I67" s="10"/>
      <c r="J67" s="29">
        <f t="shared" si="1"/>
        <v>0</v>
      </c>
      <c r="K67" s="29"/>
      <c r="L67" s="223">
        <f t="shared" si="2"/>
        <v>0</v>
      </c>
      <c r="M67" s="12"/>
      <c r="N67" s="218" t="str">
        <f t="shared" si="5"/>
        <v xml:space="preserve"> </v>
      </c>
      <c r="O67" s="189"/>
      <c r="P67" s="189"/>
      <c r="Q67" s="189"/>
      <c r="R67" s="189" t="str">
        <f t="shared" si="6"/>
        <v xml:space="preserve"> </v>
      </c>
      <c r="S67" s="189"/>
      <c r="T67" s="253"/>
      <c r="U67" s="13"/>
      <c r="V67" s="253"/>
      <c r="W67" s="253"/>
      <c r="X67" s="16"/>
    </row>
    <row r="68" spans="1:24" ht="15" customHeight="1" x14ac:dyDescent="0.35">
      <c r="A68" s="245"/>
      <c r="B68" s="246"/>
      <c r="C68" s="211"/>
      <c r="D68" s="15"/>
      <c r="E68" s="15"/>
      <c r="F68" s="9">
        <v>800</v>
      </c>
      <c r="G68" s="29">
        <f t="shared" ref="G68:G100" si="7">(F68*D68)+(E68*F68)</f>
        <v>0</v>
      </c>
      <c r="H68" s="11"/>
      <c r="I68" s="10"/>
      <c r="J68" s="29">
        <f t="shared" ref="J68:J100" si="8">H68*I68</f>
        <v>0</v>
      </c>
      <c r="K68" s="29"/>
      <c r="L68" s="223">
        <f t="shared" si="2"/>
        <v>0</v>
      </c>
      <c r="M68" s="12"/>
      <c r="N68" s="218" t="str">
        <f t="shared" si="5"/>
        <v xml:space="preserve"> </v>
      </c>
      <c r="O68" s="189"/>
      <c r="P68" s="189"/>
      <c r="Q68" s="189"/>
      <c r="R68" s="189" t="str">
        <f t="shared" si="6"/>
        <v xml:space="preserve"> </v>
      </c>
      <c r="S68" s="189"/>
      <c r="T68" s="253"/>
      <c r="U68" s="13"/>
      <c r="V68" s="253"/>
      <c r="W68" s="253"/>
      <c r="X68" s="16"/>
    </row>
    <row r="69" spans="1:24" ht="15" customHeight="1" x14ac:dyDescent="0.35">
      <c r="A69" s="245"/>
      <c r="B69" s="246"/>
      <c r="C69" s="211"/>
      <c r="D69" s="15"/>
      <c r="E69" s="15"/>
      <c r="F69" s="9">
        <v>800</v>
      </c>
      <c r="G69" s="29">
        <f t="shared" si="7"/>
        <v>0</v>
      </c>
      <c r="H69" s="11"/>
      <c r="I69" s="10"/>
      <c r="J69" s="29">
        <f t="shared" si="8"/>
        <v>0</v>
      </c>
      <c r="K69" s="29"/>
      <c r="L69" s="223">
        <f t="shared" ref="L69:L100" si="9">(J69+G69)-K69</f>
        <v>0</v>
      </c>
      <c r="M69" s="12"/>
      <c r="N69" s="218" t="str">
        <f t="shared" si="5"/>
        <v xml:space="preserve"> </v>
      </c>
      <c r="O69" s="189"/>
      <c r="P69" s="189"/>
      <c r="Q69" s="189"/>
      <c r="R69" s="189" t="str">
        <f t="shared" si="6"/>
        <v xml:space="preserve"> </v>
      </c>
      <c r="S69" s="189"/>
      <c r="T69" s="253"/>
      <c r="U69" s="13"/>
      <c r="V69" s="253"/>
      <c r="W69" s="253"/>
      <c r="X69" s="16"/>
    </row>
    <row r="70" spans="1:24" ht="15" customHeight="1" x14ac:dyDescent="0.35">
      <c r="A70" s="245"/>
      <c r="B70" s="246"/>
      <c r="C70" s="212"/>
      <c r="D70" s="15"/>
      <c r="E70" s="15"/>
      <c r="F70" s="9">
        <v>800</v>
      </c>
      <c r="G70" s="29">
        <f t="shared" si="7"/>
        <v>0</v>
      </c>
      <c r="H70" s="11"/>
      <c r="I70" s="10"/>
      <c r="J70" s="29">
        <f t="shared" si="8"/>
        <v>0</v>
      </c>
      <c r="K70" s="29"/>
      <c r="L70" s="223">
        <f t="shared" si="9"/>
        <v>0</v>
      </c>
      <c r="M70" s="12"/>
      <c r="N70" s="218" t="str">
        <f t="shared" si="5"/>
        <v xml:space="preserve"> </v>
      </c>
      <c r="O70" s="189"/>
      <c r="P70" s="189"/>
      <c r="Q70" s="189"/>
      <c r="R70" s="189" t="str">
        <f t="shared" si="6"/>
        <v xml:space="preserve"> </v>
      </c>
      <c r="S70" s="189"/>
      <c r="T70" s="253"/>
      <c r="U70" s="13"/>
      <c r="V70" s="253"/>
      <c r="W70" s="253"/>
      <c r="X70" s="16"/>
    </row>
    <row r="71" spans="1:24" ht="15" customHeight="1" x14ac:dyDescent="0.35">
      <c r="A71" s="245"/>
      <c r="B71" s="246"/>
      <c r="C71" s="211"/>
      <c r="D71" s="15"/>
      <c r="E71" s="15"/>
      <c r="F71" s="9">
        <v>800</v>
      </c>
      <c r="G71" s="29">
        <f t="shared" si="7"/>
        <v>0</v>
      </c>
      <c r="H71" s="11"/>
      <c r="I71" s="10"/>
      <c r="J71" s="29">
        <f t="shared" si="8"/>
        <v>0</v>
      </c>
      <c r="K71" s="29"/>
      <c r="L71" s="223">
        <f t="shared" si="9"/>
        <v>0</v>
      </c>
      <c r="M71" s="12"/>
      <c r="N71" s="218" t="str">
        <f t="shared" si="5"/>
        <v xml:space="preserve"> </v>
      </c>
      <c r="O71" s="189"/>
      <c r="P71" s="189"/>
      <c r="Q71" s="189"/>
      <c r="R71" s="189" t="str">
        <f t="shared" si="6"/>
        <v xml:space="preserve"> </v>
      </c>
      <c r="S71" s="189"/>
      <c r="T71" s="253"/>
      <c r="U71" s="13"/>
      <c r="V71" s="253"/>
      <c r="W71" s="253"/>
      <c r="X71" s="16"/>
    </row>
    <row r="72" spans="1:24" ht="15" customHeight="1" x14ac:dyDescent="0.35">
      <c r="A72" s="245"/>
      <c r="B72" s="246"/>
      <c r="C72" s="212"/>
      <c r="D72" s="15"/>
      <c r="E72" s="15"/>
      <c r="F72" s="9">
        <v>800</v>
      </c>
      <c r="G72" s="29">
        <f t="shared" si="7"/>
        <v>0</v>
      </c>
      <c r="H72" s="11"/>
      <c r="I72" s="10"/>
      <c r="J72" s="29">
        <f t="shared" si="8"/>
        <v>0</v>
      </c>
      <c r="K72" s="29"/>
      <c r="L72" s="223">
        <f t="shared" si="9"/>
        <v>0</v>
      </c>
      <c r="M72" s="12"/>
      <c r="N72" s="218" t="str">
        <f t="shared" si="5"/>
        <v xml:space="preserve"> </v>
      </c>
      <c r="O72" s="189"/>
      <c r="P72" s="189"/>
      <c r="Q72" s="189"/>
      <c r="R72" s="189" t="str">
        <f t="shared" si="6"/>
        <v xml:space="preserve"> </v>
      </c>
      <c r="S72" s="189"/>
      <c r="T72" s="253"/>
      <c r="U72" s="13"/>
      <c r="V72" s="253"/>
      <c r="W72" s="253"/>
      <c r="X72" s="16"/>
    </row>
    <row r="73" spans="1:24" ht="15" customHeight="1" x14ac:dyDescent="0.35">
      <c r="A73" s="245"/>
      <c r="B73" s="246"/>
      <c r="C73" s="211"/>
      <c r="D73" s="15"/>
      <c r="E73" s="15"/>
      <c r="F73" s="9">
        <v>800</v>
      </c>
      <c r="G73" s="29">
        <f t="shared" si="7"/>
        <v>0</v>
      </c>
      <c r="H73" s="11"/>
      <c r="I73" s="10"/>
      <c r="J73" s="29">
        <f t="shared" si="8"/>
        <v>0</v>
      </c>
      <c r="K73" s="29"/>
      <c r="L73" s="223">
        <f t="shared" si="9"/>
        <v>0</v>
      </c>
      <c r="M73" s="12"/>
      <c r="N73" s="218" t="str">
        <f t="shared" si="5"/>
        <v xml:space="preserve"> </v>
      </c>
      <c r="O73" s="189"/>
      <c r="P73" s="189"/>
      <c r="Q73" s="189"/>
      <c r="R73" s="189" t="str">
        <f t="shared" si="6"/>
        <v xml:space="preserve"> </v>
      </c>
      <c r="S73" s="189"/>
      <c r="T73" s="253"/>
      <c r="U73" s="13"/>
      <c r="V73" s="253"/>
      <c r="W73" s="253"/>
      <c r="X73" s="16"/>
    </row>
    <row r="74" spans="1:24" ht="15" customHeight="1" x14ac:dyDescent="0.35">
      <c r="A74" s="245"/>
      <c r="B74" s="246"/>
      <c r="C74" s="211"/>
      <c r="D74" s="15"/>
      <c r="E74" s="15"/>
      <c r="F74" s="9">
        <v>800</v>
      </c>
      <c r="G74" s="29">
        <f t="shared" si="7"/>
        <v>0</v>
      </c>
      <c r="H74" s="11"/>
      <c r="I74" s="10"/>
      <c r="J74" s="29">
        <f t="shared" si="8"/>
        <v>0</v>
      </c>
      <c r="K74" s="29"/>
      <c r="L74" s="223">
        <f t="shared" si="9"/>
        <v>0</v>
      </c>
      <c r="M74" s="12"/>
      <c r="N74" s="218" t="str">
        <f t="shared" si="5"/>
        <v xml:space="preserve"> </v>
      </c>
      <c r="O74" s="189"/>
      <c r="P74" s="189"/>
      <c r="Q74" s="189"/>
      <c r="R74" s="189" t="str">
        <f t="shared" si="6"/>
        <v xml:space="preserve"> </v>
      </c>
      <c r="S74" s="189"/>
      <c r="T74" s="253"/>
      <c r="U74" s="13"/>
      <c r="V74" s="253"/>
      <c r="W74" s="253"/>
      <c r="X74" s="16"/>
    </row>
    <row r="75" spans="1:24" ht="15" customHeight="1" x14ac:dyDescent="0.35">
      <c r="A75" s="245"/>
      <c r="B75" s="246"/>
      <c r="C75" s="211"/>
      <c r="D75" s="15"/>
      <c r="E75" s="15"/>
      <c r="F75" s="9">
        <v>800</v>
      </c>
      <c r="G75" s="29">
        <f t="shared" si="7"/>
        <v>0</v>
      </c>
      <c r="H75" s="11"/>
      <c r="I75" s="10"/>
      <c r="J75" s="29">
        <f t="shared" si="8"/>
        <v>0</v>
      </c>
      <c r="K75" s="29"/>
      <c r="L75" s="223">
        <f t="shared" si="9"/>
        <v>0</v>
      </c>
      <c r="M75" s="12"/>
      <c r="N75" s="218" t="str">
        <f t="shared" si="5"/>
        <v xml:space="preserve"> </v>
      </c>
      <c r="O75" s="189"/>
      <c r="P75" s="189"/>
      <c r="Q75" s="189"/>
      <c r="R75" s="189" t="str">
        <f t="shared" si="6"/>
        <v xml:space="preserve"> </v>
      </c>
      <c r="S75" s="189"/>
      <c r="T75" s="253"/>
      <c r="U75" s="13"/>
      <c r="V75" s="253"/>
      <c r="W75" s="253"/>
      <c r="X75" s="16"/>
    </row>
    <row r="76" spans="1:24" ht="15" customHeight="1" x14ac:dyDescent="0.35">
      <c r="A76" s="245"/>
      <c r="B76" s="246"/>
      <c r="C76" s="211"/>
      <c r="D76" s="15"/>
      <c r="E76" s="15"/>
      <c r="F76" s="9">
        <v>800</v>
      </c>
      <c r="G76" s="29">
        <f t="shared" si="7"/>
        <v>0</v>
      </c>
      <c r="H76" s="11"/>
      <c r="I76" s="10"/>
      <c r="J76" s="29">
        <f t="shared" si="8"/>
        <v>0</v>
      </c>
      <c r="K76" s="29"/>
      <c r="L76" s="223">
        <f t="shared" si="9"/>
        <v>0</v>
      </c>
      <c r="M76" s="12"/>
      <c r="N76" s="218" t="str">
        <f t="shared" si="5"/>
        <v xml:space="preserve"> </v>
      </c>
      <c r="O76" s="189"/>
      <c r="P76" s="189"/>
      <c r="Q76" s="189"/>
      <c r="R76" s="189" t="str">
        <f t="shared" si="6"/>
        <v xml:space="preserve"> </v>
      </c>
      <c r="S76" s="189"/>
      <c r="T76" s="253"/>
      <c r="U76" s="13"/>
      <c r="V76" s="253"/>
      <c r="W76" s="253"/>
      <c r="X76" s="16"/>
    </row>
    <row r="77" spans="1:24" ht="15" customHeight="1" x14ac:dyDescent="0.35">
      <c r="A77" s="245"/>
      <c r="B77" s="246"/>
      <c r="C77" s="211"/>
      <c r="D77" s="15"/>
      <c r="E77" s="15"/>
      <c r="F77" s="9">
        <v>800</v>
      </c>
      <c r="G77" s="29">
        <f t="shared" si="7"/>
        <v>0</v>
      </c>
      <c r="H77" s="11"/>
      <c r="I77" s="10"/>
      <c r="J77" s="29">
        <f t="shared" si="8"/>
        <v>0</v>
      </c>
      <c r="K77" s="29"/>
      <c r="L77" s="223">
        <f t="shared" si="9"/>
        <v>0</v>
      </c>
      <c r="M77" s="12"/>
      <c r="N77" s="218" t="str">
        <f t="shared" si="5"/>
        <v xml:space="preserve"> </v>
      </c>
      <c r="O77" s="189"/>
      <c r="P77" s="189"/>
      <c r="Q77" s="189"/>
      <c r="R77" s="189" t="str">
        <f t="shared" si="6"/>
        <v xml:space="preserve"> </v>
      </c>
      <c r="S77" s="189"/>
      <c r="T77" s="253"/>
      <c r="U77" s="13"/>
      <c r="V77" s="253"/>
      <c r="W77" s="253"/>
      <c r="X77" s="16"/>
    </row>
    <row r="78" spans="1:24" ht="15" customHeight="1" x14ac:dyDescent="0.35">
      <c r="A78" s="245"/>
      <c r="B78" s="246"/>
      <c r="C78" s="211"/>
      <c r="D78" s="15"/>
      <c r="E78" s="15"/>
      <c r="F78" s="9">
        <v>800</v>
      </c>
      <c r="G78" s="29">
        <f t="shared" si="7"/>
        <v>0</v>
      </c>
      <c r="H78" s="11"/>
      <c r="I78" s="10"/>
      <c r="J78" s="29">
        <f t="shared" si="8"/>
        <v>0</v>
      </c>
      <c r="K78" s="29"/>
      <c r="L78" s="223">
        <f t="shared" si="9"/>
        <v>0</v>
      </c>
      <c r="M78" s="12"/>
      <c r="N78" s="239" t="str">
        <f t="shared" si="5"/>
        <v xml:space="preserve"> </v>
      </c>
      <c r="O78" s="189"/>
      <c r="P78" s="189"/>
      <c r="Q78" s="189"/>
      <c r="R78" s="189" t="str">
        <f t="shared" si="6"/>
        <v xml:space="preserve"> </v>
      </c>
      <c r="S78" s="189"/>
      <c r="T78" s="253"/>
      <c r="U78" s="13"/>
      <c r="V78" s="253"/>
      <c r="W78" s="253"/>
      <c r="X78" s="16"/>
    </row>
    <row r="79" spans="1:24" ht="15" customHeight="1" x14ac:dyDescent="0.35">
      <c r="A79" s="245"/>
      <c r="B79" s="246"/>
      <c r="C79" s="211"/>
      <c r="D79" s="15"/>
      <c r="E79" s="15"/>
      <c r="F79" s="9">
        <v>800</v>
      </c>
      <c r="G79" s="29">
        <f t="shared" si="7"/>
        <v>0</v>
      </c>
      <c r="H79" s="11"/>
      <c r="I79" s="10"/>
      <c r="J79" s="29">
        <f t="shared" si="8"/>
        <v>0</v>
      </c>
      <c r="K79" s="29"/>
      <c r="L79" s="223">
        <f t="shared" si="9"/>
        <v>0</v>
      </c>
      <c r="M79" s="12"/>
      <c r="N79" s="218" t="str">
        <f t="shared" si="5"/>
        <v xml:space="preserve"> </v>
      </c>
      <c r="O79" s="189"/>
      <c r="P79" s="189"/>
      <c r="Q79" s="189"/>
      <c r="R79" s="189" t="str">
        <f t="shared" si="6"/>
        <v xml:space="preserve"> </v>
      </c>
      <c r="S79" s="189"/>
      <c r="T79" s="253"/>
      <c r="U79" s="13"/>
      <c r="V79" s="253"/>
      <c r="W79" s="253"/>
      <c r="X79" s="16"/>
    </row>
    <row r="80" spans="1:24" ht="15" customHeight="1" x14ac:dyDescent="0.35">
      <c r="A80" s="23"/>
      <c r="B80" s="24"/>
      <c r="C80" s="211"/>
      <c r="D80" s="15"/>
      <c r="E80" s="15"/>
      <c r="F80" s="9">
        <v>800</v>
      </c>
      <c r="G80" s="29">
        <f t="shared" si="7"/>
        <v>0</v>
      </c>
      <c r="H80" s="11"/>
      <c r="I80" s="10"/>
      <c r="J80" s="29">
        <f t="shared" si="8"/>
        <v>0</v>
      </c>
      <c r="K80" s="29"/>
      <c r="L80" s="223">
        <f t="shared" si="9"/>
        <v>0</v>
      </c>
      <c r="M80" s="12"/>
      <c r="N80" s="218" t="str">
        <f t="shared" ref="N80:N88" si="10">IF(M80&gt;0,SUM(L80-M80)," ")</f>
        <v xml:space="preserve"> </v>
      </c>
      <c r="O80" s="189"/>
      <c r="P80" s="189"/>
      <c r="Q80" s="189"/>
      <c r="R80" s="189" t="str">
        <f t="shared" si="6"/>
        <v xml:space="preserve"> </v>
      </c>
      <c r="S80" s="189"/>
      <c r="T80" s="253"/>
      <c r="U80" s="13"/>
      <c r="V80" s="253"/>
      <c r="W80" s="253"/>
      <c r="X80" s="16"/>
    </row>
    <row r="81" spans="1:24" ht="15" customHeight="1" x14ac:dyDescent="0.35">
      <c r="A81" s="227"/>
      <c r="B81" s="24"/>
      <c r="C81" s="211"/>
      <c r="D81" s="15"/>
      <c r="E81" s="15"/>
      <c r="F81" s="9">
        <v>800</v>
      </c>
      <c r="G81" s="29">
        <f t="shared" si="7"/>
        <v>0</v>
      </c>
      <c r="H81" s="11"/>
      <c r="I81" s="10"/>
      <c r="J81" s="29">
        <f t="shared" si="8"/>
        <v>0</v>
      </c>
      <c r="K81" s="29"/>
      <c r="L81" s="223">
        <f t="shared" si="9"/>
        <v>0</v>
      </c>
      <c r="M81" s="12"/>
      <c r="N81" s="218" t="str">
        <f t="shared" si="10"/>
        <v xml:space="preserve"> </v>
      </c>
      <c r="O81" s="189"/>
      <c r="P81" s="189"/>
      <c r="Q81" s="189"/>
      <c r="R81" s="189" t="str">
        <f t="shared" si="6"/>
        <v xml:space="preserve"> </v>
      </c>
      <c r="S81" s="189"/>
      <c r="T81" s="253"/>
      <c r="U81" s="13"/>
      <c r="V81" s="253"/>
      <c r="W81" s="253"/>
      <c r="X81" s="16"/>
    </row>
    <row r="82" spans="1:24" ht="15" customHeight="1" x14ac:dyDescent="0.35">
      <c r="A82" s="227"/>
      <c r="B82" s="24"/>
      <c r="C82" s="211"/>
      <c r="D82" s="15"/>
      <c r="E82" s="15"/>
      <c r="F82" s="9">
        <v>800</v>
      </c>
      <c r="G82" s="29">
        <f t="shared" si="7"/>
        <v>0</v>
      </c>
      <c r="H82" s="11"/>
      <c r="I82" s="10"/>
      <c r="J82" s="29">
        <f t="shared" si="8"/>
        <v>0</v>
      </c>
      <c r="K82" s="29"/>
      <c r="L82" s="223">
        <f t="shared" si="9"/>
        <v>0</v>
      </c>
      <c r="M82" s="12"/>
      <c r="N82" s="218" t="str">
        <f t="shared" si="10"/>
        <v xml:space="preserve"> </v>
      </c>
      <c r="O82" s="189"/>
      <c r="P82" s="189"/>
      <c r="Q82" s="189"/>
      <c r="R82" s="189" t="str">
        <f t="shared" si="6"/>
        <v xml:space="preserve"> </v>
      </c>
      <c r="S82" s="189"/>
      <c r="T82" s="253"/>
      <c r="U82" s="13"/>
      <c r="V82" s="253"/>
      <c r="W82" s="253"/>
      <c r="X82" s="16"/>
    </row>
    <row r="83" spans="1:24" ht="15" customHeight="1" x14ac:dyDescent="0.35">
      <c r="A83" s="23"/>
      <c r="B83" s="23"/>
      <c r="C83" s="188"/>
      <c r="D83" s="15"/>
      <c r="E83" s="15"/>
      <c r="F83" s="9">
        <v>800</v>
      </c>
      <c r="G83" s="29">
        <f t="shared" si="7"/>
        <v>0</v>
      </c>
      <c r="H83" s="11"/>
      <c r="I83" s="10"/>
      <c r="J83" s="29">
        <f t="shared" si="8"/>
        <v>0</v>
      </c>
      <c r="K83" s="29"/>
      <c r="L83" s="223">
        <f t="shared" si="9"/>
        <v>0</v>
      </c>
      <c r="M83" s="12"/>
      <c r="N83" s="218" t="str">
        <f t="shared" si="10"/>
        <v xml:space="preserve"> </v>
      </c>
      <c r="O83" s="189"/>
      <c r="P83" s="189"/>
      <c r="Q83" s="189"/>
      <c r="R83" s="189" t="str">
        <f t="shared" si="6"/>
        <v xml:space="preserve"> </v>
      </c>
      <c r="S83" s="189"/>
      <c r="T83" s="253"/>
      <c r="U83" s="13"/>
      <c r="V83" s="253"/>
      <c r="W83" s="253"/>
      <c r="X83" s="16"/>
    </row>
    <row r="84" spans="1:24" ht="15" customHeight="1" x14ac:dyDescent="0.35">
      <c r="A84" s="23"/>
      <c r="B84" s="23"/>
      <c r="C84" s="211"/>
      <c r="D84" s="15"/>
      <c r="E84" s="15"/>
      <c r="F84" s="9">
        <v>800</v>
      </c>
      <c r="G84" s="29">
        <f t="shared" si="7"/>
        <v>0</v>
      </c>
      <c r="H84" s="11"/>
      <c r="I84" s="10"/>
      <c r="J84" s="29">
        <f t="shared" si="8"/>
        <v>0</v>
      </c>
      <c r="K84" s="29"/>
      <c r="L84" s="223">
        <f t="shared" si="9"/>
        <v>0</v>
      </c>
      <c r="M84" s="12"/>
      <c r="N84" s="218" t="str">
        <f t="shared" si="10"/>
        <v xml:space="preserve"> </v>
      </c>
      <c r="O84" s="189"/>
      <c r="P84" s="189"/>
      <c r="Q84" s="189"/>
      <c r="R84" s="189" t="str">
        <f t="shared" si="6"/>
        <v xml:space="preserve"> </v>
      </c>
      <c r="S84" s="189"/>
      <c r="T84" s="253"/>
      <c r="U84" s="13"/>
      <c r="V84" s="253"/>
      <c r="W84" s="253"/>
      <c r="X84" s="16"/>
    </row>
    <row r="85" spans="1:24" ht="15" customHeight="1" x14ac:dyDescent="0.35">
      <c r="A85" s="23"/>
      <c r="B85" s="24"/>
      <c r="C85" s="211"/>
      <c r="D85" s="15"/>
      <c r="E85" s="15"/>
      <c r="F85" s="9">
        <v>800</v>
      </c>
      <c r="G85" s="29">
        <f t="shared" si="7"/>
        <v>0</v>
      </c>
      <c r="H85" s="11"/>
      <c r="I85" s="10"/>
      <c r="J85" s="29">
        <f t="shared" si="8"/>
        <v>0</v>
      </c>
      <c r="K85" s="29"/>
      <c r="L85" s="223">
        <f t="shared" si="9"/>
        <v>0</v>
      </c>
      <c r="M85" s="12"/>
      <c r="N85" s="218" t="str">
        <f t="shared" si="10"/>
        <v xml:space="preserve"> </v>
      </c>
      <c r="O85" s="189"/>
      <c r="P85" s="189"/>
      <c r="Q85" s="189"/>
      <c r="R85" s="189" t="str">
        <f t="shared" si="6"/>
        <v xml:space="preserve"> </v>
      </c>
      <c r="S85" s="189"/>
      <c r="T85" s="253"/>
      <c r="U85" s="13"/>
      <c r="V85" s="253"/>
      <c r="W85" s="253"/>
      <c r="X85" s="16"/>
    </row>
    <row r="86" spans="1:24" ht="15" customHeight="1" x14ac:dyDescent="0.35">
      <c r="A86" s="23"/>
      <c r="B86" s="24"/>
      <c r="C86" s="211"/>
      <c r="D86" s="15"/>
      <c r="E86" s="15"/>
      <c r="F86" s="9">
        <v>800</v>
      </c>
      <c r="G86" s="29">
        <f t="shared" si="7"/>
        <v>0</v>
      </c>
      <c r="H86" s="11"/>
      <c r="I86" s="10"/>
      <c r="J86" s="29">
        <f t="shared" si="8"/>
        <v>0</v>
      </c>
      <c r="K86" s="29"/>
      <c r="L86" s="223">
        <f t="shared" si="9"/>
        <v>0</v>
      </c>
      <c r="M86" s="12"/>
      <c r="N86" s="218" t="str">
        <f t="shared" si="10"/>
        <v xml:space="preserve"> </v>
      </c>
      <c r="O86" s="189"/>
      <c r="P86" s="189"/>
      <c r="Q86" s="189"/>
      <c r="R86" s="189" t="str">
        <f t="shared" si="6"/>
        <v xml:space="preserve"> </v>
      </c>
      <c r="S86" s="189"/>
      <c r="T86" s="253"/>
      <c r="U86" s="13"/>
      <c r="V86" s="253"/>
      <c r="W86" s="253"/>
      <c r="X86" s="16"/>
    </row>
    <row r="87" spans="1:24" ht="15" customHeight="1" x14ac:dyDescent="0.35">
      <c r="A87" s="227"/>
      <c r="B87" s="23"/>
      <c r="C87" s="212"/>
      <c r="D87" s="15"/>
      <c r="E87" s="15"/>
      <c r="F87" s="9">
        <v>800</v>
      </c>
      <c r="G87" s="29">
        <f t="shared" si="7"/>
        <v>0</v>
      </c>
      <c r="H87" s="11"/>
      <c r="I87" s="10"/>
      <c r="J87" s="29">
        <f t="shared" si="8"/>
        <v>0</v>
      </c>
      <c r="K87" s="29"/>
      <c r="L87" s="223">
        <f t="shared" si="9"/>
        <v>0</v>
      </c>
      <c r="M87" s="12"/>
      <c r="N87" s="218" t="str">
        <f t="shared" si="10"/>
        <v xml:space="preserve"> </v>
      </c>
      <c r="O87" s="189"/>
      <c r="P87" s="189"/>
      <c r="Q87" s="189"/>
      <c r="R87" s="189" t="str">
        <f t="shared" si="6"/>
        <v xml:space="preserve"> </v>
      </c>
      <c r="S87" s="189"/>
      <c r="T87" s="253"/>
      <c r="U87" s="13"/>
      <c r="V87" s="253"/>
      <c r="W87" s="253"/>
      <c r="X87" s="16"/>
    </row>
    <row r="88" spans="1:24" ht="15" customHeight="1" x14ac:dyDescent="0.35">
      <c r="A88" s="23"/>
      <c r="B88" s="24"/>
      <c r="C88" s="211"/>
      <c r="D88" s="15"/>
      <c r="E88" s="15"/>
      <c r="F88" s="9">
        <v>800</v>
      </c>
      <c r="G88" s="29">
        <f t="shared" si="7"/>
        <v>0</v>
      </c>
      <c r="H88" s="11"/>
      <c r="I88" s="10"/>
      <c r="J88" s="29">
        <f t="shared" si="8"/>
        <v>0</v>
      </c>
      <c r="K88" s="29"/>
      <c r="L88" s="223">
        <f t="shared" si="9"/>
        <v>0</v>
      </c>
      <c r="M88" s="12"/>
      <c r="N88" s="218" t="str">
        <f t="shared" si="10"/>
        <v xml:space="preserve"> </v>
      </c>
      <c r="O88" s="189"/>
      <c r="P88" s="189"/>
      <c r="Q88" s="189"/>
      <c r="R88" s="189" t="str">
        <f t="shared" si="6"/>
        <v xml:space="preserve"> </v>
      </c>
      <c r="S88" s="189"/>
      <c r="T88" s="253"/>
      <c r="U88" s="13"/>
      <c r="V88" s="253"/>
      <c r="W88" s="253"/>
      <c r="X88" s="16"/>
    </row>
    <row r="89" spans="1:24" ht="15" customHeight="1" x14ac:dyDescent="0.35">
      <c r="A89" s="23"/>
      <c r="B89" s="24"/>
      <c r="C89" s="211"/>
      <c r="D89" s="15"/>
      <c r="E89" s="15"/>
      <c r="F89" s="9">
        <v>800</v>
      </c>
      <c r="G89" s="29">
        <f t="shared" si="7"/>
        <v>0</v>
      </c>
      <c r="H89" s="11"/>
      <c r="I89" s="10"/>
      <c r="J89" s="29">
        <f t="shared" si="8"/>
        <v>0</v>
      </c>
      <c r="K89" s="29"/>
      <c r="L89" s="223">
        <f t="shared" si="9"/>
        <v>0</v>
      </c>
      <c r="M89" s="12"/>
      <c r="N89" s="218" t="str">
        <f t="shared" si="5"/>
        <v xml:space="preserve"> </v>
      </c>
      <c r="O89" s="189"/>
      <c r="P89" s="189"/>
      <c r="Q89" s="189"/>
      <c r="R89" s="189" t="str">
        <f t="shared" si="6"/>
        <v xml:space="preserve"> </v>
      </c>
      <c r="S89" s="189"/>
      <c r="T89" s="253"/>
      <c r="U89" s="13"/>
      <c r="V89" s="253"/>
      <c r="W89" s="253"/>
      <c r="X89" s="16"/>
    </row>
    <row r="90" spans="1:24" ht="15" customHeight="1" x14ac:dyDescent="0.35">
      <c r="A90" s="23"/>
      <c r="B90" s="24"/>
      <c r="C90" s="211"/>
      <c r="D90" s="15"/>
      <c r="E90" s="15"/>
      <c r="F90" s="9">
        <v>800</v>
      </c>
      <c r="G90" s="29">
        <f t="shared" si="7"/>
        <v>0</v>
      </c>
      <c r="H90" s="11"/>
      <c r="I90" s="10"/>
      <c r="J90" s="29">
        <f t="shared" si="8"/>
        <v>0</v>
      </c>
      <c r="K90" s="29"/>
      <c r="L90" s="223">
        <f t="shared" si="9"/>
        <v>0</v>
      </c>
      <c r="M90" s="12"/>
      <c r="N90" s="218" t="str">
        <f t="shared" si="5"/>
        <v xml:space="preserve"> </v>
      </c>
      <c r="O90" s="189"/>
      <c r="P90" s="189"/>
      <c r="Q90" s="189"/>
      <c r="R90" s="189" t="str">
        <f t="shared" si="6"/>
        <v xml:space="preserve"> </v>
      </c>
      <c r="S90" s="189"/>
      <c r="T90" s="253"/>
      <c r="U90" s="13"/>
      <c r="V90" s="253"/>
      <c r="W90" s="253"/>
      <c r="X90" s="16"/>
    </row>
    <row r="91" spans="1:24" ht="15" customHeight="1" x14ac:dyDescent="0.35">
      <c r="A91" s="227"/>
      <c r="B91" s="23"/>
      <c r="C91" s="212"/>
      <c r="D91" s="15"/>
      <c r="E91" s="15"/>
      <c r="F91" s="9">
        <v>800</v>
      </c>
      <c r="G91" s="29">
        <f t="shared" si="7"/>
        <v>0</v>
      </c>
      <c r="H91" s="11"/>
      <c r="I91" s="10"/>
      <c r="J91" s="29">
        <f t="shared" si="8"/>
        <v>0</v>
      </c>
      <c r="K91" s="29"/>
      <c r="L91" s="223">
        <f t="shared" si="9"/>
        <v>0</v>
      </c>
      <c r="M91" s="12"/>
      <c r="N91" s="218" t="str">
        <f t="shared" si="5"/>
        <v xml:space="preserve"> </v>
      </c>
      <c r="O91" s="189"/>
      <c r="P91" s="189"/>
      <c r="Q91" s="189"/>
      <c r="R91" s="189" t="str">
        <f t="shared" si="6"/>
        <v xml:space="preserve"> </v>
      </c>
      <c r="S91" s="189"/>
      <c r="T91" s="253"/>
      <c r="U91" s="13"/>
      <c r="V91" s="253"/>
      <c r="W91" s="253"/>
      <c r="X91" s="16"/>
    </row>
    <row r="92" spans="1:24" ht="15" customHeight="1" x14ac:dyDescent="0.35">
      <c r="A92" s="23"/>
      <c r="B92" s="24"/>
      <c r="C92" s="211"/>
      <c r="D92" s="15"/>
      <c r="E92" s="15"/>
      <c r="F92" s="9">
        <v>800</v>
      </c>
      <c r="G92" s="29">
        <f t="shared" si="7"/>
        <v>0</v>
      </c>
      <c r="H92" s="11"/>
      <c r="I92" s="10"/>
      <c r="J92" s="29">
        <f t="shared" si="8"/>
        <v>0</v>
      </c>
      <c r="K92" s="29"/>
      <c r="L92" s="223">
        <f t="shared" si="9"/>
        <v>0</v>
      </c>
      <c r="M92" s="12"/>
      <c r="N92" s="218" t="str">
        <f t="shared" si="5"/>
        <v xml:space="preserve"> </v>
      </c>
      <c r="O92" s="189"/>
      <c r="P92" s="189"/>
      <c r="Q92" s="189"/>
      <c r="R92" s="189" t="str">
        <f t="shared" si="6"/>
        <v xml:space="preserve"> </v>
      </c>
      <c r="S92" s="189"/>
      <c r="T92" s="253"/>
      <c r="U92" s="13"/>
      <c r="V92" s="253"/>
      <c r="W92" s="253"/>
      <c r="X92" s="16"/>
    </row>
    <row r="93" spans="1:24" ht="15" customHeight="1" x14ac:dyDescent="0.35">
      <c r="A93" s="227"/>
      <c r="B93" s="24"/>
      <c r="C93" s="211"/>
      <c r="D93" s="15"/>
      <c r="E93" s="15"/>
      <c r="F93" s="9">
        <v>800</v>
      </c>
      <c r="G93" s="29">
        <f t="shared" si="7"/>
        <v>0</v>
      </c>
      <c r="H93" s="11"/>
      <c r="I93" s="10"/>
      <c r="J93" s="29">
        <f t="shared" si="8"/>
        <v>0</v>
      </c>
      <c r="K93" s="29"/>
      <c r="L93" s="223">
        <f t="shared" si="9"/>
        <v>0</v>
      </c>
      <c r="M93" s="12"/>
      <c r="N93" s="218" t="str">
        <f t="shared" si="5"/>
        <v xml:space="preserve"> </v>
      </c>
      <c r="O93" s="189"/>
      <c r="P93" s="189"/>
      <c r="Q93" s="189"/>
      <c r="R93" s="189" t="str">
        <f t="shared" si="6"/>
        <v xml:space="preserve"> </v>
      </c>
      <c r="S93" s="189"/>
      <c r="T93" s="253"/>
      <c r="U93" s="13"/>
      <c r="V93" s="253"/>
      <c r="W93" s="253"/>
      <c r="X93" s="16"/>
    </row>
    <row r="94" spans="1:24" ht="15" customHeight="1" x14ac:dyDescent="0.35">
      <c r="A94" s="227"/>
      <c r="B94" s="24"/>
      <c r="C94" s="212"/>
      <c r="D94" s="15"/>
      <c r="E94" s="15"/>
      <c r="F94" s="9">
        <v>800</v>
      </c>
      <c r="G94" s="29">
        <f t="shared" si="7"/>
        <v>0</v>
      </c>
      <c r="H94" s="11"/>
      <c r="I94" s="10"/>
      <c r="J94" s="29">
        <f t="shared" si="8"/>
        <v>0</v>
      </c>
      <c r="K94" s="29"/>
      <c r="L94" s="223">
        <f t="shared" si="9"/>
        <v>0</v>
      </c>
      <c r="M94" s="12"/>
      <c r="N94" s="218" t="str">
        <f t="shared" si="5"/>
        <v xml:space="preserve"> </v>
      </c>
      <c r="O94" s="189"/>
      <c r="P94" s="189"/>
      <c r="Q94" s="189"/>
      <c r="R94" s="189" t="str">
        <f t="shared" si="6"/>
        <v xml:space="preserve"> </v>
      </c>
      <c r="S94" s="189"/>
      <c r="T94" s="253"/>
      <c r="U94" s="13"/>
      <c r="V94" s="253"/>
      <c r="W94" s="253"/>
      <c r="X94" s="16"/>
    </row>
    <row r="95" spans="1:24" ht="15" customHeight="1" x14ac:dyDescent="0.35">
      <c r="A95" s="227"/>
      <c r="B95" s="24"/>
      <c r="C95" s="211"/>
      <c r="D95" s="15"/>
      <c r="E95" s="15"/>
      <c r="F95" s="9">
        <v>800</v>
      </c>
      <c r="G95" s="29">
        <f t="shared" si="7"/>
        <v>0</v>
      </c>
      <c r="H95" s="11"/>
      <c r="I95" s="10"/>
      <c r="J95" s="29">
        <f t="shared" si="8"/>
        <v>0</v>
      </c>
      <c r="K95" s="29"/>
      <c r="L95" s="223">
        <f t="shared" si="9"/>
        <v>0</v>
      </c>
      <c r="M95" s="12"/>
      <c r="N95" s="218" t="str">
        <f t="shared" si="5"/>
        <v xml:space="preserve"> </v>
      </c>
      <c r="O95" s="189"/>
      <c r="P95" s="189"/>
      <c r="Q95" s="189"/>
      <c r="R95" s="189" t="str">
        <f t="shared" si="6"/>
        <v xml:space="preserve"> </v>
      </c>
      <c r="S95" s="189"/>
      <c r="T95" s="253"/>
      <c r="U95" s="13"/>
      <c r="V95" s="253"/>
      <c r="W95" s="253"/>
      <c r="X95" s="16"/>
    </row>
    <row r="96" spans="1:24" ht="15" customHeight="1" x14ac:dyDescent="0.35">
      <c r="A96" s="227"/>
      <c r="B96" s="24"/>
      <c r="C96" s="212"/>
      <c r="D96" s="15"/>
      <c r="E96" s="15"/>
      <c r="F96" s="9">
        <v>800</v>
      </c>
      <c r="G96" s="29">
        <f t="shared" si="7"/>
        <v>0</v>
      </c>
      <c r="H96" s="11"/>
      <c r="I96" s="10"/>
      <c r="J96" s="29">
        <f t="shared" si="8"/>
        <v>0</v>
      </c>
      <c r="K96" s="29"/>
      <c r="L96" s="223">
        <f t="shared" si="9"/>
        <v>0</v>
      </c>
      <c r="M96" s="12"/>
      <c r="N96" s="218" t="str">
        <f>IF(M96&gt;0,SUM(L96-M96)," ")</f>
        <v xml:space="preserve"> </v>
      </c>
      <c r="O96" s="189"/>
      <c r="P96" s="189"/>
      <c r="Q96" s="189"/>
      <c r="R96" s="189" t="str">
        <f t="shared" si="6"/>
        <v xml:space="preserve"> </v>
      </c>
      <c r="S96" s="189"/>
      <c r="T96" s="253"/>
      <c r="U96" s="13"/>
      <c r="V96" s="253"/>
      <c r="W96" s="253"/>
      <c r="X96" s="16"/>
    </row>
    <row r="97" spans="1:24" ht="15" customHeight="1" x14ac:dyDescent="0.35">
      <c r="A97" s="227"/>
      <c r="B97" s="24"/>
      <c r="C97" s="211"/>
      <c r="D97" s="15"/>
      <c r="E97" s="15"/>
      <c r="F97" s="9">
        <v>800</v>
      </c>
      <c r="G97" s="29">
        <f t="shared" si="7"/>
        <v>0</v>
      </c>
      <c r="H97" s="11"/>
      <c r="I97" s="10"/>
      <c r="J97" s="29">
        <f t="shared" si="8"/>
        <v>0</v>
      </c>
      <c r="K97" s="29"/>
      <c r="L97" s="223">
        <f t="shared" si="9"/>
        <v>0</v>
      </c>
      <c r="M97" s="12"/>
      <c r="N97" s="218" t="str">
        <f>IF(M97&gt;0,SUM(L97-M97)," ")</f>
        <v xml:space="preserve"> </v>
      </c>
      <c r="O97" s="189"/>
      <c r="P97" s="189"/>
      <c r="Q97" s="189"/>
      <c r="R97" s="189" t="str">
        <f t="shared" si="6"/>
        <v xml:space="preserve"> </v>
      </c>
      <c r="S97" s="189"/>
      <c r="T97" s="253"/>
      <c r="U97" s="13"/>
      <c r="V97" s="253"/>
      <c r="W97" s="253"/>
      <c r="X97" s="16"/>
    </row>
    <row r="98" spans="1:24" ht="15" customHeight="1" x14ac:dyDescent="0.35">
      <c r="A98" s="227"/>
      <c r="B98" s="24"/>
      <c r="C98" s="206"/>
      <c r="D98" s="15"/>
      <c r="E98" s="15"/>
      <c r="F98" s="9">
        <v>761.54</v>
      </c>
      <c r="G98" s="29">
        <f t="shared" si="7"/>
        <v>0</v>
      </c>
      <c r="H98" s="11"/>
      <c r="I98" s="10"/>
      <c r="J98" s="29">
        <f t="shared" si="8"/>
        <v>0</v>
      </c>
      <c r="K98" s="29"/>
      <c r="L98" s="223">
        <f t="shared" si="9"/>
        <v>0</v>
      </c>
      <c r="M98" s="12"/>
      <c r="N98" s="218" t="str">
        <f t="shared" si="5"/>
        <v xml:space="preserve"> </v>
      </c>
      <c r="O98" s="189"/>
      <c r="P98" s="189"/>
      <c r="Q98" s="189"/>
      <c r="R98" s="189" t="str">
        <f t="shared" si="4"/>
        <v xml:space="preserve"> </v>
      </c>
      <c r="S98" s="189"/>
      <c r="T98" s="253"/>
      <c r="U98" s="13"/>
      <c r="V98" s="253"/>
      <c r="W98" s="253"/>
      <c r="X98" s="16"/>
    </row>
    <row r="99" spans="1:24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7"/>
        <v>0</v>
      </c>
      <c r="H99" s="11"/>
      <c r="I99" s="10"/>
      <c r="J99" s="29">
        <f t="shared" si="8"/>
        <v>0</v>
      </c>
      <c r="K99" s="29"/>
      <c r="L99" s="223">
        <f t="shared" si="9"/>
        <v>0</v>
      </c>
      <c r="M99" s="12"/>
      <c r="N99" s="218" t="str">
        <f t="shared" si="5"/>
        <v xml:space="preserve"> </v>
      </c>
      <c r="O99" s="189"/>
      <c r="P99" s="189"/>
      <c r="Q99" s="189"/>
      <c r="R99" s="189" t="str">
        <f t="shared" si="4"/>
        <v xml:space="preserve"> </v>
      </c>
      <c r="S99" s="189"/>
      <c r="T99" s="253"/>
      <c r="U99" s="13"/>
      <c r="V99" s="253"/>
      <c r="W99" s="253"/>
      <c r="X99" s="16"/>
    </row>
    <row r="100" spans="1:24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7"/>
        <v>0</v>
      </c>
      <c r="H100" s="11"/>
      <c r="I100" s="10"/>
      <c r="J100" s="29">
        <f t="shared" si="8"/>
        <v>0</v>
      </c>
      <c r="K100" s="29"/>
      <c r="L100" s="223">
        <f t="shared" si="9"/>
        <v>0</v>
      </c>
      <c r="M100" s="12"/>
      <c r="N100" s="218" t="str">
        <f t="shared" si="5"/>
        <v xml:space="preserve"> </v>
      </c>
      <c r="O100" s="189"/>
      <c r="P100" s="189"/>
      <c r="Q100" s="189"/>
      <c r="R100" s="189" t="str">
        <f t="shared" si="4"/>
        <v xml:space="preserve"> </v>
      </c>
      <c r="S100" s="189"/>
      <c r="T100" s="253"/>
      <c r="U100" s="13"/>
      <c r="V100" s="253"/>
      <c r="W100" s="253"/>
      <c r="X100" s="16"/>
    </row>
    <row r="101" spans="1:24" ht="16" x14ac:dyDescent="0.5">
      <c r="D101" s="21">
        <f>SUM(D4:D100)</f>
        <v>68</v>
      </c>
      <c r="E101" s="21">
        <f>SUM(E4:E100)</f>
        <v>57</v>
      </c>
      <c r="G101" s="198">
        <f>SUM(G4:G100)</f>
        <v>107660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107660</v>
      </c>
      <c r="M101" s="198"/>
      <c r="N101" s="218" t="str">
        <f t="shared" si="5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-11820</v>
      </c>
      <c r="S101" s="199">
        <f>SUM(S4:S100)</f>
        <v>0</v>
      </c>
    </row>
    <row r="102" spans="1:24" x14ac:dyDescent="0.35">
      <c r="D102" s="290">
        <f>D101+E101</f>
        <v>125</v>
      </c>
      <c r="E102" s="291"/>
      <c r="G102" s="22"/>
      <c r="I102" s="5"/>
      <c r="J102" s="22"/>
      <c r="K102" s="22"/>
    </row>
    <row r="103" spans="1:24" x14ac:dyDescent="0.35">
      <c r="I103" s="5"/>
      <c r="J103" s="6"/>
      <c r="K103" s="6"/>
    </row>
    <row r="108" spans="1:24" x14ac:dyDescent="0.35">
      <c r="C108" s="211" t="s">
        <v>82</v>
      </c>
    </row>
    <row r="109" spans="1:24" x14ac:dyDescent="0.35">
      <c r="C109" s="211" t="s">
        <v>103</v>
      </c>
    </row>
    <row r="110" spans="1:24" x14ac:dyDescent="0.35">
      <c r="C110" s="211" t="s">
        <v>82</v>
      </c>
    </row>
    <row r="111" spans="1:24" x14ac:dyDescent="0.35">
      <c r="C111" s="211" t="s">
        <v>15</v>
      </c>
    </row>
    <row r="112" spans="1:24" x14ac:dyDescent="0.35">
      <c r="C112" s="212" t="s">
        <v>100</v>
      </c>
    </row>
    <row r="113" spans="3:3" x14ac:dyDescent="0.35">
      <c r="C113" s="211" t="s">
        <v>81</v>
      </c>
    </row>
    <row r="114" spans="3:3" x14ac:dyDescent="0.35">
      <c r="C114" s="211" t="s">
        <v>82</v>
      </c>
    </row>
    <row r="115" spans="3:3" x14ac:dyDescent="0.35">
      <c r="C115" s="211" t="s">
        <v>82</v>
      </c>
    </row>
    <row r="116" spans="3:3" x14ac:dyDescent="0.35">
      <c r="C116" s="211" t="s">
        <v>82</v>
      </c>
    </row>
    <row r="117" spans="3:3" x14ac:dyDescent="0.35">
      <c r="C117" s="211" t="s">
        <v>103</v>
      </c>
    </row>
    <row r="118" spans="3:3" x14ac:dyDescent="0.35">
      <c r="C118" s="212"/>
    </row>
    <row r="119" spans="3:3" x14ac:dyDescent="0.35">
      <c r="C119" s="211"/>
    </row>
    <row r="120" spans="3:3" x14ac:dyDescent="0.35">
      <c r="C120" s="212" t="s">
        <v>112</v>
      </c>
    </row>
    <row r="121" spans="3:3" x14ac:dyDescent="0.35">
      <c r="C121" s="211" t="s">
        <v>102</v>
      </c>
    </row>
    <row r="122" spans="3:3" x14ac:dyDescent="0.35">
      <c r="C122" s="211" t="s">
        <v>15</v>
      </c>
    </row>
    <row r="123" spans="3:3" x14ac:dyDescent="0.35">
      <c r="C123" s="211"/>
    </row>
    <row r="124" spans="3:3" x14ac:dyDescent="0.35">
      <c r="C124" s="211"/>
    </row>
    <row r="125" spans="3:3" x14ac:dyDescent="0.35">
      <c r="C125" s="211" t="s">
        <v>82</v>
      </c>
    </row>
    <row r="126" spans="3:3" x14ac:dyDescent="0.35">
      <c r="C126" s="212" t="s">
        <v>100</v>
      </c>
    </row>
    <row r="127" spans="3:3" x14ac:dyDescent="0.35">
      <c r="C127" s="211" t="s">
        <v>82</v>
      </c>
    </row>
    <row r="128" spans="3:3" x14ac:dyDescent="0.35">
      <c r="C128" s="211" t="s">
        <v>81</v>
      </c>
    </row>
    <row r="129" spans="3:3" x14ac:dyDescent="0.35">
      <c r="C129" s="211" t="s">
        <v>115</v>
      </c>
    </row>
    <row r="130" spans="3:3" x14ac:dyDescent="0.35">
      <c r="C130" s="212" t="s">
        <v>101</v>
      </c>
    </row>
    <row r="131" spans="3:3" x14ac:dyDescent="0.35">
      <c r="C131" s="211" t="s">
        <v>82</v>
      </c>
    </row>
    <row r="132" spans="3:3" x14ac:dyDescent="0.35">
      <c r="C132" s="211" t="s">
        <v>111</v>
      </c>
    </row>
    <row r="133" spans="3:3" x14ac:dyDescent="0.35">
      <c r="C133" s="206"/>
    </row>
    <row r="134" spans="3:3" x14ac:dyDescent="0.35">
      <c r="C134" s="212"/>
    </row>
    <row r="135" spans="3:3" x14ac:dyDescent="0.35">
      <c r="C135" s="212" t="s">
        <v>101</v>
      </c>
    </row>
    <row r="136" spans="3:3" x14ac:dyDescent="0.35">
      <c r="C136" s="212" t="s">
        <v>15</v>
      </c>
    </row>
    <row r="137" spans="3:3" x14ac:dyDescent="0.35">
      <c r="C137" s="211" t="s">
        <v>81</v>
      </c>
    </row>
    <row r="138" spans="3:3" x14ac:dyDescent="0.35">
      <c r="C138" s="211"/>
    </row>
    <row r="1048434" spans="15:21" x14ac:dyDescent="0.35">
      <c r="O1048434" s="189"/>
      <c r="P1048434" s="189"/>
      <c r="Q1048434" s="189"/>
      <c r="R1048434" s="189"/>
      <c r="S1048434" s="189"/>
      <c r="U1048434" s="13"/>
    </row>
  </sheetData>
  <autoFilter ref="B3:AA102" xr:uid="{00000000-0009-0000-0000-00000A000000}"/>
  <mergeCells count="15">
    <mergeCell ref="A2:A3"/>
    <mergeCell ref="B2:B3"/>
    <mergeCell ref="C2:C3"/>
    <mergeCell ref="D2:G2"/>
    <mergeCell ref="H2:J2"/>
    <mergeCell ref="K2:K3"/>
    <mergeCell ref="V2:V3"/>
    <mergeCell ref="X2:X3"/>
    <mergeCell ref="O3:O4"/>
    <mergeCell ref="L2:L3"/>
    <mergeCell ref="M2:M3"/>
    <mergeCell ref="N2:N3"/>
    <mergeCell ref="O2:S2"/>
    <mergeCell ref="T2:T3"/>
    <mergeCell ref="U2:U3"/>
  </mergeCells>
  <conditionalFormatting sqref="B2 B100:B1048576 A65 A93:A94 A82:A91 A25 A75:A76 A78:A80 A49:A60 A67 A62:A63 A38 A69 A17 A21:A23 A27:A30 A40 A42:A43">
    <cfRule type="containsText" dxfId="1819" priority="194" operator="containsText" text="OK">
      <formula>NOT(ISERROR(SEARCH("OK",A2)))</formula>
    </cfRule>
  </conditionalFormatting>
  <conditionalFormatting sqref="B2 B100:B1048576 A65 A93:A94 A82:A91 A25 A75:A76 A78:A80 A49:A60 A67 A62:A63 A38 A69 A17 A21:A23 A27:A30 A40 A42:A43">
    <cfRule type="containsText" dxfId="1818" priority="193" operator="containsText" text="ok">
      <formula>NOT(ISERROR(SEARCH("ok",A2)))</formula>
    </cfRule>
  </conditionalFormatting>
  <conditionalFormatting sqref="B54:B65 B67">
    <cfRule type="containsText" dxfId="1817" priority="192" operator="containsText" text="OK">
      <formula>NOT(ISERROR(SEARCH("OK",B54)))</formula>
    </cfRule>
  </conditionalFormatting>
  <conditionalFormatting sqref="B54:B65 B67">
    <cfRule type="containsText" dxfId="1816" priority="191" operator="containsText" text="ok">
      <formula>NOT(ISERROR(SEARCH("ok",B54)))</formula>
    </cfRule>
  </conditionalFormatting>
  <conditionalFormatting sqref="B91">
    <cfRule type="containsText" dxfId="1815" priority="190" operator="containsText" text="OK">
      <formula>NOT(ISERROR(SEARCH("OK",B91)))</formula>
    </cfRule>
  </conditionalFormatting>
  <conditionalFormatting sqref="B91">
    <cfRule type="containsText" dxfId="1814" priority="189" operator="containsText" text="ok">
      <formula>NOT(ISERROR(SEARCH("ok",B91)))</formula>
    </cfRule>
  </conditionalFormatting>
  <conditionalFormatting sqref="A2 A100:A1048576">
    <cfRule type="containsText" dxfId="1813" priority="188" operator="containsText" text="OK">
      <formula>NOT(ISERROR(SEARCH("OK",A2)))</formula>
    </cfRule>
  </conditionalFormatting>
  <conditionalFormatting sqref="A2 A100:A1048576">
    <cfRule type="containsText" dxfId="1812" priority="187" operator="containsText" text="ok">
      <formula>NOT(ISERROR(SEARCH("ok",A2)))</formula>
    </cfRule>
  </conditionalFormatting>
  <conditionalFormatting sqref="A95">
    <cfRule type="containsText" dxfId="1811" priority="186" operator="containsText" text="OK">
      <formula>NOT(ISERROR(SEARCH("OK",A95)))</formula>
    </cfRule>
  </conditionalFormatting>
  <conditionalFormatting sqref="A95">
    <cfRule type="containsText" dxfId="1810" priority="185" operator="containsText" text="ok">
      <formula>NOT(ISERROR(SEARCH("ok",A95)))</formula>
    </cfRule>
  </conditionalFormatting>
  <conditionalFormatting sqref="A96">
    <cfRule type="containsText" dxfId="1809" priority="184" operator="containsText" text="OK">
      <formula>NOT(ISERROR(SEARCH("OK",A96)))</formula>
    </cfRule>
  </conditionalFormatting>
  <conditionalFormatting sqref="A96">
    <cfRule type="containsText" dxfId="1808" priority="183" operator="containsText" text="ok">
      <formula>NOT(ISERROR(SEARCH("ok",A96)))</formula>
    </cfRule>
  </conditionalFormatting>
  <conditionalFormatting sqref="A97">
    <cfRule type="containsText" dxfId="1807" priority="182" operator="containsText" text="OK">
      <formula>NOT(ISERROR(SEARCH("OK",A97)))</formula>
    </cfRule>
  </conditionalFormatting>
  <conditionalFormatting sqref="A97">
    <cfRule type="containsText" dxfId="1806" priority="181" operator="containsText" text="ok">
      <formula>NOT(ISERROR(SEARCH("ok",A97)))</formula>
    </cfRule>
  </conditionalFormatting>
  <conditionalFormatting sqref="A98">
    <cfRule type="containsText" dxfId="1805" priority="180" operator="containsText" text="OK">
      <formula>NOT(ISERROR(SEARCH("OK",A98)))</formula>
    </cfRule>
  </conditionalFormatting>
  <conditionalFormatting sqref="A98">
    <cfRule type="containsText" dxfId="1804" priority="179" operator="containsText" text="ok">
      <formula>NOT(ISERROR(SEARCH("ok",A98)))</formula>
    </cfRule>
  </conditionalFormatting>
  <conditionalFormatting sqref="A99">
    <cfRule type="containsText" dxfId="1803" priority="178" operator="containsText" text="OK">
      <formula>NOT(ISERROR(SEARCH("OK",A99)))</formula>
    </cfRule>
  </conditionalFormatting>
  <conditionalFormatting sqref="A99">
    <cfRule type="containsText" dxfId="1802" priority="177" operator="containsText" text="ok">
      <formula>NOT(ISERROR(SEARCH("ok",A99)))</formula>
    </cfRule>
  </conditionalFormatting>
  <conditionalFormatting sqref="B87">
    <cfRule type="containsText" dxfId="1801" priority="176" operator="containsText" text="OK">
      <formula>NOT(ISERROR(SEARCH("OK",B87)))</formula>
    </cfRule>
  </conditionalFormatting>
  <conditionalFormatting sqref="B87">
    <cfRule type="containsText" dxfId="1800" priority="175" operator="containsText" text="ok">
      <formula>NOT(ISERROR(SEARCH("ok",B87)))</formula>
    </cfRule>
  </conditionalFormatting>
  <conditionalFormatting sqref="B82">
    <cfRule type="containsText" dxfId="1799" priority="174" operator="containsText" text="OK">
      <formula>NOT(ISERROR(SEARCH("OK",B82)))</formula>
    </cfRule>
  </conditionalFormatting>
  <conditionalFormatting sqref="B82">
    <cfRule type="containsText" dxfId="1798" priority="173" operator="containsText" text="ok">
      <formula>NOT(ISERROR(SEARCH("ok",B82)))</formula>
    </cfRule>
  </conditionalFormatting>
  <conditionalFormatting sqref="B83">
    <cfRule type="containsText" dxfId="1797" priority="172" operator="containsText" text="OK">
      <formula>NOT(ISERROR(SEARCH("OK",B83)))</formula>
    </cfRule>
  </conditionalFormatting>
  <conditionalFormatting sqref="B83">
    <cfRule type="containsText" dxfId="1796" priority="171" operator="containsText" text="ok">
      <formula>NOT(ISERROR(SEARCH("ok",B83)))</formula>
    </cfRule>
  </conditionalFormatting>
  <conditionalFormatting sqref="B84">
    <cfRule type="containsText" dxfId="1795" priority="170" operator="containsText" text="OK">
      <formula>NOT(ISERROR(SEARCH("OK",B84)))</formula>
    </cfRule>
  </conditionalFormatting>
  <conditionalFormatting sqref="B84">
    <cfRule type="containsText" dxfId="1794" priority="169" operator="containsText" text="ok">
      <formula>NOT(ISERROR(SEARCH("ok",B84)))</formula>
    </cfRule>
  </conditionalFormatting>
  <conditionalFormatting sqref="B85">
    <cfRule type="containsText" dxfId="1793" priority="168" operator="containsText" text="OK">
      <formula>NOT(ISERROR(SEARCH("OK",B85)))</formula>
    </cfRule>
  </conditionalFormatting>
  <conditionalFormatting sqref="B85">
    <cfRule type="containsText" dxfId="1792" priority="167" operator="containsText" text="ok">
      <formula>NOT(ISERROR(SEARCH("ok",B85)))</formula>
    </cfRule>
  </conditionalFormatting>
  <conditionalFormatting sqref="B86">
    <cfRule type="containsText" dxfId="1791" priority="166" operator="containsText" text="OK">
      <formula>NOT(ISERROR(SEARCH("OK",B86)))</formula>
    </cfRule>
  </conditionalFormatting>
  <conditionalFormatting sqref="B86">
    <cfRule type="containsText" dxfId="1790" priority="165" operator="containsText" text="ok">
      <formula>NOT(ISERROR(SEARCH("ok",B86)))</formula>
    </cfRule>
  </conditionalFormatting>
  <conditionalFormatting sqref="A45">
    <cfRule type="containsText" dxfId="1789" priority="164" operator="containsText" text="OK">
      <formula>NOT(ISERROR(SEARCH("OK",A45)))</formula>
    </cfRule>
  </conditionalFormatting>
  <conditionalFormatting sqref="A45">
    <cfRule type="containsText" dxfId="1788" priority="163" operator="containsText" text="ok">
      <formula>NOT(ISERROR(SEARCH("ok",A45)))</formula>
    </cfRule>
  </conditionalFormatting>
  <conditionalFormatting sqref="B69">
    <cfRule type="containsText" dxfId="1787" priority="162" operator="containsText" text="OK">
      <formula>NOT(ISERROR(SEARCH("OK",B69)))</formula>
    </cfRule>
  </conditionalFormatting>
  <conditionalFormatting sqref="B69">
    <cfRule type="containsText" dxfId="1786" priority="161" operator="containsText" text="ok">
      <formula>NOT(ISERROR(SEARCH("ok",B69)))</formula>
    </cfRule>
  </conditionalFormatting>
  <conditionalFormatting sqref="B88">
    <cfRule type="containsText" dxfId="1785" priority="160" operator="containsText" text="OK">
      <formula>NOT(ISERROR(SEARCH("OK",B88)))</formula>
    </cfRule>
  </conditionalFormatting>
  <conditionalFormatting sqref="B88">
    <cfRule type="containsText" dxfId="1784" priority="159" operator="containsText" text="ok">
      <formula>NOT(ISERROR(SEARCH("ok",B88)))</formula>
    </cfRule>
  </conditionalFormatting>
  <conditionalFormatting sqref="A92">
    <cfRule type="containsText" dxfId="1783" priority="158" operator="containsText" text="OK">
      <formula>NOT(ISERROR(SEARCH("OK",A92)))</formula>
    </cfRule>
  </conditionalFormatting>
  <conditionalFormatting sqref="A92">
    <cfRule type="containsText" dxfId="1782" priority="157" operator="containsText" text="ok">
      <formula>NOT(ISERROR(SEARCH("ok",A92)))</formula>
    </cfRule>
  </conditionalFormatting>
  <conditionalFormatting sqref="B87">
    <cfRule type="containsText" dxfId="1781" priority="156" operator="containsText" text="OK">
      <formula>NOT(ISERROR(SEARCH("OK",B87)))</formula>
    </cfRule>
  </conditionalFormatting>
  <conditionalFormatting sqref="B87">
    <cfRule type="containsText" dxfId="1780" priority="155" operator="containsText" text="ok">
      <formula>NOT(ISERROR(SEARCH("ok",B87)))</formula>
    </cfRule>
  </conditionalFormatting>
  <conditionalFormatting sqref="B83">
    <cfRule type="containsText" dxfId="1779" priority="154" operator="containsText" text="OK">
      <formula>NOT(ISERROR(SEARCH("OK",B83)))</formula>
    </cfRule>
  </conditionalFormatting>
  <conditionalFormatting sqref="B83">
    <cfRule type="containsText" dxfId="1778" priority="153" operator="containsText" text="ok">
      <formula>NOT(ISERROR(SEARCH("ok",B83)))</formula>
    </cfRule>
  </conditionalFormatting>
  <conditionalFormatting sqref="B84">
    <cfRule type="containsText" dxfId="1777" priority="152" operator="containsText" text="OK">
      <formula>NOT(ISERROR(SEARCH("OK",B84)))</formula>
    </cfRule>
  </conditionalFormatting>
  <conditionalFormatting sqref="B84">
    <cfRule type="containsText" dxfId="1776" priority="151" operator="containsText" text="ok">
      <formula>NOT(ISERROR(SEARCH("ok",B84)))</formula>
    </cfRule>
  </conditionalFormatting>
  <conditionalFormatting sqref="A88">
    <cfRule type="containsText" dxfId="1775" priority="150" operator="containsText" text="OK">
      <formula>NOT(ISERROR(SEARCH("OK",A88)))</formula>
    </cfRule>
  </conditionalFormatting>
  <conditionalFormatting sqref="A88">
    <cfRule type="containsText" dxfId="1774" priority="149" operator="containsText" text="ok">
      <formula>NOT(ISERROR(SEARCH("ok",A88)))</formula>
    </cfRule>
  </conditionalFormatting>
  <conditionalFormatting sqref="A81">
    <cfRule type="containsText" dxfId="1773" priority="148" operator="containsText" text="OK">
      <formula>NOT(ISERROR(SEARCH("OK",A81)))</formula>
    </cfRule>
  </conditionalFormatting>
  <conditionalFormatting sqref="A81">
    <cfRule type="containsText" dxfId="1772" priority="147" operator="containsText" text="ok">
      <formula>NOT(ISERROR(SEARCH("ok",A81)))</formula>
    </cfRule>
  </conditionalFormatting>
  <conditionalFormatting sqref="B81">
    <cfRule type="containsText" dxfId="1771" priority="146" operator="containsText" text="OK">
      <formula>NOT(ISERROR(SEARCH("OK",B81)))</formula>
    </cfRule>
  </conditionalFormatting>
  <conditionalFormatting sqref="B81">
    <cfRule type="containsText" dxfId="1770" priority="145" operator="containsText" text="ok">
      <formula>NOT(ISERROR(SEARCH("ok",B81)))</formula>
    </cfRule>
  </conditionalFormatting>
  <conditionalFormatting sqref="A61">
    <cfRule type="containsText" dxfId="1769" priority="144" operator="containsText" text="OK">
      <formula>NOT(ISERROR(SEARCH("OK",A61)))</formula>
    </cfRule>
  </conditionalFormatting>
  <conditionalFormatting sqref="A61">
    <cfRule type="containsText" dxfId="1768" priority="143" operator="containsText" text="ok">
      <formula>NOT(ISERROR(SEARCH("ok",A61)))</formula>
    </cfRule>
  </conditionalFormatting>
  <conditionalFormatting sqref="B66">
    <cfRule type="containsText" dxfId="1767" priority="140" operator="containsText" text="OK">
      <formula>NOT(ISERROR(SEARCH("OK",B66)))</formula>
    </cfRule>
  </conditionalFormatting>
  <conditionalFormatting sqref="B66">
    <cfRule type="containsText" dxfId="1766" priority="139" operator="containsText" text="ok">
      <formula>NOT(ISERROR(SEARCH("ok",B66)))</formula>
    </cfRule>
  </conditionalFormatting>
  <conditionalFormatting sqref="A66">
    <cfRule type="containsText" dxfId="1765" priority="142" operator="containsText" text="OK">
      <formula>NOT(ISERROR(SEARCH("OK",A66)))</formula>
    </cfRule>
  </conditionalFormatting>
  <conditionalFormatting sqref="A66">
    <cfRule type="containsText" dxfId="1764" priority="141" operator="containsText" text="ok">
      <formula>NOT(ISERROR(SEARCH("ok",A66)))</formula>
    </cfRule>
  </conditionalFormatting>
  <conditionalFormatting sqref="B75">
    <cfRule type="containsText" dxfId="1763" priority="136" operator="containsText" text="OK">
      <formula>NOT(ISERROR(SEARCH("OK",B75)))</formula>
    </cfRule>
  </conditionalFormatting>
  <conditionalFormatting sqref="B75">
    <cfRule type="containsText" dxfId="1762" priority="135" operator="containsText" text="ok">
      <formula>NOT(ISERROR(SEARCH("ok",B75)))</formula>
    </cfRule>
  </conditionalFormatting>
  <conditionalFormatting sqref="B74">
    <cfRule type="containsText" dxfId="1761" priority="138" operator="containsText" text="OK">
      <formula>NOT(ISERROR(SEARCH("OK",B74)))</formula>
    </cfRule>
  </conditionalFormatting>
  <conditionalFormatting sqref="B74">
    <cfRule type="containsText" dxfId="1760" priority="137" operator="containsText" text="ok">
      <formula>NOT(ISERROR(SEARCH("ok",B74)))</formula>
    </cfRule>
  </conditionalFormatting>
  <conditionalFormatting sqref="B76">
    <cfRule type="containsText" dxfId="1759" priority="134" operator="containsText" text="OK">
      <formula>NOT(ISERROR(SEARCH("OK",B76)))</formula>
    </cfRule>
  </conditionalFormatting>
  <conditionalFormatting sqref="B76">
    <cfRule type="containsText" dxfId="1758" priority="133" operator="containsText" text="ok">
      <formula>NOT(ISERROR(SEARCH("ok",B76)))</formula>
    </cfRule>
  </conditionalFormatting>
  <conditionalFormatting sqref="B77">
    <cfRule type="containsText" dxfId="1757" priority="132" operator="containsText" text="OK">
      <formula>NOT(ISERROR(SEARCH("OK",B77)))</formula>
    </cfRule>
  </conditionalFormatting>
  <conditionalFormatting sqref="B77">
    <cfRule type="containsText" dxfId="1756" priority="131" operator="containsText" text="ok">
      <formula>NOT(ISERROR(SEARCH("ok",B77)))</formula>
    </cfRule>
  </conditionalFormatting>
  <conditionalFormatting sqref="B78">
    <cfRule type="containsText" dxfId="1755" priority="130" operator="containsText" text="OK">
      <formula>NOT(ISERROR(SEARCH("OK",B78)))</formula>
    </cfRule>
  </conditionalFormatting>
  <conditionalFormatting sqref="B78">
    <cfRule type="containsText" dxfId="1754" priority="129" operator="containsText" text="ok">
      <formula>NOT(ISERROR(SEARCH("ok",B78)))</formula>
    </cfRule>
  </conditionalFormatting>
  <conditionalFormatting sqref="A77">
    <cfRule type="containsText" dxfId="1753" priority="128" operator="containsText" text="OK">
      <formula>NOT(ISERROR(SEARCH("OK",A77)))</formula>
    </cfRule>
  </conditionalFormatting>
  <conditionalFormatting sqref="A77">
    <cfRule type="containsText" dxfId="1752" priority="127" operator="containsText" text="ok">
      <formula>NOT(ISERROR(SEARCH("ok",A77)))</formula>
    </cfRule>
  </conditionalFormatting>
  <conditionalFormatting sqref="A48">
    <cfRule type="containsText" dxfId="1751" priority="126" operator="containsText" text="OK">
      <formula>NOT(ISERROR(SEARCH("OK",A48)))</formula>
    </cfRule>
  </conditionalFormatting>
  <conditionalFormatting sqref="A48">
    <cfRule type="containsText" dxfId="1750" priority="125" operator="containsText" text="ok">
      <formula>NOT(ISERROR(SEARCH("ok",A48)))</formula>
    </cfRule>
  </conditionalFormatting>
  <conditionalFormatting sqref="A74">
    <cfRule type="containsText" dxfId="1749" priority="124" operator="containsText" text="OK">
      <formula>NOT(ISERROR(SEARCH("OK",A74)))</formula>
    </cfRule>
  </conditionalFormatting>
  <conditionalFormatting sqref="A74">
    <cfRule type="containsText" dxfId="1748" priority="123" operator="containsText" text="ok">
      <formula>NOT(ISERROR(SEARCH("ok",A74)))</formula>
    </cfRule>
  </conditionalFormatting>
  <conditionalFormatting sqref="A44">
    <cfRule type="containsText" dxfId="1747" priority="122" operator="containsText" text="OK">
      <formula>NOT(ISERROR(SEARCH("OK",A44)))</formula>
    </cfRule>
  </conditionalFormatting>
  <conditionalFormatting sqref="A44">
    <cfRule type="containsText" dxfId="1746" priority="121" operator="containsText" text="ok">
      <formula>NOT(ISERROR(SEARCH("ok",A44)))</formula>
    </cfRule>
  </conditionalFormatting>
  <conditionalFormatting sqref="A64">
    <cfRule type="containsText" dxfId="1745" priority="120" operator="containsText" text="OK">
      <formula>NOT(ISERROR(SEARCH("OK",A64)))</formula>
    </cfRule>
  </conditionalFormatting>
  <conditionalFormatting sqref="A64">
    <cfRule type="containsText" dxfId="1744" priority="119" operator="containsText" text="ok">
      <formula>NOT(ISERROR(SEARCH("ok",A64)))</formula>
    </cfRule>
  </conditionalFormatting>
  <conditionalFormatting sqref="A38">
    <cfRule type="containsText" dxfId="1743" priority="118" operator="containsText" text="OK">
      <formula>NOT(ISERROR(SEARCH("OK",A38)))</formula>
    </cfRule>
  </conditionalFormatting>
  <conditionalFormatting sqref="A38">
    <cfRule type="containsText" dxfId="1742" priority="117" operator="containsText" text="ok">
      <formula>NOT(ISERROR(SEARCH("ok",A38)))</formula>
    </cfRule>
  </conditionalFormatting>
  <conditionalFormatting sqref="A46">
    <cfRule type="containsText" dxfId="1741" priority="116" operator="containsText" text="OK">
      <formula>NOT(ISERROR(SEARCH("OK",A46)))</formula>
    </cfRule>
  </conditionalFormatting>
  <conditionalFormatting sqref="A46">
    <cfRule type="containsText" dxfId="1740" priority="115" operator="containsText" text="ok">
      <formula>NOT(ISERROR(SEARCH("ok",A46)))</formula>
    </cfRule>
  </conditionalFormatting>
  <conditionalFormatting sqref="A47">
    <cfRule type="containsText" dxfId="1739" priority="114" operator="containsText" text="OK">
      <formula>NOT(ISERROR(SEARCH("OK",A47)))</formula>
    </cfRule>
  </conditionalFormatting>
  <conditionalFormatting sqref="A47">
    <cfRule type="containsText" dxfId="1738" priority="113" operator="containsText" text="ok">
      <formula>NOT(ISERROR(SEARCH("ok",A47)))</formula>
    </cfRule>
  </conditionalFormatting>
  <conditionalFormatting sqref="A68">
    <cfRule type="containsText" dxfId="1737" priority="112" operator="containsText" text="OK">
      <formula>NOT(ISERROR(SEARCH("OK",A68)))</formula>
    </cfRule>
  </conditionalFormatting>
  <conditionalFormatting sqref="A68">
    <cfRule type="containsText" dxfId="1736" priority="111" operator="containsText" text="ok">
      <formula>NOT(ISERROR(SEARCH("ok",A68)))</formula>
    </cfRule>
  </conditionalFormatting>
  <conditionalFormatting sqref="B68">
    <cfRule type="containsText" dxfId="1735" priority="110" operator="containsText" text="OK">
      <formula>NOT(ISERROR(SEARCH("OK",B68)))</formula>
    </cfRule>
  </conditionalFormatting>
  <conditionalFormatting sqref="B68">
    <cfRule type="containsText" dxfId="1734" priority="109" operator="containsText" text="ok">
      <formula>NOT(ISERROR(SEARCH("ok",B68)))</formula>
    </cfRule>
  </conditionalFormatting>
  <conditionalFormatting sqref="A66">
    <cfRule type="containsText" dxfId="1733" priority="108" operator="containsText" text="OK">
      <formula>NOT(ISERROR(SEARCH("OK",A66)))</formula>
    </cfRule>
  </conditionalFormatting>
  <conditionalFormatting sqref="A66">
    <cfRule type="containsText" dxfId="1732" priority="107" operator="containsText" text="ok">
      <formula>NOT(ISERROR(SEARCH("ok",A66)))</formula>
    </cfRule>
  </conditionalFormatting>
  <conditionalFormatting sqref="B66">
    <cfRule type="containsText" dxfId="1731" priority="106" operator="containsText" text="OK">
      <formula>NOT(ISERROR(SEARCH("OK",B66)))</formula>
    </cfRule>
  </conditionalFormatting>
  <conditionalFormatting sqref="B66">
    <cfRule type="containsText" dxfId="1730" priority="105" operator="containsText" text="ok">
      <formula>NOT(ISERROR(SEARCH("ok",B66)))</formula>
    </cfRule>
  </conditionalFormatting>
  <conditionalFormatting sqref="B65">
    <cfRule type="containsText" dxfId="1729" priority="102" operator="containsText" text="OK">
      <formula>NOT(ISERROR(SEARCH("OK",B65)))</formula>
    </cfRule>
  </conditionalFormatting>
  <conditionalFormatting sqref="B65">
    <cfRule type="containsText" dxfId="1728" priority="101" operator="containsText" text="ok">
      <formula>NOT(ISERROR(SEARCH("ok",B65)))</formula>
    </cfRule>
  </conditionalFormatting>
  <conditionalFormatting sqref="A65">
    <cfRule type="containsText" dxfId="1727" priority="104" operator="containsText" text="OK">
      <formula>NOT(ISERROR(SEARCH("OK",A65)))</formula>
    </cfRule>
  </conditionalFormatting>
  <conditionalFormatting sqref="A65">
    <cfRule type="containsText" dxfId="1726" priority="103" operator="containsText" text="ok">
      <formula>NOT(ISERROR(SEARCH("ok",A65)))</formula>
    </cfRule>
  </conditionalFormatting>
  <conditionalFormatting sqref="A67">
    <cfRule type="containsText" dxfId="1725" priority="100" operator="containsText" text="OK">
      <formula>NOT(ISERROR(SEARCH("OK",A67)))</formula>
    </cfRule>
  </conditionalFormatting>
  <conditionalFormatting sqref="A67">
    <cfRule type="containsText" dxfId="1724" priority="99" operator="containsText" text="ok">
      <formula>NOT(ISERROR(SEARCH("ok",A67)))</formula>
    </cfRule>
  </conditionalFormatting>
  <conditionalFormatting sqref="B67">
    <cfRule type="containsText" dxfId="1723" priority="98" operator="containsText" text="OK">
      <formula>NOT(ISERROR(SEARCH("OK",B67)))</formula>
    </cfRule>
  </conditionalFormatting>
  <conditionalFormatting sqref="B67">
    <cfRule type="containsText" dxfId="1722" priority="97" operator="containsText" text="ok">
      <formula>NOT(ISERROR(SEARCH("ok",B67)))</formula>
    </cfRule>
  </conditionalFormatting>
  <conditionalFormatting sqref="B70">
    <cfRule type="containsText" dxfId="1721" priority="96" operator="containsText" text="OK">
      <formula>NOT(ISERROR(SEARCH("OK",B70)))</formula>
    </cfRule>
  </conditionalFormatting>
  <conditionalFormatting sqref="B70">
    <cfRule type="containsText" dxfId="1720" priority="95" operator="containsText" text="ok">
      <formula>NOT(ISERROR(SEARCH("ok",B70)))</formula>
    </cfRule>
  </conditionalFormatting>
  <conditionalFormatting sqref="A70">
    <cfRule type="containsText" dxfId="1719" priority="94" operator="containsText" text="OK">
      <formula>NOT(ISERROR(SEARCH("OK",A70)))</formula>
    </cfRule>
  </conditionalFormatting>
  <conditionalFormatting sqref="A70">
    <cfRule type="containsText" dxfId="1718" priority="93" operator="containsText" text="ok">
      <formula>NOT(ISERROR(SEARCH("ok",A70)))</formula>
    </cfRule>
  </conditionalFormatting>
  <conditionalFormatting sqref="A71">
    <cfRule type="containsText" dxfId="1717" priority="92" operator="containsText" text="OK">
      <formula>NOT(ISERROR(SEARCH("OK",A71)))</formula>
    </cfRule>
  </conditionalFormatting>
  <conditionalFormatting sqref="A71">
    <cfRule type="containsText" dxfId="1716" priority="91" operator="containsText" text="ok">
      <formula>NOT(ISERROR(SEARCH("ok",A71)))</formula>
    </cfRule>
  </conditionalFormatting>
  <conditionalFormatting sqref="B71">
    <cfRule type="containsText" dxfId="1715" priority="90" operator="containsText" text="OK">
      <formula>NOT(ISERROR(SEARCH("OK",B71)))</formula>
    </cfRule>
  </conditionalFormatting>
  <conditionalFormatting sqref="B71">
    <cfRule type="containsText" dxfId="1714" priority="89" operator="containsText" text="ok">
      <formula>NOT(ISERROR(SEARCH("ok",B71)))</formula>
    </cfRule>
  </conditionalFormatting>
  <conditionalFormatting sqref="A71">
    <cfRule type="containsText" dxfId="1713" priority="88" operator="containsText" text="OK">
      <formula>NOT(ISERROR(SEARCH("OK",A71)))</formula>
    </cfRule>
  </conditionalFormatting>
  <conditionalFormatting sqref="A71">
    <cfRule type="containsText" dxfId="1712" priority="87" operator="containsText" text="ok">
      <formula>NOT(ISERROR(SEARCH("ok",A71)))</formula>
    </cfRule>
  </conditionalFormatting>
  <conditionalFormatting sqref="B71">
    <cfRule type="containsText" dxfId="1711" priority="86" operator="containsText" text="OK">
      <formula>NOT(ISERROR(SEARCH("OK",B71)))</formula>
    </cfRule>
  </conditionalFormatting>
  <conditionalFormatting sqref="B71">
    <cfRule type="containsText" dxfId="1710" priority="85" operator="containsText" text="ok">
      <formula>NOT(ISERROR(SEARCH("ok",B71)))</formula>
    </cfRule>
  </conditionalFormatting>
  <conditionalFormatting sqref="A72">
    <cfRule type="containsText" dxfId="1709" priority="84" operator="containsText" text="OK">
      <formula>NOT(ISERROR(SEARCH("OK",A72)))</formula>
    </cfRule>
  </conditionalFormatting>
  <conditionalFormatting sqref="A72">
    <cfRule type="containsText" dxfId="1708" priority="83" operator="containsText" text="ok">
      <formula>NOT(ISERROR(SEARCH("ok",A72)))</formula>
    </cfRule>
  </conditionalFormatting>
  <conditionalFormatting sqref="B72">
    <cfRule type="containsText" dxfId="1707" priority="82" operator="containsText" text="OK">
      <formula>NOT(ISERROR(SEARCH("OK",B72)))</formula>
    </cfRule>
  </conditionalFormatting>
  <conditionalFormatting sqref="B72">
    <cfRule type="containsText" dxfId="1706" priority="81" operator="containsText" text="ok">
      <formula>NOT(ISERROR(SEARCH("ok",B72)))</formula>
    </cfRule>
  </conditionalFormatting>
  <conditionalFormatting sqref="B73">
    <cfRule type="containsText" dxfId="1705" priority="78" operator="containsText" text="OK">
      <formula>NOT(ISERROR(SEARCH("OK",B73)))</formula>
    </cfRule>
  </conditionalFormatting>
  <conditionalFormatting sqref="B73">
    <cfRule type="containsText" dxfId="1704" priority="77" operator="containsText" text="ok">
      <formula>NOT(ISERROR(SEARCH("ok",B73)))</formula>
    </cfRule>
  </conditionalFormatting>
  <conditionalFormatting sqref="A73">
    <cfRule type="containsText" dxfId="1703" priority="80" operator="containsText" text="OK">
      <formula>NOT(ISERROR(SEARCH("OK",A73)))</formula>
    </cfRule>
  </conditionalFormatting>
  <conditionalFormatting sqref="A73">
    <cfRule type="containsText" dxfId="1702" priority="79" operator="containsText" text="ok">
      <formula>NOT(ISERROR(SEARCH("ok",A73)))</formula>
    </cfRule>
  </conditionalFormatting>
  <conditionalFormatting sqref="A73">
    <cfRule type="containsText" dxfId="1701" priority="76" operator="containsText" text="OK">
      <formula>NOT(ISERROR(SEARCH("OK",A73)))</formula>
    </cfRule>
  </conditionalFormatting>
  <conditionalFormatting sqref="A73">
    <cfRule type="containsText" dxfId="1700" priority="75" operator="containsText" text="ok">
      <formula>NOT(ISERROR(SEARCH("ok",A73)))</formula>
    </cfRule>
  </conditionalFormatting>
  <conditionalFormatting sqref="B73">
    <cfRule type="containsText" dxfId="1699" priority="74" operator="containsText" text="OK">
      <formula>NOT(ISERROR(SEARCH("OK",B73)))</formula>
    </cfRule>
  </conditionalFormatting>
  <conditionalFormatting sqref="B73">
    <cfRule type="containsText" dxfId="1698" priority="73" operator="containsText" text="ok">
      <formula>NOT(ISERROR(SEARCH("ok",B73)))</formula>
    </cfRule>
  </conditionalFormatting>
  <conditionalFormatting sqref="B72">
    <cfRule type="containsText" dxfId="1697" priority="70" operator="containsText" text="OK">
      <formula>NOT(ISERROR(SEARCH("OK",B72)))</formula>
    </cfRule>
  </conditionalFormatting>
  <conditionalFormatting sqref="B72">
    <cfRule type="containsText" dxfId="1696" priority="69" operator="containsText" text="ok">
      <formula>NOT(ISERROR(SEARCH("ok",B72)))</formula>
    </cfRule>
  </conditionalFormatting>
  <conditionalFormatting sqref="A72">
    <cfRule type="containsText" dxfId="1695" priority="72" operator="containsText" text="OK">
      <formula>NOT(ISERROR(SEARCH("OK",A72)))</formula>
    </cfRule>
  </conditionalFormatting>
  <conditionalFormatting sqref="A72">
    <cfRule type="containsText" dxfId="1694" priority="71" operator="containsText" text="ok">
      <formula>NOT(ISERROR(SEARCH("ok",A72)))</formula>
    </cfRule>
  </conditionalFormatting>
  <conditionalFormatting sqref="A31">
    <cfRule type="containsText" dxfId="1693" priority="48" operator="containsText" text="OK">
      <formula>NOT(ISERROR(SEARCH("OK",A31)))</formula>
    </cfRule>
  </conditionalFormatting>
  <conditionalFormatting sqref="A31">
    <cfRule type="containsText" dxfId="1692" priority="47" operator="containsText" text="ok">
      <formula>NOT(ISERROR(SEARCH("ok",A31)))</formula>
    </cfRule>
  </conditionalFormatting>
  <conditionalFormatting sqref="A34">
    <cfRule type="containsText" dxfId="1691" priority="42" operator="containsText" text="OK">
      <formula>NOT(ISERROR(SEARCH("OK",A34)))</formula>
    </cfRule>
  </conditionalFormatting>
  <conditionalFormatting sqref="A34">
    <cfRule type="containsText" dxfId="1690" priority="41" operator="containsText" text="ok">
      <formula>NOT(ISERROR(SEARCH("ok",A34)))</formula>
    </cfRule>
  </conditionalFormatting>
  <conditionalFormatting sqref="A35">
    <cfRule type="containsText" dxfId="1689" priority="40" operator="containsText" text="OK">
      <formula>NOT(ISERROR(SEARCH("OK",A35)))</formula>
    </cfRule>
  </conditionalFormatting>
  <conditionalFormatting sqref="A35">
    <cfRule type="containsText" dxfId="1688" priority="39" operator="containsText" text="ok">
      <formula>NOT(ISERROR(SEARCH("ok",A35)))</formula>
    </cfRule>
  </conditionalFormatting>
  <conditionalFormatting sqref="A36">
    <cfRule type="containsText" dxfId="1687" priority="38" operator="containsText" text="OK">
      <formula>NOT(ISERROR(SEARCH("OK",A36)))</formula>
    </cfRule>
  </conditionalFormatting>
  <conditionalFormatting sqref="A36">
    <cfRule type="containsText" dxfId="1686" priority="37" operator="containsText" text="ok">
      <formula>NOT(ISERROR(SEARCH("ok",A36)))</formula>
    </cfRule>
  </conditionalFormatting>
  <conditionalFormatting sqref="A37">
    <cfRule type="containsText" dxfId="1685" priority="36" operator="containsText" text="OK">
      <formula>NOT(ISERROR(SEARCH("OK",A37)))</formula>
    </cfRule>
  </conditionalFormatting>
  <conditionalFormatting sqref="A37">
    <cfRule type="containsText" dxfId="1684" priority="35" operator="containsText" text="ok">
      <formula>NOT(ISERROR(SEARCH("ok",A37)))</formula>
    </cfRule>
  </conditionalFormatting>
  <conditionalFormatting sqref="A16">
    <cfRule type="containsText" dxfId="1683" priority="34" operator="containsText" text="OK">
      <formula>NOT(ISERROR(SEARCH("OK",A16)))</formula>
    </cfRule>
  </conditionalFormatting>
  <conditionalFormatting sqref="A16">
    <cfRule type="containsText" dxfId="1682" priority="33" operator="containsText" text="ok">
      <formula>NOT(ISERROR(SEARCH("ok",A16)))</formula>
    </cfRule>
  </conditionalFormatting>
  <conditionalFormatting sqref="A18">
    <cfRule type="containsText" dxfId="1681" priority="32" operator="containsText" text="OK">
      <formula>NOT(ISERROR(SEARCH("OK",A18)))</formula>
    </cfRule>
  </conditionalFormatting>
  <conditionalFormatting sqref="A18">
    <cfRule type="containsText" dxfId="1680" priority="31" operator="containsText" text="ok">
      <formula>NOT(ISERROR(SEARCH("ok",A18)))</formula>
    </cfRule>
  </conditionalFormatting>
  <conditionalFormatting sqref="A19">
    <cfRule type="containsText" dxfId="1679" priority="30" operator="containsText" text="OK">
      <formula>NOT(ISERROR(SEARCH("OK",A19)))</formula>
    </cfRule>
  </conditionalFormatting>
  <conditionalFormatting sqref="A19">
    <cfRule type="containsText" dxfId="1678" priority="29" operator="containsText" text="ok">
      <formula>NOT(ISERROR(SEARCH("ok",A19)))</formula>
    </cfRule>
  </conditionalFormatting>
  <conditionalFormatting sqref="A20">
    <cfRule type="containsText" dxfId="1677" priority="28" operator="containsText" text="OK">
      <formula>NOT(ISERROR(SEARCH("OK",A20)))</formula>
    </cfRule>
  </conditionalFormatting>
  <conditionalFormatting sqref="A20">
    <cfRule type="containsText" dxfId="1676" priority="27" operator="containsText" text="ok">
      <formula>NOT(ISERROR(SEARCH("ok",A20)))</formula>
    </cfRule>
  </conditionalFormatting>
  <conditionalFormatting sqref="A13:A14 A4:A5">
    <cfRule type="containsText" dxfId="1675" priority="26" operator="containsText" text="OK">
      <formula>NOT(ISERROR(SEARCH("OK",A4)))</formula>
    </cfRule>
  </conditionalFormatting>
  <conditionalFormatting sqref="A13:A14 A4:A5">
    <cfRule type="containsText" dxfId="1674" priority="25" operator="containsText" text="ok">
      <formula>NOT(ISERROR(SEARCH("ok",A4)))</formula>
    </cfRule>
  </conditionalFormatting>
  <conditionalFormatting sqref="A13">
    <cfRule type="containsText" dxfId="1673" priority="24" operator="containsText" text="OK">
      <formula>NOT(ISERROR(SEARCH("OK",A13)))</formula>
    </cfRule>
  </conditionalFormatting>
  <conditionalFormatting sqref="A13">
    <cfRule type="containsText" dxfId="1672" priority="23" operator="containsText" text="ok">
      <formula>NOT(ISERROR(SEARCH("ok",A13)))</formula>
    </cfRule>
  </conditionalFormatting>
  <conditionalFormatting sqref="A6">
    <cfRule type="containsText" dxfId="1671" priority="22" operator="containsText" text="OK">
      <formula>NOT(ISERROR(SEARCH("OK",A6)))</formula>
    </cfRule>
  </conditionalFormatting>
  <conditionalFormatting sqref="A6">
    <cfRule type="containsText" dxfId="1670" priority="21" operator="containsText" text="ok">
      <formula>NOT(ISERROR(SEARCH("ok",A6)))</formula>
    </cfRule>
  </conditionalFormatting>
  <conditionalFormatting sqref="A7">
    <cfRule type="containsText" dxfId="1669" priority="20" operator="containsText" text="OK">
      <formula>NOT(ISERROR(SEARCH("OK",A7)))</formula>
    </cfRule>
  </conditionalFormatting>
  <conditionalFormatting sqref="A7">
    <cfRule type="containsText" dxfId="1668" priority="19" operator="containsText" text="ok">
      <formula>NOT(ISERROR(SEARCH("ok",A7)))</formula>
    </cfRule>
  </conditionalFormatting>
  <conditionalFormatting sqref="A8">
    <cfRule type="containsText" dxfId="1667" priority="18" operator="containsText" text="OK">
      <formula>NOT(ISERROR(SEARCH("OK",A8)))</formula>
    </cfRule>
  </conditionalFormatting>
  <conditionalFormatting sqref="A8">
    <cfRule type="containsText" dxfId="1666" priority="17" operator="containsText" text="ok">
      <formula>NOT(ISERROR(SEARCH("ok",A8)))</formula>
    </cfRule>
  </conditionalFormatting>
  <conditionalFormatting sqref="A9">
    <cfRule type="containsText" dxfId="1665" priority="16" operator="containsText" text="OK">
      <formula>NOT(ISERROR(SEARCH("OK",A9)))</formula>
    </cfRule>
  </conditionalFormatting>
  <conditionalFormatting sqref="A9">
    <cfRule type="containsText" dxfId="1664" priority="15" operator="containsText" text="ok">
      <formula>NOT(ISERROR(SEARCH("ok",A9)))</formula>
    </cfRule>
  </conditionalFormatting>
  <conditionalFormatting sqref="A10">
    <cfRule type="containsText" dxfId="1663" priority="14" operator="containsText" text="OK">
      <formula>NOT(ISERROR(SEARCH("OK",A10)))</formula>
    </cfRule>
  </conditionalFormatting>
  <conditionalFormatting sqref="A10">
    <cfRule type="containsText" dxfId="1662" priority="13" operator="containsText" text="ok">
      <formula>NOT(ISERROR(SEARCH("ok",A10)))</formula>
    </cfRule>
  </conditionalFormatting>
  <conditionalFormatting sqref="A11">
    <cfRule type="containsText" dxfId="1661" priority="12" operator="containsText" text="OK">
      <formula>NOT(ISERROR(SEARCH("OK",A11)))</formula>
    </cfRule>
  </conditionalFormatting>
  <conditionalFormatting sqref="A11">
    <cfRule type="containsText" dxfId="1660" priority="11" operator="containsText" text="ok">
      <formula>NOT(ISERROR(SEARCH("ok",A11)))</formula>
    </cfRule>
  </conditionalFormatting>
  <conditionalFormatting sqref="A12">
    <cfRule type="containsText" dxfId="1659" priority="10" operator="containsText" text="OK">
      <formula>NOT(ISERROR(SEARCH("OK",A12)))</formula>
    </cfRule>
  </conditionalFormatting>
  <conditionalFormatting sqref="A12">
    <cfRule type="containsText" dxfId="1658" priority="9" operator="containsText" text="ok">
      <formula>NOT(ISERROR(SEARCH("ok",A12)))</formula>
    </cfRule>
  </conditionalFormatting>
  <conditionalFormatting sqref="A32">
    <cfRule type="containsText" dxfId="1657" priority="8" operator="containsText" text="OK">
      <formula>NOT(ISERROR(SEARCH("OK",A32)))</formula>
    </cfRule>
  </conditionalFormatting>
  <conditionalFormatting sqref="A32">
    <cfRule type="containsText" dxfId="1656" priority="7" operator="containsText" text="ok">
      <formula>NOT(ISERROR(SEARCH("ok",A32)))</formula>
    </cfRule>
  </conditionalFormatting>
  <conditionalFormatting sqref="A33">
    <cfRule type="containsText" dxfId="1655" priority="6" operator="containsText" text="OK">
      <formula>NOT(ISERROR(SEARCH("OK",A33)))</formula>
    </cfRule>
  </conditionalFormatting>
  <conditionalFormatting sqref="A33">
    <cfRule type="containsText" dxfId="1654" priority="5" operator="containsText" text="ok">
      <formula>NOT(ISERROR(SEARCH("ok",A33)))</formula>
    </cfRule>
  </conditionalFormatting>
  <conditionalFormatting sqref="A39">
    <cfRule type="containsText" dxfId="1653" priority="4" operator="containsText" text="OK">
      <formula>NOT(ISERROR(SEARCH("OK",A39)))</formula>
    </cfRule>
  </conditionalFormatting>
  <conditionalFormatting sqref="A39">
    <cfRule type="containsText" dxfId="1652" priority="3" operator="containsText" text="ok">
      <formula>NOT(ISERROR(SEARCH("ok",A39)))</formula>
    </cfRule>
  </conditionalFormatting>
  <conditionalFormatting sqref="A41">
    <cfRule type="containsText" dxfId="1651" priority="2" operator="containsText" text="OK">
      <formula>NOT(ISERROR(SEARCH("OK",A41)))</formula>
    </cfRule>
  </conditionalFormatting>
  <conditionalFormatting sqref="A41">
    <cfRule type="containsText" dxfId="1650" priority="1" operator="containsText" text="ok">
      <formula>NOT(ISERROR(SEARCH("ok",A41)))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33" max="16383" man="1"/>
  </rowBreaks>
  <colBreaks count="1" manualBreakCount="1">
    <brk id="1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48434"/>
  <sheetViews>
    <sheetView zoomScale="86" zoomScaleNormal="86" workbookViewId="0">
      <pane xSplit="3" ySplit="3" topLeftCell="D59" activePane="bottomRight" state="frozen"/>
      <selection activeCell="C83" sqref="C83"/>
      <selection pane="topRight" activeCell="C83" sqref="C83"/>
      <selection pane="bottomLeft" activeCell="C83" sqref="C83"/>
      <selection pane="bottomRight" activeCell="C79" sqref="C79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187" customWidth="1"/>
    <col min="4" max="4" width="14.54296875" style="187" bestFit="1" customWidth="1"/>
    <col min="5" max="5" width="13.1796875" style="187" bestFit="1" customWidth="1"/>
    <col min="6" max="6" width="11.54296875" style="5" bestFit="1" customWidth="1"/>
    <col min="7" max="7" width="14.453125" style="6" bestFit="1" customWidth="1"/>
    <col min="8" max="8" width="8.81640625" style="187" hidden="1" customWidth="1"/>
    <col min="9" max="9" width="13.26953125" style="187" hidden="1" customWidth="1"/>
    <col min="10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187" hidden="1" customWidth="1"/>
    <col min="21" max="21" width="10.26953125" style="7" hidden="1" customWidth="1"/>
    <col min="22" max="22" width="9.81640625" style="187" hidden="1" customWidth="1"/>
    <col min="23" max="23" width="18.81640625" style="187" hidden="1" customWidth="1"/>
    <col min="24" max="24" width="30.26953125" style="187" customWidth="1"/>
    <col min="25" max="25" width="14.7265625" style="187" bestFit="1" customWidth="1"/>
    <col min="26" max="26" width="5" style="187" bestFit="1" customWidth="1"/>
    <col min="27" max="27" width="14.26953125" style="187" customWidth="1"/>
    <col min="28" max="28" width="14" style="187" bestFit="1" customWidth="1"/>
    <col min="29" max="16384" width="9.1796875" style="187"/>
  </cols>
  <sheetData>
    <row r="1" spans="1:27" x14ac:dyDescent="0.35">
      <c r="A1" s="226" t="s">
        <v>2</v>
      </c>
      <c r="B1" s="192" t="s">
        <v>2</v>
      </c>
      <c r="C1" s="193"/>
      <c r="D1" s="320">
        <f>D102</f>
        <v>180</v>
      </c>
      <c r="E1" s="193"/>
      <c r="F1" s="193"/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19" t="s">
        <v>3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2" t="s">
        <v>16</v>
      </c>
      <c r="X2" s="718" t="s">
        <v>16</v>
      </c>
    </row>
    <row r="3" spans="1:27" ht="29.5" thickBot="1" x14ac:dyDescent="0.4">
      <c r="A3" s="717"/>
      <c r="B3" s="719"/>
      <c r="C3" s="719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2"/>
      <c r="X3" s="718"/>
      <c r="Y3" s="8"/>
    </row>
    <row r="4" spans="1:27" ht="15" customHeight="1" x14ac:dyDescent="0.35">
      <c r="A4" s="245">
        <v>45048</v>
      </c>
      <c r="B4" s="246"/>
      <c r="C4" s="212" t="s">
        <v>323</v>
      </c>
      <c r="D4" s="15">
        <v>1</v>
      </c>
      <c r="E4" s="15"/>
      <c r="F4" s="9">
        <v>880</v>
      </c>
      <c r="G4" s="29">
        <f t="shared" ref="G4:G67" si="0">(F4*D4)+(E4*F4)</f>
        <v>880</v>
      </c>
      <c r="H4" s="11"/>
      <c r="I4" s="10"/>
      <c r="J4" s="29">
        <f t="shared" ref="J4:J67" si="1">H4*I4</f>
        <v>0</v>
      </c>
      <c r="K4" s="29"/>
      <c r="L4" s="223">
        <f>(J4+G4)-K4</f>
        <v>880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>IF(O4&gt;0,SUM(O4-(L4+P4))," ")</f>
        <v xml:space="preserve"> </v>
      </c>
      <c r="S4" s="189"/>
      <c r="T4" s="253" t="s">
        <v>1</v>
      </c>
      <c r="U4" s="13">
        <v>0</v>
      </c>
      <c r="V4" s="253" t="s">
        <v>10</v>
      </c>
      <c r="W4" s="253"/>
      <c r="X4" s="14"/>
    </row>
    <row r="5" spans="1:27" ht="15" customHeight="1" x14ac:dyDescent="0.35">
      <c r="A5" s="245">
        <v>45048</v>
      </c>
      <c r="B5" s="246"/>
      <c r="C5" s="212" t="s">
        <v>153</v>
      </c>
      <c r="D5" s="15">
        <v>1</v>
      </c>
      <c r="E5" s="15"/>
      <c r="F5" s="9">
        <v>880</v>
      </c>
      <c r="G5" s="29">
        <f t="shared" si="0"/>
        <v>880</v>
      </c>
      <c r="H5" s="11"/>
      <c r="I5" s="10"/>
      <c r="J5" s="29">
        <f t="shared" si="1"/>
        <v>0</v>
      </c>
      <c r="K5" s="29"/>
      <c r="L5" s="223">
        <f t="shared" ref="L5:L68" si="2">(J5+G5)-K5</f>
        <v>880</v>
      </c>
      <c r="M5" s="12"/>
      <c r="N5" s="218" t="str">
        <f t="shared" ref="N5:N61" si="3">IF(M5&gt;0,SUM(L5-M5)," ")</f>
        <v xml:space="preserve"> </v>
      </c>
      <c r="O5" s="189"/>
      <c r="P5" s="189"/>
      <c r="Q5" s="189"/>
      <c r="R5" s="189" t="str">
        <f t="shared" ref="R5:R100" si="4">IF(O5&gt;0,SUM(O5-(L5+P5))," ")</f>
        <v xml:space="preserve"> </v>
      </c>
      <c r="S5" s="189"/>
      <c r="T5" s="253" t="s">
        <v>1</v>
      </c>
      <c r="U5" s="13">
        <v>0</v>
      </c>
      <c r="V5" s="253" t="s">
        <v>10</v>
      </c>
      <c r="W5" s="253"/>
      <c r="X5" s="14"/>
    </row>
    <row r="6" spans="1:27" ht="15" customHeight="1" x14ac:dyDescent="0.35">
      <c r="A6" s="245">
        <v>45049</v>
      </c>
      <c r="B6" s="246"/>
      <c r="C6" s="211" t="s">
        <v>321</v>
      </c>
      <c r="D6" s="15">
        <v>2</v>
      </c>
      <c r="E6" s="15"/>
      <c r="F6" s="9">
        <v>880</v>
      </c>
      <c r="G6" s="29">
        <f t="shared" si="0"/>
        <v>1760</v>
      </c>
      <c r="H6" s="11"/>
      <c r="I6" s="10"/>
      <c r="J6" s="29">
        <f t="shared" si="1"/>
        <v>0</v>
      </c>
      <c r="K6" s="29"/>
      <c r="L6" s="223">
        <f t="shared" si="2"/>
        <v>1760</v>
      </c>
      <c r="M6" s="213"/>
      <c r="N6" s="218" t="str">
        <f t="shared" si="3"/>
        <v xml:space="preserve"> </v>
      </c>
      <c r="O6" s="189"/>
      <c r="P6" s="189"/>
      <c r="Q6" s="189"/>
      <c r="R6" s="189" t="str">
        <f t="shared" si="4"/>
        <v xml:space="preserve"> </v>
      </c>
      <c r="S6" s="189"/>
      <c r="T6" s="253" t="s">
        <v>1</v>
      </c>
      <c r="U6" s="13">
        <v>0</v>
      </c>
      <c r="V6" s="253" t="s">
        <v>10</v>
      </c>
      <c r="W6" s="253"/>
      <c r="X6" s="17"/>
    </row>
    <row r="7" spans="1:27" ht="15" customHeight="1" x14ac:dyDescent="0.35">
      <c r="A7" s="245">
        <v>45049</v>
      </c>
      <c r="B7" s="245"/>
      <c r="C7" s="211" t="s">
        <v>280</v>
      </c>
      <c r="D7" s="15"/>
      <c r="E7" s="15">
        <v>2</v>
      </c>
      <c r="F7" s="9">
        <v>880</v>
      </c>
      <c r="G7" s="29">
        <f t="shared" si="0"/>
        <v>1760</v>
      </c>
      <c r="H7" s="11"/>
      <c r="I7" s="10"/>
      <c r="J7" s="29">
        <f t="shared" si="1"/>
        <v>0</v>
      </c>
      <c r="K7" s="29"/>
      <c r="L7" s="223">
        <f t="shared" si="2"/>
        <v>1760</v>
      </c>
      <c r="M7" s="12"/>
      <c r="N7" s="218" t="str">
        <f t="shared" si="3"/>
        <v xml:space="preserve"> </v>
      </c>
      <c r="O7" s="189"/>
      <c r="P7" s="189"/>
      <c r="Q7" s="189"/>
      <c r="R7" s="189" t="str">
        <f t="shared" si="4"/>
        <v xml:space="preserve"> </v>
      </c>
      <c r="S7" s="189"/>
      <c r="T7" s="253" t="s">
        <v>1</v>
      </c>
      <c r="U7" s="13">
        <v>0</v>
      </c>
      <c r="V7" s="253" t="s">
        <v>10</v>
      </c>
      <c r="W7" s="253"/>
      <c r="X7" s="16"/>
    </row>
    <row r="8" spans="1:27" ht="15" customHeight="1" x14ac:dyDescent="0.35">
      <c r="A8" s="245">
        <v>45049</v>
      </c>
      <c r="B8" s="245"/>
      <c r="C8" s="211" t="s">
        <v>326</v>
      </c>
      <c r="D8" s="15"/>
      <c r="E8" s="15">
        <v>1</v>
      </c>
      <c r="F8" s="9">
        <v>880</v>
      </c>
      <c r="G8" s="29">
        <f t="shared" si="0"/>
        <v>880</v>
      </c>
      <c r="H8" s="11"/>
      <c r="I8" s="10"/>
      <c r="J8" s="29">
        <f t="shared" si="1"/>
        <v>0</v>
      </c>
      <c r="K8" s="29"/>
      <c r="L8" s="223">
        <f t="shared" si="2"/>
        <v>880</v>
      </c>
      <c r="M8" s="12"/>
      <c r="N8" s="218" t="str">
        <f t="shared" si="3"/>
        <v xml:space="preserve"> </v>
      </c>
      <c r="O8" s="189">
        <v>1400</v>
      </c>
      <c r="P8" s="189"/>
      <c r="Q8" s="189"/>
      <c r="R8" s="189">
        <f t="shared" si="4"/>
        <v>520</v>
      </c>
      <c r="S8" s="189"/>
      <c r="T8" s="253" t="s">
        <v>83</v>
      </c>
      <c r="U8" s="13">
        <v>0</v>
      </c>
      <c r="V8" s="253" t="s">
        <v>10</v>
      </c>
      <c r="W8" s="253" t="s">
        <v>84</v>
      </c>
      <c r="X8" s="16"/>
      <c r="Y8" s="187" t="s">
        <v>0</v>
      </c>
      <c r="Z8" s="187" t="s">
        <v>8</v>
      </c>
      <c r="AA8" s="249">
        <f>G101</f>
        <v>154430</v>
      </c>
    </row>
    <row r="9" spans="1:27" ht="15" customHeight="1" x14ac:dyDescent="0.35">
      <c r="A9" s="245">
        <v>45050</v>
      </c>
      <c r="B9" s="245"/>
      <c r="C9" s="212" t="s">
        <v>279</v>
      </c>
      <c r="D9" s="15"/>
      <c r="E9" s="15">
        <v>6</v>
      </c>
      <c r="F9" s="9">
        <v>830</v>
      </c>
      <c r="G9" s="29">
        <f t="shared" si="0"/>
        <v>4980</v>
      </c>
      <c r="H9" s="11"/>
      <c r="I9" s="10"/>
      <c r="J9" s="29">
        <f t="shared" si="1"/>
        <v>0</v>
      </c>
      <c r="K9" s="29"/>
      <c r="L9" s="223">
        <f t="shared" si="2"/>
        <v>4980</v>
      </c>
      <c r="M9" s="12"/>
      <c r="N9" s="218" t="str">
        <f t="shared" si="3"/>
        <v xml:space="preserve"> </v>
      </c>
      <c r="O9" s="189"/>
      <c r="P9" s="189"/>
      <c r="Q9" s="189"/>
      <c r="R9" s="189" t="str">
        <f t="shared" si="4"/>
        <v xml:space="preserve"> </v>
      </c>
      <c r="S9" s="189"/>
      <c r="T9" s="18" t="s">
        <v>1</v>
      </c>
      <c r="U9" s="13">
        <v>0</v>
      </c>
      <c r="V9" s="253" t="s">
        <v>10</v>
      </c>
      <c r="W9" s="253"/>
      <c r="X9" s="16"/>
      <c r="Y9" s="187">
        <v>800</v>
      </c>
      <c r="AA9" s="191">
        <f>Y9*Z9</f>
        <v>0</v>
      </c>
    </row>
    <row r="10" spans="1:27" ht="15" customHeight="1" x14ac:dyDescent="0.35">
      <c r="A10" s="245">
        <v>45050</v>
      </c>
      <c r="B10" s="245"/>
      <c r="C10" s="212" t="s">
        <v>330</v>
      </c>
      <c r="D10" s="15"/>
      <c r="E10" s="15">
        <v>2</v>
      </c>
      <c r="F10" s="9">
        <v>860</v>
      </c>
      <c r="G10" s="29">
        <f t="shared" si="0"/>
        <v>1720</v>
      </c>
      <c r="H10" s="11"/>
      <c r="I10" s="10"/>
      <c r="J10" s="29">
        <f t="shared" si="1"/>
        <v>0</v>
      </c>
      <c r="K10" s="29"/>
      <c r="L10" s="223">
        <f t="shared" si="2"/>
        <v>1720</v>
      </c>
      <c r="M10" s="12"/>
      <c r="N10" s="218" t="str">
        <f t="shared" si="3"/>
        <v xml:space="preserve"> </v>
      </c>
      <c r="O10" s="189"/>
      <c r="P10" s="189"/>
      <c r="Q10" s="189"/>
      <c r="R10" s="189" t="str">
        <f t="shared" si="4"/>
        <v xml:space="preserve"> </v>
      </c>
      <c r="S10" s="189"/>
      <c r="T10" s="18" t="s">
        <v>1</v>
      </c>
      <c r="U10" s="13">
        <v>0</v>
      </c>
      <c r="V10" s="253" t="s">
        <v>10</v>
      </c>
      <c r="W10" s="253"/>
      <c r="X10" s="16"/>
      <c r="Y10" s="187">
        <v>850</v>
      </c>
      <c r="AA10" s="191">
        <f>Y10*Z10</f>
        <v>0</v>
      </c>
    </row>
    <row r="11" spans="1:27" ht="15" customHeight="1" x14ac:dyDescent="0.35">
      <c r="A11" s="245">
        <v>45050</v>
      </c>
      <c r="B11" s="245"/>
      <c r="C11" s="212" t="s">
        <v>366</v>
      </c>
      <c r="D11" s="15">
        <v>1</v>
      </c>
      <c r="E11" s="15"/>
      <c r="F11" s="9">
        <v>880</v>
      </c>
      <c r="G11" s="29">
        <f t="shared" si="0"/>
        <v>880</v>
      </c>
      <c r="H11" s="11"/>
      <c r="I11" s="10"/>
      <c r="J11" s="29">
        <f t="shared" si="1"/>
        <v>0</v>
      </c>
      <c r="K11" s="29"/>
      <c r="L11" s="223">
        <f t="shared" si="2"/>
        <v>880</v>
      </c>
      <c r="M11" s="213"/>
      <c r="N11" s="218" t="str">
        <f t="shared" si="3"/>
        <v xml:space="preserve"> </v>
      </c>
      <c r="O11" s="189"/>
      <c r="P11" s="189"/>
      <c r="Q11" s="189"/>
      <c r="R11" s="189" t="str">
        <f t="shared" si="4"/>
        <v xml:space="preserve"> </v>
      </c>
      <c r="S11" s="189"/>
      <c r="T11" s="18" t="s">
        <v>1</v>
      </c>
      <c r="U11" s="13">
        <v>0</v>
      </c>
      <c r="V11" s="253" t="s">
        <v>10</v>
      </c>
      <c r="W11" s="253"/>
      <c r="X11" s="16"/>
      <c r="Y11" s="187">
        <v>830</v>
      </c>
      <c r="AA11" s="191">
        <f>Y11*Z11</f>
        <v>0</v>
      </c>
    </row>
    <row r="12" spans="1:27" ht="15" customHeight="1" x14ac:dyDescent="0.35">
      <c r="A12" s="245">
        <v>45051</v>
      </c>
      <c r="B12" s="245"/>
      <c r="C12" s="212" t="s">
        <v>153</v>
      </c>
      <c r="D12" s="15">
        <v>1</v>
      </c>
      <c r="E12" s="15"/>
      <c r="F12" s="9">
        <v>880</v>
      </c>
      <c r="G12" s="29">
        <f t="shared" si="0"/>
        <v>880</v>
      </c>
      <c r="H12" s="11"/>
      <c r="I12" s="10"/>
      <c r="J12" s="29">
        <f t="shared" si="1"/>
        <v>0</v>
      </c>
      <c r="K12" s="29"/>
      <c r="L12" s="223">
        <f t="shared" si="2"/>
        <v>880</v>
      </c>
      <c r="M12" s="12"/>
      <c r="N12" s="218" t="str">
        <f t="shared" si="3"/>
        <v xml:space="preserve"> </v>
      </c>
      <c r="O12" s="189"/>
      <c r="P12" s="189"/>
      <c r="Q12" s="189"/>
      <c r="R12" s="189" t="str">
        <f t="shared" si="4"/>
        <v xml:space="preserve"> </v>
      </c>
      <c r="S12" s="189"/>
      <c r="T12" s="253" t="s">
        <v>1</v>
      </c>
      <c r="U12" s="13">
        <v>0</v>
      </c>
      <c r="V12" s="253" t="s">
        <v>10</v>
      </c>
      <c r="W12" s="253"/>
      <c r="X12" s="17"/>
      <c r="AA12" s="191">
        <f>Y12*Z12</f>
        <v>0</v>
      </c>
    </row>
    <row r="13" spans="1:27" ht="15" customHeight="1" x14ac:dyDescent="0.35">
      <c r="A13" s="245">
        <v>45051</v>
      </c>
      <c r="B13" s="245"/>
      <c r="C13" s="212" t="s">
        <v>358</v>
      </c>
      <c r="D13" s="15"/>
      <c r="E13" s="15">
        <v>1</v>
      </c>
      <c r="F13" s="9">
        <v>860</v>
      </c>
      <c r="G13" s="29">
        <f t="shared" si="0"/>
        <v>860</v>
      </c>
      <c r="H13" s="11"/>
      <c r="I13" s="10"/>
      <c r="J13" s="29">
        <f t="shared" si="1"/>
        <v>0</v>
      </c>
      <c r="K13" s="29"/>
      <c r="L13" s="223">
        <f t="shared" si="2"/>
        <v>860</v>
      </c>
      <c r="M13" s="213"/>
      <c r="N13" s="218" t="str">
        <f t="shared" si="3"/>
        <v xml:space="preserve"> </v>
      </c>
      <c r="O13" s="189">
        <v>440</v>
      </c>
      <c r="P13" s="189"/>
      <c r="Q13" s="189"/>
      <c r="R13" s="189">
        <f t="shared" si="4"/>
        <v>-420</v>
      </c>
      <c r="S13" s="189">
        <f>P13-Q13</f>
        <v>0</v>
      </c>
      <c r="T13" s="253" t="s">
        <v>1</v>
      </c>
      <c r="U13" s="13">
        <v>30</v>
      </c>
      <c r="V13" s="253" t="s">
        <v>10</v>
      </c>
      <c r="W13" s="253" t="s">
        <v>92</v>
      </c>
      <c r="X13" s="16"/>
      <c r="AA13" s="251">
        <f>AA8-(SUM(AA9:AA12))</f>
        <v>154430</v>
      </c>
    </row>
    <row r="14" spans="1:27" ht="15" customHeight="1" x14ac:dyDescent="0.35">
      <c r="A14" s="245">
        <v>45051</v>
      </c>
      <c r="B14" s="245"/>
      <c r="C14" s="212" t="s">
        <v>349</v>
      </c>
      <c r="D14" s="15"/>
      <c r="E14" s="15">
        <v>1</v>
      </c>
      <c r="F14" s="9">
        <v>850</v>
      </c>
      <c r="G14" s="29">
        <f t="shared" si="0"/>
        <v>850</v>
      </c>
      <c r="H14" s="11"/>
      <c r="I14" s="10"/>
      <c r="J14" s="29">
        <f t="shared" si="1"/>
        <v>0</v>
      </c>
      <c r="K14" s="29"/>
      <c r="L14" s="223">
        <f t="shared" si="2"/>
        <v>850</v>
      </c>
      <c r="M14" s="12"/>
      <c r="N14" s="218" t="str">
        <f t="shared" si="3"/>
        <v xml:space="preserve"> </v>
      </c>
      <c r="O14" s="190"/>
      <c r="P14" s="190"/>
      <c r="Q14" s="190"/>
      <c r="R14" s="189" t="str">
        <f t="shared" si="4"/>
        <v xml:space="preserve"> </v>
      </c>
      <c r="S14" s="190"/>
      <c r="T14" s="253"/>
      <c r="U14" s="19"/>
      <c r="V14" s="253"/>
      <c r="W14" s="253"/>
      <c r="X14" s="16"/>
    </row>
    <row r="15" spans="1:27" ht="15" customHeight="1" x14ac:dyDescent="0.35">
      <c r="A15" s="246">
        <v>45052</v>
      </c>
      <c r="B15" s="245"/>
      <c r="C15" s="212" t="s">
        <v>321</v>
      </c>
      <c r="D15" s="15">
        <v>2</v>
      </c>
      <c r="E15" s="15"/>
      <c r="F15" s="9">
        <v>880</v>
      </c>
      <c r="G15" s="29">
        <f t="shared" si="0"/>
        <v>1760</v>
      </c>
      <c r="H15" s="11"/>
      <c r="I15" s="10"/>
      <c r="J15" s="29">
        <f t="shared" si="1"/>
        <v>0</v>
      </c>
      <c r="K15" s="29"/>
      <c r="L15" s="223">
        <f t="shared" si="2"/>
        <v>1760</v>
      </c>
      <c r="M15" s="12"/>
      <c r="N15" s="218" t="str">
        <f t="shared" si="3"/>
        <v xml:space="preserve"> </v>
      </c>
      <c r="O15" s="190"/>
      <c r="P15" s="190"/>
      <c r="Q15" s="190"/>
      <c r="R15" s="189" t="str">
        <f t="shared" si="4"/>
        <v xml:space="preserve"> </v>
      </c>
      <c r="S15" s="190"/>
      <c r="T15" s="253"/>
      <c r="U15" s="19"/>
      <c r="V15" s="253"/>
      <c r="W15" s="253"/>
      <c r="X15" s="16"/>
    </row>
    <row r="16" spans="1:27" ht="15" customHeight="1" x14ac:dyDescent="0.35">
      <c r="A16" s="246">
        <v>45052</v>
      </c>
      <c r="B16" s="245"/>
      <c r="C16" s="212" t="s">
        <v>339</v>
      </c>
      <c r="D16" s="15"/>
      <c r="E16" s="15">
        <v>3</v>
      </c>
      <c r="F16" s="9">
        <v>860</v>
      </c>
      <c r="G16" s="29">
        <f t="shared" si="0"/>
        <v>2580</v>
      </c>
      <c r="H16" s="11"/>
      <c r="I16" s="10"/>
      <c r="J16" s="29">
        <f t="shared" si="1"/>
        <v>0</v>
      </c>
      <c r="K16" s="29"/>
      <c r="L16" s="223">
        <f t="shared" si="2"/>
        <v>2580</v>
      </c>
      <c r="M16" s="12"/>
      <c r="N16" s="218" t="str">
        <f t="shared" si="3"/>
        <v xml:space="preserve"> </v>
      </c>
      <c r="O16" s="189"/>
      <c r="P16" s="189"/>
      <c r="Q16" s="189"/>
      <c r="R16" s="189" t="str">
        <f t="shared" si="4"/>
        <v xml:space="preserve"> </v>
      </c>
      <c r="S16" s="189"/>
      <c r="T16" s="253"/>
      <c r="U16" s="13"/>
      <c r="V16" s="253"/>
      <c r="W16" s="253"/>
      <c r="X16" s="16"/>
    </row>
    <row r="17" spans="1:24" ht="15" customHeight="1" x14ac:dyDescent="0.35">
      <c r="A17" s="246">
        <v>45054</v>
      </c>
      <c r="B17" s="245"/>
      <c r="C17" s="212" t="s">
        <v>321</v>
      </c>
      <c r="D17" s="15">
        <v>1</v>
      </c>
      <c r="E17" s="15"/>
      <c r="F17" s="9">
        <v>880</v>
      </c>
      <c r="G17" s="29">
        <f t="shared" si="0"/>
        <v>880</v>
      </c>
      <c r="H17" s="11"/>
      <c r="I17" s="10"/>
      <c r="J17" s="29">
        <f t="shared" si="1"/>
        <v>0</v>
      </c>
      <c r="K17" s="29"/>
      <c r="L17" s="223">
        <f t="shared" si="2"/>
        <v>880</v>
      </c>
      <c r="M17" s="223"/>
      <c r="N17" s="218" t="str">
        <f t="shared" si="3"/>
        <v xml:space="preserve"> </v>
      </c>
      <c r="O17" s="189"/>
      <c r="P17" s="189"/>
      <c r="Q17" s="189"/>
      <c r="R17" s="189" t="str">
        <f t="shared" si="4"/>
        <v xml:space="preserve"> </v>
      </c>
      <c r="S17" s="189"/>
      <c r="T17" s="253"/>
      <c r="U17" s="13"/>
      <c r="V17" s="253"/>
      <c r="W17" s="253"/>
      <c r="X17" s="16"/>
    </row>
    <row r="18" spans="1:24" ht="15" customHeight="1" x14ac:dyDescent="0.35">
      <c r="A18" s="246">
        <v>45054</v>
      </c>
      <c r="B18" s="245"/>
      <c r="C18" s="212" t="s">
        <v>323</v>
      </c>
      <c r="D18" s="15">
        <v>2</v>
      </c>
      <c r="E18" s="15"/>
      <c r="F18" s="9">
        <v>880</v>
      </c>
      <c r="G18" s="29">
        <f t="shared" si="0"/>
        <v>1760</v>
      </c>
      <c r="H18" s="11"/>
      <c r="I18" s="10"/>
      <c r="J18" s="29">
        <f t="shared" si="1"/>
        <v>0</v>
      </c>
      <c r="K18" s="29"/>
      <c r="L18" s="223">
        <f t="shared" si="2"/>
        <v>1760</v>
      </c>
      <c r="M18" s="213"/>
      <c r="N18" s="218" t="str">
        <f t="shared" si="3"/>
        <v xml:space="preserve"> </v>
      </c>
      <c r="O18" s="189"/>
      <c r="P18" s="189"/>
      <c r="Q18" s="189"/>
      <c r="R18" s="189" t="str">
        <f t="shared" si="4"/>
        <v xml:space="preserve"> </v>
      </c>
      <c r="S18" s="189"/>
      <c r="T18" s="253"/>
      <c r="U18" s="13"/>
      <c r="V18" s="253"/>
      <c r="W18" s="253"/>
      <c r="X18" s="16"/>
    </row>
    <row r="19" spans="1:24" ht="15" customHeight="1" x14ac:dyDescent="0.35">
      <c r="A19" s="246">
        <v>45054</v>
      </c>
      <c r="B19" s="245"/>
      <c r="C19" s="212" t="s">
        <v>324</v>
      </c>
      <c r="D19" s="15">
        <v>1</v>
      </c>
      <c r="E19" s="15"/>
      <c r="F19" s="9">
        <v>860</v>
      </c>
      <c r="G19" s="29">
        <f t="shared" si="0"/>
        <v>860</v>
      </c>
      <c r="H19" s="11"/>
      <c r="I19" s="10"/>
      <c r="J19" s="29">
        <f t="shared" si="1"/>
        <v>0</v>
      </c>
      <c r="K19" s="29"/>
      <c r="L19" s="223">
        <f t="shared" si="2"/>
        <v>860</v>
      </c>
      <c r="M19" s="223"/>
      <c r="N19" s="218" t="str">
        <f t="shared" si="3"/>
        <v xml:space="preserve"> </v>
      </c>
      <c r="O19" s="189"/>
      <c r="P19" s="189"/>
      <c r="Q19" s="189"/>
      <c r="R19" s="189" t="str">
        <f t="shared" si="4"/>
        <v xml:space="preserve"> </v>
      </c>
      <c r="S19" s="189"/>
      <c r="T19" s="253"/>
      <c r="U19" s="13"/>
      <c r="V19" s="253"/>
      <c r="W19" s="253"/>
      <c r="X19" s="16"/>
    </row>
    <row r="20" spans="1:24" ht="15" customHeight="1" x14ac:dyDescent="0.35">
      <c r="A20" s="246">
        <v>45054</v>
      </c>
      <c r="B20" s="245"/>
      <c r="C20" s="212" t="s">
        <v>349</v>
      </c>
      <c r="D20" s="15">
        <v>1</v>
      </c>
      <c r="E20" s="15"/>
      <c r="F20" s="9">
        <v>850</v>
      </c>
      <c r="G20" s="29">
        <f t="shared" si="0"/>
        <v>850</v>
      </c>
      <c r="H20" s="11"/>
      <c r="I20" s="10"/>
      <c r="J20" s="29">
        <f t="shared" si="1"/>
        <v>0</v>
      </c>
      <c r="K20" s="29"/>
      <c r="L20" s="223">
        <f t="shared" si="2"/>
        <v>850</v>
      </c>
      <c r="M20" s="12"/>
      <c r="N20" s="218" t="str">
        <f t="shared" si="3"/>
        <v xml:space="preserve"> </v>
      </c>
      <c r="O20" s="189"/>
      <c r="P20" s="189"/>
      <c r="Q20" s="189"/>
      <c r="R20" s="189" t="str">
        <f t="shared" si="4"/>
        <v xml:space="preserve"> </v>
      </c>
      <c r="S20" s="189"/>
      <c r="T20" s="253"/>
      <c r="U20" s="13"/>
      <c r="V20" s="253"/>
      <c r="W20" s="253"/>
      <c r="X20" s="16"/>
    </row>
    <row r="21" spans="1:24" ht="15" customHeight="1" x14ac:dyDescent="0.35">
      <c r="A21" s="245">
        <v>45054</v>
      </c>
      <c r="B21" s="245"/>
      <c r="C21" s="212" t="s">
        <v>331</v>
      </c>
      <c r="D21" s="15">
        <v>1</v>
      </c>
      <c r="E21" s="15"/>
      <c r="F21" s="9">
        <v>850</v>
      </c>
      <c r="G21" s="29">
        <f t="shared" si="0"/>
        <v>850</v>
      </c>
      <c r="H21" s="11"/>
      <c r="I21" s="10"/>
      <c r="J21" s="29">
        <f t="shared" si="1"/>
        <v>0</v>
      </c>
      <c r="K21" s="29"/>
      <c r="L21" s="223">
        <f t="shared" si="2"/>
        <v>850</v>
      </c>
      <c r="M21" s="12"/>
      <c r="N21" s="218" t="str">
        <f t="shared" si="3"/>
        <v xml:space="preserve"> </v>
      </c>
      <c r="O21" s="189"/>
      <c r="P21" s="189"/>
      <c r="Q21" s="189"/>
      <c r="R21" s="189" t="str">
        <f t="shared" si="4"/>
        <v xml:space="preserve"> </v>
      </c>
      <c r="S21" s="189"/>
      <c r="T21" s="253"/>
      <c r="U21" s="13"/>
      <c r="V21" s="253"/>
      <c r="W21" s="253"/>
      <c r="X21" s="16"/>
    </row>
    <row r="22" spans="1:24" ht="15" customHeight="1" x14ac:dyDescent="0.35">
      <c r="A22" s="245">
        <v>45055</v>
      </c>
      <c r="B22" s="245"/>
      <c r="C22" s="212" t="s">
        <v>279</v>
      </c>
      <c r="D22" s="15"/>
      <c r="E22" s="15">
        <v>8</v>
      </c>
      <c r="F22" s="9">
        <v>830</v>
      </c>
      <c r="G22" s="29">
        <f t="shared" si="0"/>
        <v>6640</v>
      </c>
      <c r="H22" s="11"/>
      <c r="I22" s="10"/>
      <c r="J22" s="29">
        <f t="shared" si="1"/>
        <v>0</v>
      </c>
      <c r="K22" s="29"/>
      <c r="L22" s="223">
        <f t="shared" si="2"/>
        <v>6640</v>
      </c>
      <c r="M22" s="12"/>
      <c r="N22" s="218" t="str">
        <f t="shared" si="3"/>
        <v xml:space="preserve"> </v>
      </c>
      <c r="O22" s="189"/>
      <c r="P22" s="189"/>
      <c r="Q22" s="189"/>
      <c r="R22" s="189" t="str">
        <f t="shared" si="4"/>
        <v xml:space="preserve"> </v>
      </c>
      <c r="S22" s="189"/>
      <c r="T22" s="253"/>
      <c r="U22" s="13"/>
      <c r="V22" s="253"/>
      <c r="W22" s="253"/>
      <c r="X22" s="16"/>
    </row>
    <row r="23" spans="1:24" ht="15" customHeight="1" x14ac:dyDescent="0.35">
      <c r="A23" s="245">
        <v>45055</v>
      </c>
      <c r="B23" s="245"/>
      <c r="C23" s="212" t="s">
        <v>349</v>
      </c>
      <c r="D23" s="15"/>
      <c r="E23" s="15">
        <v>2</v>
      </c>
      <c r="F23" s="9">
        <v>850</v>
      </c>
      <c r="G23" s="29">
        <f t="shared" si="0"/>
        <v>1700</v>
      </c>
      <c r="H23" s="11"/>
      <c r="I23" s="10"/>
      <c r="J23" s="29">
        <f t="shared" si="1"/>
        <v>0</v>
      </c>
      <c r="K23" s="29"/>
      <c r="L23" s="223">
        <f t="shared" si="2"/>
        <v>1700</v>
      </c>
      <c r="M23" s="12"/>
      <c r="N23" s="218" t="str">
        <f t="shared" si="3"/>
        <v xml:space="preserve"> </v>
      </c>
      <c r="O23" s="189"/>
      <c r="P23" s="189"/>
      <c r="Q23" s="189"/>
      <c r="R23" s="189" t="str">
        <f t="shared" si="4"/>
        <v xml:space="preserve"> </v>
      </c>
      <c r="S23" s="189"/>
      <c r="T23" s="253"/>
      <c r="U23" s="13"/>
      <c r="V23" s="253"/>
      <c r="W23" s="253"/>
      <c r="X23" s="16"/>
    </row>
    <row r="24" spans="1:24" ht="15" customHeight="1" x14ac:dyDescent="0.35">
      <c r="A24" s="245">
        <v>45055</v>
      </c>
      <c r="B24" s="250"/>
      <c r="C24" s="212" t="s">
        <v>296</v>
      </c>
      <c r="D24" s="15"/>
      <c r="E24" s="15">
        <v>3</v>
      </c>
      <c r="F24" s="9">
        <v>880</v>
      </c>
      <c r="G24" s="29">
        <f t="shared" si="0"/>
        <v>2640</v>
      </c>
      <c r="H24" s="11"/>
      <c r="I24" s="10"/>
      <c r="J24" s="29">
        <f t="shared" si="1"/>
        <v>0</v>
      </c>
      <c r="K24" s="29"/>
      <c r="L24" s="223">
        <f t="shared" si="2"/>
        <v>2640</v>
      </c>
      <c r="M24" s="12"/>
      <c r="N24" s="218" t="str">
        <f t="shared" si="3"/>
        <v xml:space="preserve"> </v>
      </c>
      <c r="O24" s="189"/>
      <c r="P24" s="189"/>
      <c r="Q24" s="189"/>
      <c r="R24" s="189" t="str">
        <f t="shared" si="4"/>
        <v xml:space="preserve"> </v>
      </c>
      <c r="S24" s="189"/>
      <c r="T24" s="253"/>
      <c r="U24" s="13"/>
      <c r="V24" s="253"/>
      <c r="W24" s="253"/>
      <c r="X24" s="16"/>
    </row>
    <row r="25" spans="1:24" ht="15" customHeight="1" x14ac:dyDescent="0.35">
      <c r="A25" s="245">
        <v>45055</v>
      </c>
      <c r="B25" s="245"/>
      <c r="C25" s="211" t="s">
        <v>319</v>
      </c>
      <c r="D25" s="15"/>
      <c r="E25" s="15">
        <v>2</v>
      </c>
      <c r="F25" s="9">
        <v>880</v>
      </c>
      <c r="G25" s="29">
        <f t="shared" si="0"/>
        <v>1760</v>
      </c>
      <c r="H25" s="11"/>
      <c r="I25" s="10"/>
      <c r="J25" s="29">
        <f t="shared" si="1"/>
        <v>0</v>
      </c>
      <c r="K25" s="29"/>
      <c r="L25" s="223">
        <f t="shared" si="2"/>
        <v>1760</v>
      </c>
      <c r="M25" s="12"/>
      <c r="N25" s="218" t="str">
        <f t="shared" si="3"/>
        <v xml:space="preserve"> </v>
      </c>
      <c r="O25" s="189"/>
      <c r="P25" s="189"/>
      <c r="Q25" s="189"/>
      <c r="R25" s="189" t="str">
        <f t="shared" si="4"/>
        <v xml:space="preserve"> </v>
      </c>
      <c r="S25" s="189"/>
      <c r="T25" s="253"/>
      <c r="U25" s="13"/>
      <c r="V25" s="253"/>
      <c r="W25" s="253"/>
      <c r="X25" s="16"/>
    </row>
    <row r="26" spans="1:24" ht="15" customHeight="1" x14ac:dyDescent="0.35">
      <c r="A26" s="246">
        <v>45055</v>
      </c>
      <c r="B26" s="245"/>
      <c r="C26" s="211" t="s">
        <v>322</v>
      </c>
      <c r="D26" s="15">
        <v>2</v>
      </c>
      <c r="E26" s="15"/>
      <c r="F26" s="9">
        <v>900</v>
      </c>
      <c r="G26" s="29">
        <f t="shared" si="0"/>
        <v>1800</v>
      </c>
      <c r="H26" s="11"/>
      <c r="I26" s="10"/>
      <c r="J26" s="29">
        <f t="shared" si="1"/>
        <v>0</v>
      </c>
      <c r="K26" s="29"/>
      <c r="L26" s="223">
        <f t="shared" si="2"/>
        <v>1800</v>
      </c>
      <c r="M26" s="12"/>
      <c r="N26" s="218" t="str">
        <f t="shared" si="3"/>
        <v xml:space="preserve"> </v>
      </c>
      <c r="O26" s="189"/>
      <c r="P26" s="189"/>
      <c r="Q26" s="189"/>
      <c r="R26" s="189" t="str">
        <f t="shared" si="4"/>
        <v xml:space="preserve"> </v>
      </c>
      <c r="S26" s="189"/>
      <c r="T26" s="253"/>
      <c r="U26" s="13"/>
      <c r="V26" s="253"/>
      <c r="W26" s="253"/>
      <c r="X26" s="16"/>
    </row>
    <row r="27" spans="1:24" ht="15" customHeight="1" x14ac:dyDescent="0.35">
      <c r="A27" s="245">
        <v>45055</v>
      </c>
      <c r="B27" s="245"/>
      <c r="C27" s="212" t="s">
        <v>153</v>
      </c>
      <c r="D27" s="15">
        <v>1</v>
      </c>
      <c r="E27" s="15"/>
      <c r="F27" s="9">
        <v>880</v>
      </c>
      <c r="G27" s="29">
        <f t="shared" si="0"/>
        <v>880</v>
      </c>
      <c r="H27" s="11"/>
      <c r="I27" s="10"/>
      <c r="J27" s="29">
        <f t="shared" si="1"/>
        <v>0</v>
      </c>
      <c r="K27" s="29"/>
      <c r="L27" s="223">
        <f t="shared" si="2"/>
        <v>880</v>
      </c>
      <c r="M27" s="12"/>
      <c r="N27" s="218" t="str">
        <f t="shared" si="3"/>
        <v xml:space="preserve"> </v>
      </c>
      <c r="O27" s="189"/>
      <c r="P27" s="189"/>
      <c r="Q27" s="189"/>
      <c r="R27" s="189" t="str">
        <f t="shared" si="4"/>
        <v xml:space="preserve"> </v>
      </c>
      <c r="S27" s="189"/>
      <c r="T27" s="253"/>
      <c r="U27" s="13"/>
      <c r="V27" s="253"/>
      <c r="W27" s="253"/>
      <c r="X27" s="16"/>
    </row>
    <row r="28" spans="1:24" ht="15" customHeight="1" x14ac:dyDescent="0.35">
      <c r="A28" s="245">
        <v>45056</v>
      </c>
      <c r="B28" s="245"/>
      <c r="C28" s="212" t="s">
        <v>321</v>
      </c>
      <c r="D28" s="15">
        <v>2</v>
      </c>
      <c r="E28" s="15"/>
      <c r="F28" s="9">
        <v>880</v>
      </c>
      <c r="G28" s="29">
        <f t="shared" si="0"/>
        <v>1760</v>
      </c>
      <c r="H28" s="11"/>
      <c r="I28" s="10"/>
      <c r="J28" s="29">
        <f t="shared" si="1"/>
        <v>0</v>
      </c>
      <c r="K28" s="29"/>
      <c r="L28" s="223">
        <f t="shared" si="2"/>
        <v>1760</v>
      </c>
      <c r="M28" s="12"/>
      <c r="N28" s="218" t="str">
        <f t="shared" si="3"/>
        <v xml:space="preserve"> </v>
      </c>
      <c r="O28" s="189"/>
      <c r="P28" s="189"/>
      <c r="Q28" s="189"/>
      <c r="R28" s="189" t="str">
        <f t="shared" si="4"/>
        <v xml:space="preserve"> </v>
      </c>
      <c r="S28" s="189"/>
      <c r="T28" s="253"/>
      <c r="U28" s="13"/>
      <c r="V28" s="253"/>
      <c r="W28" s="253"/>
      <c r="X28" s="16"/>
    </row>
    <row r="29" spans="1:24" ht="15" customHeight="1" x14ac:dyDescent="0.35">
      <c r="A29" s="245">
        <v>45056</v>
      </c>
      <c r="B29" s="245"/>
      <c r="C29" s="248" t="s">
        <v>345</v>
      </c>
      <c r="D29" s="15">
        <v>2</v>
      </c>
      <c r="E29" s="15"/>
      <c r="F29" s="9">
        <v>850</v>
      </c>
      <c r="G29" s="29">
        <f t="shared" si="0"/>
        <v>1700</v>
      </c>
      <c r="H29" s="11"/>
      <c r="I29" s="10"/>
      <c r="J29" s="29">
        <f t="shared" si="1"/>
        <v>0</v>
      </c>
      <c r="K29" s="29"/>
      <c r="L29" s="223">
        <f t="shared" si="2"/>
        <v>1700</v>
      </c>
      <c r="M29" s="12"/>
      <c r="N29" s="239" t="str">
        <f t="shared" si="3"/>
        <v xml:space="preserve"> </v>
      </c>
      <c r="O29" s="189"/>
      <c r="P29" s="189"/>
      <c r="Q29" s="189"/>
      <c r="R29" s="189" t="str">
        <f t="shared" si="4"/>
        <v xml:space="preserve"> </v>
      </c>
      <c r="S29" s="189"/>
      <c r="T29" s="253"/>
      <c r="U29" s="13"/>
      <c r="V29" s="253"/>
      <c r="W29" s="253"/>
      <c r="X29" s="16"/>
    </row>
    <row r="30" spans="1:24" ht="15" customHeight="1" x14ac:dyDescent="0.35">
      <c r="A30" s="245">
        <v>45056</v>
      </c>
      <c r="B30" s="245"/>
      <c r="C30" s="248" t="s">
        <v>358</v>
      </c>
      <c r="D30" s="15">
        <v>3</v>
      </c>
      <c r="E30" s="15"/>
      <c r="F30" s="9">
        <v>850</v>
      </c>
      <c r="G30" s="29">
        <f t="shared" si="0"/>
        <v>2550</v>
      </c>
      <c r="H30" s="11"/>
      <c r="I30" s="10"/>
      <c r="J30" s="29">
        <f t="shared" si="1"/>
        <v>0</v>
      </c>
      <c r="K30" s="29"/>
      <c r="L30" s="223">
        <f t="shared" si="2"/>
        <v>2550</v>
      </c>
      <c r="M30" s="207"/>
      <c r="N30" s="218" t="str">
        <f t="shared" si="3"/>
        <v xml:space="preserve"> </v>
      </c>
      <c r="O30" s="189"/>
      <c r="P30" s="189"/>
      <c r="Q30" s="189"/>
      <c r="R30" s="189" t="str">
        <f t="shared" si="4"/>
        <v xml:space="preserve"> </v>
      </c>
      <c r="S30" s="189"/>
      <c r="T30" s="253"/>
      <c r="U30" s="13"/>
      <c r="V30" s="253"/>
      <c r="W30" s="253"/>
      <c r="X30" s="16"/>
    </row>
    <row r="31" spans="1:24" ht="15" customHeight="1" x14ac:dyDescent="0.35">
      <c r="A31" s="245">
        <v>45056</v>
      </c>
      <c r="B31" s="245"/>
      <c r="C31" s="212" t="s">
        <v>339</v>
      </c>
      <c r="D31" s="15">
        <v>5</v>
      </c>
      <c r="E31" s="15"/>
      <c r="F31" s="9">
        <v>860</v>
      </c>
      <c r="G31" s="29">
        <f t="shared" si="0"/>
        <v>4300</v>
      </c>
      <c r="H31" s="11"/>
      <c r="I31" s="10"/>
      <c r="J31" s="29">
        <f t="shared" si="1"/>
        <v>0</v>
      </c>
      <c r="K31" s="29"/>
      <c r="L31" s="223">
        <f t="shared" si="2"/>
        <v>4300</v>
      </c>
      <c r="M31" s="12"/>
      <c r="N31" s="218" t="str">
        <f t="shared" si="3"/>
        <v xml:space="preserve"> </v>
      </c>
      <c r="O31" s="189"/>
      <c r="P31" s="189"/>
      <c r="Q31" s="189"/>
      <c r="R31" s="189" t="str">
        <f t="shared" si="4"/>
        <v xml:space="preserve"> </v>
      </c>
      <c r="S31" s="189"/>
      <c r="T31" s="253"/>
      <c r="U31" s="13"/>
      <c r="V31" s="253"/>
      <c r="W31" s="253"/>
      <c r="X31" s="16"/>
    </row>
    <row r="32" spans="1:24" ht="15" customHeight="1" x14ac:dyDescent="0.35">
      <c r="A32" s="245">
        <v>45057</v>
      </c>
      <c r="B32" s="245"/>
      <c r="C32" s="248" t="s">
        <v>330</v>
      </c>
      <c r="D32" s="15"/>
      <c r="E32" s="15">
        <v>6</v>
      </c>
      <c r="F32" s="9">
        <v>860</v>
      </c>
      <c r="G32" s="29">
        <f t="shared" si="0"/>
        <v>5160</v>
      </c>
      <c r="H32" s="11"/>
      <c r="I32" s="10"/>
      <c r="J32" s="29">
        <f t="shared" si="1"/>
        <v>0</v>
      </c>
      <c r="K32" s="29"/>
      <c r="L32" s="223">
        <f t="shared" si="2"/>
        <v>5160</v>
      </c>
      <c r="M32" s="213"/>
      <c r="N32" s="218" t="str">
        <f t="shared" si="3"/>
        <v xml:space="preserve"> </v>
      </c>
      <c r="O32" s="189"/>
      <c r="P32" s="189"/>
      <c r="Q32" s="189"/>
      <c r="R32" s="189" t="str">
        <f t="shared" si="4"/>
        <v xml:space="preserve"> </v>
      </c>
      <c r="S32" s="189"/>
      <c r="T32" s="253"/>
      <c r="U32" s="13"/>
      <c r="V32" s="253"/>
      <c r="W32" s="253"/>
      <c r="X32" s="16"/>
    </row>
    <row r="33" spans="1:24" ht="15" customHeight="1" x14ac:dyDescent="0.35">
      <c r="A33" s="245">
        <v>45057</v>
      </c>
      <c r="B33" s="245"/>
      <c r="C33" s="212" t="s">
        <v>152</v>
      </c>
      <c r="D33" s="15">
        <v>8</v>
      </c>
      <c r="E33" s="15"/>
      <c r="F33" s="9">
        <v>860</v>
      </c>
      <c r="G33" s="29">
        <f t="shared" si="0"/>
        <v>6880</v>
      </c>
      <c r="H33" s="11"/>
      <c r="I33" s="10"/>
      <c r="J33" s="29">
        <f t="shared" si="1"/>
        <v>0</v>
      </c>
      <c r="K33" s="29"/>
      <c r="L33" s="223">
        <f t="shared" si="2"/>
        <v>6880</v>
      </c>
      <c r="M33" s="12"/>
      <c r="N33" s="218" t="str">
        <f t="shared" si="3"/>
        <v xml:space="preserve"> </v>
      </c>
      <c r="O33" s="189"/>
      <c r="P33" s="189"/>
      <c r="Q33" s="189"/>
      <c r="R33" s="189" t="str">
        <f t="shared" si="4"/>
        <v xml:space="preserve"> </v>
      </c>
      <c r="S33" s="189"/>
      <c r="T33" s="253"/>
      <c r="U33" s="13"/>
      <c r="V33" s="253"/>
      <c r="W33" s="253"/>
      <c r="X33" s="16"/>
    </row>
    <row r="34" spans="1:24" ht="15" customHeight="1" x14ac:dyDescent="0.35">
      <c r="A34" s="245">
        <v>45061</v>
      </c>
      <c r="B34" s="245"/>
      <c r="C34" s="212" t="s">
        <v>153</v>
      </c>
      <c r="D34" s="15"/>
      <c r="E34" s="15">
        <v>1</v>
      </c>
      <c r="F34" s="9">
        <v>880</v>
      </c>
      <c r="G34" s="29">
        <f t="shared" si="0"/>
        <v>880</v>
      </c>
      <c r="H34" s="11"/>
      <c r="I34" s="10"/>
      <c r="J34" s="29">
        <f t="shared" si="1"/>
        <v>0</v>
      </c>
      <c r="K34" s="29"/>
      <c r="L34" s="223">
        <f t="shared" si="2"/>
        <v>880</v>
      </c>
      <c r="M34" s="12"/>
      <c r="N34" s="218" t="str">
        <f t="shared" si="3"/>
        <v xml:space="preserve"> </v>
      </c>
      <c r="O34" s="189"/>
      <c r="P34" s="189"/>
      <c r="Q34" s="189"/>
      <c r="R34" s="189" t="str">
        <f t="shared" si="4"/>
        <v xml:space="preserve"> </v>
      </c>
      <c r="S34" s="189"/>
      <c r="T34" s="253"/>
      <c r="U34" s="13"/>
      <c r="V34" s="253"/>
      <c r="W34" s="253"/>
      <c r="X34" s="16"/>
    </row>
    <row r="35" spans="1:24" ht="15" customHeight="1" x14ac:dyDescent="0.35">
      <c r="A35" s="245">
        <v>45062</v>
      </c>
      <c r="B35" s="246"/>
      <c r="C35" s="211" t="s">
        <v>153</v>
      </c>
      <c r="D35" s="15">
        <v>1</v>
      </c>
      <c r="E35" s="15"/>
      <c r="F35" s="9">
        <v>880</v>
      </c>
      <c r="G35" s="29">
        <f t="shared" si="0"/>
        <v>880</v>
      </c>
      <c r="H35" s="11"/>
      <c r="I35" s="10"/>
      <c r="J35" s="29">
        <f t="shared" si="1"/>
        <v>0</v>
      </c>
      <c r="K35" s="29"/>
      <c r="L35" s="223">
        <f t="shared" si="2"/>
        <v>880</v>
      </c>
      <c r="M35" s="12"/>
      <c r="N35" s="218" t="str">
        <f t="shared" si="3"/>
        <v xml:space="preserve"> </v>
      </c>
      <c r="O35" s="189"/>
      <c r="P35" s="189"/>
      <c r="Q35" s="189"/>
      <c r="R35" s="189" t="str">
        <f t="shared" si="4"/>
        <v xml:space="preserve"> </v>
      </c>
      <c r="S35" s="189"/>
      <c r="T35" s="253"/>
      <c r="U35" s="13"/>
      <c r="V35" s="253"/>
      <c r="W35" s="253"/>
      <c r="X35" s="16"/>
    </row>
    <row r="36" spans="1:24" ht="15" customHeight="1" x14ac:dyDescent="0.35">
      <c r="A36" s="245">
        <v>45062</v>
      </c>
      <c r="B36" s="246"/>
      <c r="C36" s="212" t="s">
        <v>414</v>
      </c>
      <c r="D36" s="15">
        <v>2</v>
      </c>
      <c r="E36" s="15"/>
      <c r="F36" s="9">
        <v>850</v>
      </c>
      <c r="G36" s="29">
        <f t="shared" si="0"/>
        <v>1700</v>
      </c>
      <c r="H36" s="11"/>
      <c r="I36" s="10"/>
      <c r="J36" s="29">
        <f t="shared" si="1"/>
        <v>0</v>
      </c>
      <c r="K36" s="29"/>
      <c r="L36" s="223">
        <f t="shared" si="2"/>
        <v>1700</v>
      </c>
      <c r="M36" s="12"/>
      <c r="N36" s="218" t="str">
        <f t="shared" si="3"/>
        <v xml:space="preserve"> </v>
      </c>
      <c r="O36" s="189"/>
      <c r="P36" s="189"/>
      <c r="Q36" s="189"/>
      <c r="R36" s="189" t="str">
        <f t="shared" si="4"/>
        <v xml:space="preserve"> </v>
      </c>
      <c r="S36" s="189"/>
      <c r="T36" s="253"/>
      <c r="U36" s="13"/>
      <c r="V36" s="253"/>
      <c r="W36" s="253"/>
      <c r="X36" s="16"/>
    </row>
    <row r="37" spans="1:24" ht="15" customHeight="1" x14ac:dyDescent="0.35">
      <c r="A37" s="245">
        <v>45062</v>
      </c>
      <c r="B37" s="246"/>
      <c r="C37" s="211" t="s">
        <v>321</v>
      </c>
      <c r="D37" s="15">
        <v>1</v>
      </c>
      <c r="E37" s="15"/>
      <c r="F37" s="9">
        <v>880</v>
      </c>
      <c r="G37" s="29">
        <f t="shared" si="0"/>
        <v>880</v>
      </c>
      <c r="H37" s="11"/>
      <c r="I37" s="10"/>
      <c r="J37" s="29">
        <f t="shared" si="1"/>
        <v>0</v>
      </c>
      <c r="K37" s="29"/>
      <c r="L37" s="223">
        <f t="shared" si="2"/>
        <v>880</v>
      </c>
      <c r="M37" s="12"/>
      <c r="N37" s="218" t="str">
        <f t="shared" si="3"/>
        <v xml:space="preserve"> </v>
      </c>
      <c r="O37" s="189"/>
      <c r="P37" s="189"/>
      <c r="Q37" s="189"/>
      <c r="R37" s="189" t="str">
        <f t="shared" si="4"/>
        <v xml:space="preserve"> </v>
      </c>
      <c r="S37" s="189"/>
      <c r="T37" s="253"/>
      <c r="U37" s="13"/>
      <c r="V37" s="253"/>
      <c r="W37" s="253"/>
      <c r="X37" s="16"/>
    </row>
    <row r="38" spans="1:24" ht="15" customHeight="1" x14ac:dyDescent="0.35">
      <c r="A38" s="245">
        <v>45062</v>
      </c>
      <c r="B38" s="246"/>
      <c r="C38" s="212" t="s">
        <v>321</v>
      </c>
      <c r="D38" s="15">
        <v>1</v>
      </c>
      <c r="E38" s="15"/>
      <c r="F38" s="9">
        <v>880</v>
      </c>
      <c r="G38" s="29">
        <f t="shared" si="0"/>
        <v>880</v>
      </c>
      <c r="H38" s="11"/>
      <c r="I38" s="10"/>
      <c r="J38" s="29">
        <f t="shared" si="1"/>
        <v>0</v>
      </c>
      <c r="K38" s="29"/>
      <c r="L38" s="223">
        <f t="shared" si="2"/>
        <v>880</v>
      </c>
      <c r="M38" s="12"/>
      <c r="N38" s="218" t="str">
        <f t="shared" si="3"/>
        <v xml:space="preserve"> </v>
      </c>
      <c r="O38" s="189"/>
      <c r="P38" s="189"/>
      <c r="Q38" s="189"/>
      <c r="R38" s="189" t="str">
        <f t="shared" si="4"/>
        <v xml:space="preserve"> </v>
      </c>
      <c r="S38" s="189"/>
      <c r="T38" s="253"/>
      <c r="U38" s="13"/>
      <c r="V38" s="253"/>
      <c r="W38" s="253"/>
      <c r="X38" s="16"/>
    </row>
    <row r="39" spans="1:24" ht="15" customHeight="1" x14ac:dyDescent="0.35">
      <c r="A39" s="245">
        <v>45062</v>
      </c>
      <c r="B39" s="246"/>
      <c r="C39" s="211" t="s">
        <v>319</v>
      </c>
      <c r="D39" s="15"/>
      <c r="E39" s="15">
        <v>2</v>
      </c>
      <c r="F39" s="9">
        <v>880</v>
      </c>
      <c r="G39" s="29">
        <f t="shared" si="0"/>
        <v>1760</v>
      </c>
      <c r="H39" s="11"/>
      <c r="I39" s="10"/>
      <c r="J39" s="29">
        <f t="shared" si="1"/>
        <v>0</v>
      </c>
      <c r="K39" s="29"/>
      <c r="L39" s="223">
        <f t="shared" si="2"/>
        <v>1760</v>
      </c>
      <c r="M39" s="12"/>
      <c r="N39" s="218" t="str">
        <f t="shared" si="3"/>
        <v xml:space="preserve"> </v>
      </c>
      <c r="O39" s="189"/>
      <c r="P39" s="189"/>
      <c r="Q39" s="189"/>
      <c r="R39" s="189" t="str">
        <f t="shared" si="4"/>
        <v xml:space="preserve"> </v>
      </c>
      <c r="S39" s="189"/>
      <c r="T39" s="253"/>
      <c r="U39" s="13"/>
      <c r="V39" s="253"/>
      <c r="W39" s="253"/>
      <c r="X39" s="16"/>
    </row>
    <row r="40" spans="1:24" ht="15" customHeight="1" x14ac:dyDescent="0.35">
      <c r="A40" s="245">
        <v>45063</v>
      </c>
      <c r="B40" s="246"/>
      <c r="C40" s="212" t="s">
        <v>358</v>
      </c>
      <c r="D40" s="15">
        <v>4</v>
      </c>
      <c r="E40" s="15"/>
      <c r="F40" s="9">
        <v>850</v>
      </c>
      <c r="G40" s="29">
        <f t="shared" si="0"/>
        <v>3400</v>
      </c>
      <c r="H40" s="11"/>
      <c r="I40" s="10"/>
      <c r="J40" s="29">
        <f t="shared" si="1"/>
        <v>0</v>
      </c>
      <c r="K40" s="29"/>
      <c r="L40" s="223">
        <f t="shared" si="2"/>
        <v>3400</v>
      </c>
      <c r="M40" s="12"/>
      <c r="N40" s="218" t="str">
        <f t="shared" si="3"/>
        <v xml:space="preserve"> </v>
      </c>
      <c r="O40" s="189"/>
      <c r="P40" s="189"/>
      <c r="Q40" s="189"/>
      <c r="R40" s="189" t="str">
        <f t="shared" si="4"/>
        <v xml:space="preserve"> </v>
      </c>
      <c r="S40" s="189"/>
      <c r="T40" s="253"/>
      <c r="U40" s="13"/>
      <c r="V40" s="253"/>
      <c r="W40" s="253"/>
      <c r="X40" s="16"/>
    </row>
    <row r="41" spans="1:24" ht="15" customHeight="1" x14ac:dyDescent="0.35">
      <c r="A41" s="245">
        <v>45063</v>
      </c>
      <c r="B41" s="246"/>
      <c r="C41" s="211" t="s">
        <v>321</v>
      </c>
      <c r="D41" s="15">
        <v>1</v>
      </c>
      <c r="E41" s="15"/>
      <c r="F41" s="9">
        <v>880</v>
      </c>
      <c r="G41" s="29">
        <f t="shared" si="0"/>
        <v>880</v>
      </c>
      <c r="H41" s="11"/>
      <c r="I41" s="10"/>
      <c r="J41" s="29">
        <f t="shared" si="1"/>
        <v>0</v>
      </c>
      <c r="K41" s="29"/>
      <c r="L41" s="223">
        <f t="shared" si="2"/>
        <v>880</v>
      </c>
      <c r="M41" s="12"/>
      <c r="N41" s="218" t="str">
        <f t="shared" si="3"/>
        <v xml:space="preserve"> </v>
      </c>
      <c r="O41" s="189"/>
      <c r="P41" s="189"/>
      <c r="Q41" s="189"/>
      <c r="R41" s="189" t="str">
        <f t="shared" si="4"/>
        <v xml:space="preserve"> </v>
      </c>
      <c r="S41" s="189"/>
      <c r="T41" s="253"/>
      <c r="U41" s="13"/>
      <c r="V41" s="253"/>
      <c r="W41" s="253"/>
      <c r="X41" s="16"/>
    </row>
    <row r="42" spans="1:24" ht="15" customHeight="1" x14ac:dyDescent="0.35">
      <c r="A42" s="245">
        <v>45063</v>
      </c>
      <c r="B42" s="246"/>
      <c r="C42" s="212" t="s">
        <v>323</v>
      </c>
      <c r="D42" s="15">
        <v>1</v>
      </c>
      <c r="E42" s="15"/>
      <c r="F42" s="9">
        <v>880</v>
      </c>
      <c r="G42" s="29">
        <f t="shared" si="0"/>
        <v>880</v>
      </c>
      <c r="H42" s="11"/>
      <c r="I42" s="10"/>
      <c r="J42" s="29">
        <f t="shared" si="1"/>
        <v>0</v>
      </c>
      <c r="K42" s="29"/>
      <c r="L42" s="223">
        <f t="shared" si="2"/>
        <v>880</v>
      </c>
      <c r="M42" s="12"/>
      <c r="N42" s="218" t="str">
        <f t="shared" si="3"/>
        <v xml:space="preserve"> </v>
      </c>
      <c r="O42" s="189"/>
      <c r="P42" s="189"/>
      <c r="Q42" s="189"/>
      <c r="R42" s="189" t="str">
        <f t="shared" si="4"/>
        <v xml:space="preserve"> </v>
      </c>
      <c r="S42" s="189"/>
      <c r="T42" s="253"/>
      <c r="U42" s="13"/>
      <c r="V42" s="253"/>
      <c r="W42" s="253"/>
      <c r="X42" s="16"/>
    </row>
    <row r="43" spans="1:24" ht="15" customHeight="1" x14ac:dyDescent="0.35">
      <c r="A43" s="245">
        <v>45063</v>
      </c>
      <c r="B43" s="246"/>
      <c r="C43" s="212" t="s">
        <v>330</v>
      </c>
      <c r="D43" s="15"/>
      <c r="E43" s="15">
        <v>4</v>
      </c>
      <c r="F43" s="9">
        <v>860</v>
      </c>
      <c r="G43" s="29">
        <f t="shared" si="0"/>
        <v>3440</v>
      </c>
      <c r="H43" s="11"/>
      <c r="I43" s="10"/>
      <c r="J43" s="29">
        <f t="shared" si="1"/>
        <v>0</v>
      </c>
      <c r="K43" s="29"/>
      <c r="L43" s="223">
        <f t="shared" si="2"/>
        <v>3440</v>
      </c>
      <c r="M43" s="12"/>
      <c r="N43" s="218" t="str">
        <f t="shared" si="3"/>
        <v xml:space="preserve"> </v>
      </c>
      <c r="O43" s="189"/>
      <c r="P43" s="189"/>
      <c r="Q43" s="189"/>
      <c r="R43" s="189" t="str">
        <f t="shared" si="4"/>
        <v xml:space="preserve"> </v>
      </c>
      <c r="S43" s="189"/>
      <c r="T43" s="253"/>
      <c r="U43" s="13"/>
      <c r="V43" s="253"/>
      <c r="W43" s="253"/>
      <c r="X43" s="16"/>
    </row>
    <row r="44" spans="1:24" ht="15" customHeight="1" x14ac:dyDescent="0.35">
      <c r="A44" s="245">
        <v>45063</v>
      </c>
      <c r="B44" s="246"/>
      <c r="C44" s="211" t="s">
        <v>296</v>
      </c>
      <c r="D44" s="15"/>
      <c r="E44" s="15">
        <v>4</v>
      </c>
      <c r="F44" s="9">
        <v>880</v>
      </c>
      <c r="G44" s="29">
        <f t="shared" si="0"/>
        <v>3520</v>
      </c>
      <c r="H44" s="11"/>
      <c r="I44" s="10"/>
      <c r="J44" s="29">
        <f t="shared" si="1"/>
        <v>0</v>
      </c>
      <c r="K44" s="29"/>
      <c r="L44" s="223">
        <f t="shared" si="2"/>
        <v>3520</v>
      </c>
      <c r="M44" s="213"/>
      <c r="N44" s="218" t="str">
        <f t="shared" si="3"/>
        <v xml:space="preserve"> </v>
      </c>
      <c r="O44" s="189"/>
      <c r="P44" s="189"/>
      <c r="Q44" s="189"/>
      <c r="R44" s="189" t="str">
        <f t="shared" si="4"/>
        <v xml:space="preserve"> </v>
      </c>
      <c r="S44" s="189"/>
      <c r="T44" s="253"/>
      <c r="U44" s="13"/>
      <c r="V44" s="253"/>
      <c r="W44" s="253"/>
      <c r="X44" s="16"/>
    </row>
    <row r="45" spans="1:24" ht="15" customHeight="1" x14ac:dyDescent="0.35">
      <c r="A45" s="245">
        <v>45064</v>
      </c>
      <c r="B45" s="246"/>
      <c r="C45" s="211" t="s">
        <v>280</v>
      </c>
      <c r="D45" s="15"/>
      <c r="E45" s="15">
        <v>2</v>
      </c>
      <c r="F45" s="9">
        <v>880</v>
      </c>
      <c r="G45" s="29">
        <f t="shared" si="0"/>
        <v>1760</v>
      </c>
      <c r="H45" s="11"/>
      <c r="I45" s="10"/>
      <c r="J45" s="29">
        <f t="shared" si="1"/>
        <v>0</v>
      </c>
      <c r="K45" s="29"/>
      <c r="L45" s="223">
        <f t="shared" si="2"/>
        <v>1760</v>
      </c>
      <c r="M45" s="213"/>
      <c r="N45" s="218" t="str">
        <f t="shared" si="3"/>
        <v xml:space="preserve"> </v>
      </c>
      <c r="O45" s="189"/>
      <c r="P45" s="189"/>
      <c r="Q45" s="189"/>
      <c r="R45" s="189" t="str">
        <f t="shared" si="4"/>
        <v xml:space="preserve"> </v>
      </c>
      <c r="S45" s="189"/>
      <c r="T45" s="253"/>
      <c r="U45" s="13"/>
      <c r="V45" s="253"/>
      <c r="W45" s="253"/>
      <c r="X45" s="16"/>
    </row>
    <row r="46" spans="1:24" ht="15" customHeight="1" x14ac:dyDescent="0.35">
      <c r="A46" s="245">
        <v>45064</v>
      </c>
      <c r="B46" s="246"/>
      <c r="C46" s="211" t="s">
        <v>112</v>
      </c>
      <c r="D46" s="15">
        <v>10</v>
      </c>
      <c r="E46" s="15"/>
      <c r="F46" s="9">
        <v>850</v>
      </c>
      <c r="G46" s="29">
        <f t="shared" si="0"/>
        <v>8500</v>
      </c>
      <c r="H46" s="11"/>
      <c r="I46" s="10"/>
      <c r="J46" s="29">
        <f t="shared" si="1"/>
        <v>0</v>
      </c>
      <c r="K46" s="29"/>
      <c r="L46" s="223">
        <f t="shared" si="2"/>
        <v>8500</v>
      </c>
      <c r="M46" s="12"/>
      <c r="N46" s="218" t="str">
        <f>IF(M46&gt;0,SUM(L46-M46)," ")</f>
        <v xml:space="preserve"> </v>
      </c>
      <c r="O46" s="189"/>
      <c r="P46" s="189"/>
      <c r="Q46" s="189"/>
      <c r="R46" s="189" t="str">
        <f t="shared" si="4"/>
        <v xml:space="preserve"> </v>
      </c>
      <c r="S46" s="189"/>
      <c r="T46" s="253"/>
      <c r="U46" s="13"/>
      <c r="V46" s="253"/>
      <c r="W46" s="253"/>
      <c r="X46" s="16"/>
    </row>
    <row r="47" spans="1:24" ht="15" customHeight="1" x14ac:dyDescent="0.35">
      <c r="A47" s="245">
        <v>45064</v>
      </c>
      <c r="B47" s="246"/>
      <c r="C47" s="211" t="s">
        <v>322</v>
      </c>
      <c r="D47" s="15">
        <v>2</v>
      </c>
      <c r="E47" s="15"/>
      <c r="F47" s="9">
        <v>900</v>
      </c>
      <c r="G47" s="29">
        <f t="shared" si="0"/>
        <v>1800</v>
      </c>
      <c r="H47" s="11"/>
      <c r="I47" s="10"/>
      <c r="J47" s="29">
        <f t="shared" si="1"/>
        <v>0</v>
      </c>
      <c r="K47" s="29"/>
      <c r="L47" s="223">
        <f t="shared" si="2"/>
        <v>1800</v>
      </c>
      <c r="M47" s="12"/>
      <c r="N47" s="218" t="str">
        <f>IF(M47&gt;0,SUM(L47-M47)," ")</f>
        <v xml:space="preserve"> </v>
      </c>
      <c r="O47" s="189"/>
      <c r="P47" s="189"/>
      <c r="Q47" s="189"/>
      <c r="R47" s="189" t="str">
        <f t="shared" si="4"/>
        <v xml:space="preserve"> </v>
      </c>
      <c r="S47" s="189"/>
      <c r="T47" s="253"/>
      <c r="U47" s="13"/>
      <c r="V47" s="253"/>
      <c r="W47" s="253"/>
      <c r="X47" s="16"/>
    </row>
    <row r="48" spans="1:24" ht="15" customHeight="1" x14ac:dyDescent="0.35">
      <c r="A48" s="245">
        <v>45066</v>
      </c>
      <c r="B48" s="246"/>
      <c r="C48" s="211" t="s">
        <v>321</v>
      </c>
      <c r="D48" s="15"/>
      <c r="E48" s="15">
        <v>2</v>
      </c>
      <c r="F48" s="9">
        <v>880</v>
      </c>
      <c r="G48" s="29">
        <f t="shared" si="0"/>
        <v>1760</v>
      </c>
      <c r="H48" s="11"/>
      <c r="I48" s="10"/>
      <c r="J48" s="29">
        <f t="shared" si="1"/>
        <v>0</v>
      </c>
      <c r="K48" s="29"/>
      <c r="L48" s="223">
        <f t="shared" si="2"/>
        <v>1760</v>
      </c>
      <c r="M48" s="213"/>
      <c r="N48" s="218" t="str">
        <f t="shared" si="3"/>
        <v xml:space="preserve"> </v>
      </c>
      <c r="O48" s="189"/>
      <c r="P48" s="189"/>
      <c r="Q48" s="189"/>
      <c r="R48" s="189" t="str">
        <f t="shared" si="4"/>
        <v xml:space="preserve"> </v>
      </c>
      <c r="S48" s="189"/>
      <c r="T48" s="253"/>
      <c r="U48" s="13"/>
      <c r="V48" s="253"/>
      <c r="W48" s="253"/>
      <c r="X48" s="16"/>
    </row>
    <row r="49" spans="1:24" ht="15" customHeight="1" x14ac:dyDescent="0.35">
      <c r="A49" s="245">
        <v>45066</v>
      </c>
      <c r="B49" s="246"/>
      <c r="C49" s="212" t="s">
        <v>279</v>
      </c>
      <c r="D49" s="15"/>
      <c r="E49" s="15">
        <v>8</v>
      </c>
      <c r="F49" s="9">
        <v>830</v>
      </c>
      <c r="G49" s="29">
        <f t="shared" si="0"/>
        <v>6640</v>
      </c>
      <c r="H49" s="11"/>
      <c r="I49" s="10"/>
      <c r="J49" s="29">
        <f t="shared" si="1"/>
        <v>0</v>
      </c>
      <c r="K49" s="29"/>
      <c r="L49" s="223">
        <f t="shared" si="2"/>
        <v>6640</v>
      </c>
      <c r="M49" s="12"/>
      <c r="N49" s="218" t="str">
        <f t="shared" si="3"/>
        <v xml:space="preserve"> </v>
      </c>
      <c r="O49" s="189"/>
      <c r="P49" s="189"/>
      <c r="Q49" s="189"/>
      <c r="R49" s="189" t="str">
        <f t="shared" si="4"/>
        <v xml:space="preserve"> </v>
      </c>
      <c r="S49" s="189"/>
      <c r="T49" s="253"/>
      <c r="U49" s="13"/>
      <c r="V49" s="253"/>
      <c r="W49" s="253"/>
      <c r="X49" s="16"/>
    </row>
    <row r="50" spans="1:24" ht="15" customHeight="1" x14ac:dyDescent="0.35">
      <c r="A50" s="245"/>
      <c r="B50" s="246"/>
      <c r="C50" s="211"/>
      <c r="D50" s="15"/>
      <c r="E50" s="15"/>
      <c r="F50" s="9">
        <v>880</v>
      </c>
      <c r="G50" s="29">
        <f t="shared" si="0"/>
        <v>0</v>
      </c>
      <c r="H50" s="11"/>
      <c r="I50" s="10"/>
      <c r="J50" s="29">
        <f t="shared" si="1"/>
        <v>0</v>
      </c>
      <c r="K50" s="29"/>
      <c r="L50" s="223">
        <f t="shared" si="2"/>
        <v>0</v>
      </c>
      <c r="M50" s="12"/>
      <c r="N50" s="218" t="str">
        <f t="shared" si="3"/>
        <v xml:space="preserve"> </v>
      </c>
      <c r="O50" s="189"/>
      <c r="P50" s="189"/>
      <c r="Q50" s="189"/>
      <c r="R50" s="189" t="str">
        <f t="shared" si="4"/>
        <v xml:space="preserve"> </v>
      </c>
      <c r="S50" s="189"/>
      <c r="T50" s="253"/>
      <c r="U50" s="13"/>
      <c r="V50" s="253"/>
      <c r="W50" s="253"/>
      <c r="X50" s="16"/>
    </row>
    <row r="51" spans="1:24" ht="15" customHeight="1" x14ac:dyDescent="0.35">
      <c r="A51" s="245">
        <v>45066</v>
      </c>
      <c r="B51" s="246"/>
      <c r="C51" s="211" t="s">
        <v>153</v>
      </c>
      <c r="D51" s="15"/>
      <c r="E51" s="15">
        <v>1</v>
      </c>
      <c r="F51" s="9">
        <v>880</v>
      </c>
      <c r="G51" s="29">
        <f t="shared" si="0"/>
        <v>880</v>
      </c>
      <c r="H51" s="11"/>
      <c r="I51" s="10"/>
      <c r="J51" s="29">
        <f t="shared" si="1"/>
        <v>0</v>
      </c>
      <c r="K51" s="29"/>
      <c r="L51" s="223">
        <f t="shared" si="2"/>
        <v>880</v>
      </c>
      <c r="M51" s="213"/>
      <c r="N51" s="218" t="str">
        <f t="shared" si="3"/>
        <v xml:space="preserve"> </v>
      </c>
      <c r="O51" s="189"/>
      <c r="P51" s="189"/>
      <c r="Q51" s="189"/>
      <c r="R51" s="189" t="str">
        <f t="shared" si="4"/>
        <v xml:space="preserve"> </v>
      </c>
      <c r="S51" s="189"/>
      <c r="T51" s="253"/>
      <c r="U51" s="13"/>
      <c r="V51" s="253"/>
      <c r="W51" s="253"/>
      <c r="X51" s="16"/>
    </row>
    <row r="52" spans="1:24" ht="15" customHeight="1" x14ac:dyDescent="0.35">
      <c r="A52" s="245">
        <v>45068</v>
      </c>
      <c r="B52" s="246"/>
      <c r="C52" s="211" t="s">
        <v>323</v>
      </c>
      <c r="D52" s="15"/>
      <c r="E52" s="15">
        <v>1</v>
      </c>
      <c r="F52" s="9">
        <v>880</v>
      </c>
      <c r="G52" s="29">
        <f t="shared" si="0"/>
        <v>880</v>
      </c>
      <c r="H52" s="11"/>
      <c r="I52" s="10"/>
      <c r="J52" s="29">
        <f t="shared" si="1"/>
        <v>0</v>
      </c>
      <c r="K52" s="29"/>
      <c r="L52" s="223">
        <f t="shared" si="2"/>
        <v>880</v>
      </c>
      <c r="M52" s="12"/>
      <c r="N52" s="218" t="str">
        <f t="shared" si="3"/>
        <v xml:space="preserve"> </v>
      </c>
      <c r="O52" s="189"/>
      <c r="P52" s="189"/>
      <c r="Q52" s="189"/>
      <c r="R52" s="189" t="str">
        <f t="shared" si="4"/>
        <v xml:space="preserve"> </v>
      </c>
      <c r="S52" s="189"/>
      <c r="T52" s="253"/>
      <c r="U52" s="13"/>
      <c r="V52" s="253"/>
      <c r="W52" s="253"/>
      <c r="X52" s="16"/>
    </row>
    <row r="53" spans="1:24" ht="15" customHeight="1" x14ac:dyDescent="0.35">
      <c r="A53" s="245">
        <v>45069</v>
      </c>
      <c r="B53" s="246"/>
      <c r="C53" s="212" t="s">
        <v>153</v>
      </c>
      <c r="D53" s="15">
        <v>1</v>
      </c>
      <c r="E53" s="15"/>
      <c r="F53" s="9">
        <v>880</v>
      </c>
      <c r="G53" s="29">
        <f t="shared" si="0"/>
        <v>880</v>
      </c>
      <c r="H53" s="11"/>
      <c r="I53" s="10"/>
      <c r="J53" s="29">
        <f t="shared" si="1"/>
        <v>0</v>
      </c>
      <c r="K53" s="29"/>
      <c r="L53" s="223">
        <f t="shared" si="2"/>
        <v>880</v>
      </c>
      <c r="M53" s="12"/>
      <c r="N53" s="218" t="str">
        <f t="shared" si="3"/>
        <v xml:space="preserve"> </v>
      </c>
      <c r="O53" s="189"/>
      <c r="P53" s="189"/>
      <c r="Q53" s="189"/>
      <c r="R53" s="189" t="str">
        <f t="shared" si="4"/>
        <v xml:space="preserve"> </v>
      </c>
      <c r="S53" s="189"/>
      <c r="T53" s="253"/>
      <c r="U53" s="13"/>
      <c r="V53" s="253"/>
      <c r="W53" s="253"/>
      <c r="X53" s="16"/>
    </row>
    <row r="54" spans="1:24" ht="15" customHeight="1" x14ac:dyDescent="0.35">
      <c r="A54" s="245">
        <v>45070</v>
      </c>
      <c r="B54" s="246"/>
      <c r="C54" s="211" t="s">
        <v>327</v>
      </c>
      <c r="D54" s="15">
        <v>1</v>
      </c>
      <c r="E54" s="15"/>
      <c r="F54" s="9">
        <v>840</v>
      </c>
      <c r="G54" s="29">
        <f t="shared" si="0"/>
        <v>840</v>
      </c>
      <c r="H54" s="11"/>
      <c r="I54" s="10"/>
      <c r="J54" s="29">
        <f t="shared" si="1"/>
        <v>0</v>
      </c>
      <c r="K54" s="29"/>
      <c r="L54" s="223">
        <f t="shared" si="2"/>
        <v>840</v>
      </c>
      <c r="M54" s="12"/>
      <c r="N54" s="218" t="str">
        <f t="shared" si="3"/>
        <v xml:space="preserve"> </v>
      </c>
      <c r="O54" s="189"/>
      <c r="P54" s="189"/>
      <c r="Q54" s="189"/>
      <c r="R54" s="189" t="str">
        <f t="shared" si="4"/>
        <v xml:space="preserve"> </v>
      </c>
      <c r="S54" s="189"/>
      <c r="T54" s="253"/>
      <c r="U54" s="13"/>
      <c r="V54" s="253"/>
      <c r="W54" s="253"/>
      <c r="X54" s="16"/>
    </row>
    <row r="55" spans="1:24" ht="15" customHeight="1" x14ac:dyDescent="0.35">
      <c r="A55" s="245">
        <v>45070</v>
      </c>
      <c r="B55" s="246"/>
      <c r="C55" s="211" t="s">
        <v>296</v>
      </c>
      <c r="D55" s="15">
        <v>4</v>
      </c>
      <c r="E55" s="15"/>
      <c r="F55" s="9">
        <v>880</v>
      </c>
      <c r="G55" s="29">
        <f t="shared" si="0"/>
        <v>3520</v>
      </c>
      <c r="H55" s="11"/>
      <c r="I55" s="10"/>
      <c r="J55" s="29">
        <f t="shared" si="1"/>
        <v>0</v>
      </c>
      <c r="K55" s="29"/>
      <c r="L55" s="223">
        <f t="shared" si="2"/>
        <v>3520</v>
      </c>
      <c r="M55" s="12"/>
      <c r="N55" s="218" t="str">
        <f t="shared" si="3"/>
        <v xml:space="preserve"> </v>
      </c>
      <c r="O55" s="189"/>
      <c r="P55" s="189"/>
      <c r="Q55" s="189"/>
      <c r="R55" s="189" t="str">
        <f t="shared" si="4"/>
        <v xml:space="preserve"> </v>
      </c>
      <c r="S55" s="189"/>
      <c r="T55" s="253"/>
      <c r="U55" s="13"/>
      <c r="V55" s="253"/>
      <c r="W55" s="253"/>
      <c r="X55" s="16"/>
    </row>
    <row r="56" spans="1:24" ht="15" customHeight="1" x14ac:dyDescent="0.35">
      <c r="A56" s="245">
        <v>45070</v>
      </c>
      <c r="B56" s="246"/>
      <c r="C56" s="211" t="s">
        <v>358</v>
      </c>
      <c r="D56" s="15">
        <v>2</v>
      </c>
      <c r="E56" s="15"/>
      <c r="F56" s="9">
        <v>850</v>
      </c>
      <c r="G56" s="29">
        <f t="shared" si="0"/>
        <v>1700</v>
      </c>
      <c r="H56" s="11"/>
      <c r="I56" s="10"/>
      <c r="J56" s="29">
        <f t="shared" si="1"/>
        <v>0</v>
      </c>
      <c r="K56" s="29"/>
      <c r="L56" s="223">
        <f t="shared" si="2"/>
        <v>1700</v>
      </c>
      <c r="M56" s="12"/>
      <c r="N56" s="218" t="str">
        <f t="shared" si="3"/>
        <v xml:space="preserve"> </v>
      </c>
      <c r="O56" s="189"/>
      <c r="P56" s="189"/>
      <c r="Q56" s="189"/>
      <c r="R56" s="189" t="str">
        <f t="shared" si="4"/>
        <v xml:space="preserve"> </v>
      </c>
      <c r="S56" s="189"/>
      <c r="T56" s="253"/>
      <c r="U56" s="13"/>
      <c r="V56" s="253"/>
      <c r="W56" s="253"/>
      <c r="X56" s="16"/>
    </row>
    <row r="57" spans="1:24" ht="15" customHeight="1" x14ac:dyDescent="0.35">
      <c r="A57" s="245">
        <v>45070</v>
      </c>
      <c r="B57" s="246"/>
      <c r="C57" s="211" t="s">
        <v>152</v>
      </c>
      <c r="D57" s="15">
        <v>8</v>
      </c>
      <c r="E57" s="15"/>
      <c r="F57" s="9">
        <v>860</v>
      </c>
      <c r="G57" s="29">
        <f t="shared" si="0"/>
        <v>6880</v>
      </c>
      <c r="H57" s="11"/>
      <c r="I57" s="10"/>
      <c r="J57" s="29">
        <f t="shared" si="1"/>
        <v>0</v>
      </c>
      <c r="K57" s="29"/>
      <c r="L57" s="223">
        <f t="shared" si="2"/>
        <v>6880</v>
      </c>
      <c r="M57" s="12"/>
      <c r="N57" s="218" t="str">
        <f t="shared" si="3"/>
        <v xml:space="preserve"> </v>
      </c>
      <c r="O57" s="189"/>
      <c r="P57" s="189"/>
      <c r="Q57" s="189"/>
      <c r="R57" s="189" t="str">
        <f t="shared" si="4"/>
        <v xml:space="preserve"> </v>
      </c>
      <c r="S57" s="189"/>
      <c r="T57" s="253"/>
      <c r="U57" s="13"/>
      <c r="V57" s="253"/>
      <c r="W57" s="253"/>
      <c r="X57" s="16"/>
    </row>
    <row r="58" spans="1:24" ht="15" customHeight="1" x14ac:dyDescent="0.35">
      <c r="A58" s="245">
        <v>45071</v>
      </c>
      <c r="B58" s="246"/>
      <c r="C58" s="212" t="s">
        <v>322</v>
      </c>
      <c r="D58" s="15">
        <v>1</v>
      </c>
      <c r="E58" s="15"/>
      <c r="F58" s="9">
        <v>900</v>
      </c>
      <c r="G58" s="29">
        <f t="shared" si="0"/>
        <v>900</v>
      </c>
      <c r="H58" s="11"/>
      <c r="I58" s="10"/>
      <c r="J58" s="29">
        <f t="shared" si="1"/>
        <v>0</v>
      </c>
      <c r="K58" s="29"/>
      <c r="L58" s="223">
        <f t="shared" si="2"/>
        <v>900</v>
      </c>
      <c r="M58" s="12"/>
      <c r="N58" s="239" t="str">
        <f t="shared" si="3"/>
        <v xml:space="preserve"> </v>
      </c>
      <c r="O58" s="189"/>
      <c r="P58" s="189"/>
      <c r="Q58" s="189"/>
      <c r="R58" s="189" t="str">
        <f t="shared" si="4"/>
        <v xml:space="preserve"> </v>
      </c>
      <c r="S58" s="189"/>
      <c r="T58" s="253"/>
      <c r="U58" s="13"/>
      <c r="V58" s="253"/>
      <c r="W58" s="253"/>
      <c r="X58" s="16"/>
    </row>
    <row r="59" spans="1:24" ht="15" customHeight="1" x14ac:dyDescent="0.35">
      <c r="A59" s="245">
        <v>45072</v>
      </c>
      <c r="B59" s="246"/>
      <c r="C59" s="211" t="s">
        <v>153</v>
      </c>
      <c r="D59" s="15"/>
      <c r="E59" s="15">
        <v>1</v>
      </c>
      <c r="F59" s="9">
        <v>880</v>
      </c>
      <c r="G59" s="29">
        <f t="shared" si="0"/>
        <v>880</v>
      </c>
      <c r="H59" s="11"/>
      <c r="I59" s="10"/>
      <c r="J59" s="29">
        <f t="shared" si="1"/>
        <v>0</v>
      </c>
      <c r="K59" s="29"/>
      <c r="L59" s="223">
        <f t="shared" si="2"/>
        <v>880</v>
      </c>
      <c r="M59" s="12"/>
      <c r="N59" s="218" t="str">
        <f t="shared" si="3"/>
        <v xml:space="preserve"> </v>
      </c>
      <c r="O59" s="189"/>
      <c r="P59" s="189"/>
      <c r="Q59" s="189"/>
      <c r="R59" s="189" t="str">
        <f t="shared" si="4"/>
        <v xml:space="preserve"> </v>
      </c>
      <c r="S59" s="189"/>
      <c r="T59" s="253"/>
      <c r="U59" s="13"/>
      <c r="V59" s="253"/>
      <c r="W59" s="253"/>
      <c r="X59" s="16"/>
    </row>
    <row r="60" spans="1:24" ht="15" customHeight="1" x14ac:dyDescent="0.35">
      <c r="A60" s="245">
        <v>45072</v>
      </c>
      <c r="B60" s="246"/>
      <c r="C60" s="211" t="s">
        <v>281</v>
      </c>
      <c r="D60" s="15"/>
      <c r="E60" s="15">
        <v>2</v>
      </c>
      <c r="F60" s="9">
        <v>840</v>
      </c>
      <c r="G60" s="29">
        <f t="shared" si="0"/>
        <v>1680</v>
      </c>
      <c r="H60" s="11"/>
      <c r="I60" s="10"/>
      <c r="J60" s="29">
        <f t="shared" si="1"/>
        <v>0</v>
      </c>
      <c r="K60" s="29"/>
      <c r="L60" s="223">
        <f t="shared" si="2"/>
        <v>1680</v>
      </c>
      <c r="M60" s="12"/>
      <c r="N60" s="218" t="str">
        <f t="shared" si="3"/>
        <v xml:space="preserve"> </v>
      </c>
      <c r="O60" s="189"/>
      <c r="P60" s="189"/>
      <c r="Q60" s="189"/>
      <c r="R60" s="189" t="str">
        <f>IF(O60&gt;0,SUM(O60-(L60+P60))," ")</f>
        <v xml:space="preserve"> </v>
      </c>
      <c r="S60" s="189"/>
      <c r="T60" s="253"/>
      <c r="U60" s="13"/>
      <c r="V60" s="253"/>
      <c r="W60" s="253"/>
      <c r="X60" s="16"/>
    </row>
    <row r="61" spans="1:24" ht="15" customHeight="1" x14ac:dyDescent="0.35">
      <c r="A61" s="245">
        <v>45072</v>
      </c>
      <c r="B61" s="246"/>
      <c r="C61" s="212" t="s">
        <v>349</v>
      </c>
      <c r="D61" s="15"/>
      <c r="E61" s="15">
        <v>3</v>
      </c>
      <c r="F61" s="9">
        <v>850</v>
      </c>
      <c r="G61" s="29">
        <f t="shared" si="0"/>
        <v>2550</v>
      </c>
      <c r="H61" s="11"/>
      <c r="I61" s="10"/>
      <c r="J61" s="29">
        <f t="shared" si="1"/>
        <v>0</v>
      </c>
      <c r="K61" s="29"/>
      <c r="L61" s="223">
        <f t="shared" si="2"/>
        <v>2550</v>
      </c>
      <c r="M61" s="12"/>
      <c r="N61" s="218" t="str">
        <f t="shared" si="3"/>
        <v xml:space="preserve"> </v>
      </c>
      <c r="O61" s="189"/>
      <c r="P61" s="189"/>
      <c r="Q61" s="189"/>
      <c r="R61" s="189" t="str">
        <f>IF(O61&gt;0,SUM(O61-(L61+P61))," ")</f>
        <v xml:space="preserve"> </v>
      </c>
      <c r="S61" s="189"/>
      <c r="T61" s="253"/>
      <c r="U61" s="13"/>
      <c r="V61" s="253"/>
      <c r="W61" s="253"/>
      <c r="X61" s="16"/>
    </row>
    <row r="62" spans="1:24" ht="15" customHeight="1" x14ac:dyDescent="0.35">
      <c r="A62" s="245">
        <v>45073</v>
      </c>
      <c r="B62" s="246"/>
      <c r="C62" s="211" t="s">
        <v>321</v>
      </c>
      <c r="D62" s="15">
        <v>2</v>
      </c>
      <c r="E62" s="15"/>
      <c r="F62" s="9">
        <v>880</v>
      </c>
      <c r="G62" s="29">
        <f t="shared" si="0"/>
        <v>1760</v>
      </c>
      <c r="H62" s="11"/>
      <c r="I62" s="10"/>
      <c r="J62" s="29">
        <f t="shared" si="1"/>
        <v>0</v>
      </c>
      <c r="K62" s="29"/>
      <c r="L62" s="223">
        <f t="shared" si="2"/>
        <v>1760</v>
      </c>
      <c r="M62" s="213"/>
      <c r="N62" s="218" t="str">
        <f t="shared" ref="N62:N101" si="5">IF(M62&gt;0,SUM(L62-M62)," ")</f>
        <v xml:space="preserve"> </v>
      </c>
      <c r="O62" s="189"/>
      <c r="P62" s="189"/>
      <c r="Q62" s="189"/>
      <c r="R62" s="189" t="str">
        <f t="shared" ref="R62:R97" si="6">IF(O62&gt;0,SUM(O62-(L62+P62))," ")</f>
        <v xml:space="preserve"> </v>
      </c>
      <c r="S62" s="189"/>
      <c r="T62" s="253"/>
      <c r="U62" s="13"/>
      <c r="V62" s="253"/>
      <c r="W62" s="253"/>
      <c r="X62" s="16"/>
    </row>
    <row r="63" spans="1:24" ht="15" customHeight="1" x14ac:dyDescent="0.35">
      <c r="A63" s="245">
        <v>45073</v>
      </c>
      <c r="B63" s="246"/>
      <c r="C63" s="211" t="s">
        <v>358</v>
      </c>
      <c r="D63" s="15">
        <v>4</v>
      </c>
      <c r="E63" s="15"/>
      <c r="F63" s="9">
        <v>850</v>
      </c>
      <c r="G63" s="29">
        <f t="shared" si="0"/>
        <v>3400</v>
      </c>
      <c r="H63" s="11"/>
      <c r="I63" s="10"/>
      <c r="J63" s="29">
        <f t="shared" si="1"/>
        <v>0</v>
      </c>
      <c r="K63" s="29"/>
      <c r="L63" s="223">
        <f t="shared" si="2"/>
        <v>3400</v>
      </c>
      <c r="M63" s="213"/>
      <c r="N63" s="239" t="str">
        <f t="shared" si="5"/>
        <v xml:space="preserve"> </v>
      </c>
      <c r="O63" s="189"/>
      <c r="P63" s="189"/>
      <c r="Q63" s="189"/>
      <c r="R63" s="189" t="str">
        <f t="shared" si="6"/>
        <v xml:space="preserve"> </v>
      </c>
      <c r="S63" s="189"/>
      <c r="T63" s="253"/>
      <c r="U63" s="13"/>
      <c r="V63" s="253"/>
      <c r="W63" s="253"/>
      <c r="X63" s="16"/>
    </row>
    <row r="64" spans="1:24" ht="15" customHeight="1" x14ac:dyDescent="0.35">
      <c r="A64" s="245">
        <v>45073</v>
      </c>
      <c r="B64" s="246"/>
      <c r="C64" s="212" t="s">
        <v>328</v>
      </c>
      <c r="D64" s="15">
        <v>4</v>
      </c>
      <c r="E64" s="15"/>
      <c r="F64" s="9">
        <v>850</v>
      </c>
      <c r="G64" s="29">
        <f t="shared" si="0"/>
        <v>3400</v>
      </c>
      <c r="H64" s="11"/>
      <c r="I64" s="10"/>
      <c r="J64" s="29">
        <f t="shared" si="1"/>
        <v>0</v>
      </c>
      <c r="K64" s="29"/>
      <c r="L64" s="223">
        <f t="shared" si="2"/>
        <v>3400</v>
      </c>
      <c r="M64" s="12"/>
      <c r="N64" s="218" t="str">
        <f t="shared" si="5"/>
        <v xml:space="preserve"> </v>
      </c>
      <c r="O64" s="189"/>
      <c r="P64" s="189"/>
      <c r="Q64" s="189"/>
      <c r="R64" s="189" t="str">
        <f t="shared" si="6"/>
        <v xml:space="preserve"> </v>
      </c>
      <c r="S64" s="189"/>
      <c r="T64" s="253"/>
      <c r="U64" s="13"/>
      <c r="V64" s="253"/>
      <c r="W64" s="253"/>
      <c r="X64" s="16"/>
    </row>
    <row r="65" spans="1:24" ht="15" customHeight="1" x14ac:dyDescent="0.35">
      <c r="A65" s="245">
        <v>45075</v>
      </c>
      <c r="B65" s="246"/>
      <c r="C65" s="212" t="s">
        <v>416</v>
      </c>
      <c r="D65" s="15"/>
      <c r="E65" s="15">
        <v>2</v>
      </c>
      <c r="F65" s="9">
        <v>850</v>
      </c>
      <c r="G65" s="29">
        <f t="shared" si="0"/>
        <v>1700</v>
      </c>
      <c r="H65" s="11"/>
      <c r="I65" s="10"/>
      <c r="J65" s="29">
        <f t="shared" si="1"/>
        <v>0</v>
      </c>
      <c r="K65" s="29"/>
      <c r="L65" s="223">
        <f t="shared" si="2"/>
        <v>1700</v>
      </c>
      <c r="M65" s="12"/>
      <c r="N65" s="218" t="str">
        <f t="shared" si="5"/>
        <v xml:space="preserve"> </v>
      </c>
      <c r="O65" s="189"/>
      <c r="P65" s="189"/>
      <c r="Q65" s="189"/>
      <c r="R65" s="189" t="str">
        <f t="shared" si="6"/>
        <v xml:space="preserve"> </v>
      </c>
      <c r="S65" s="189"/>
      <c r="T65" s="253"/>
      <c r="U65" s="13"/>
      <c r="V65" s="253"/>
      <c r="W65" s="253"/>
      <c r="X65" s="16"/>
    </row>
    <row r="66" spans="1:24" ht="15" customHeight="1" x14ac:dyDescent="0.35">
      <c r="A66" s="245">
        <v>45075</v>
      </c>
      <c r="B66" s="246"/>
      <c r="C66" s="211" t="s">
        <v>153</v>
      </c>
      <c r="D66" s="15">
        <v>1</v>
      </c>
      <c r="E66" s="15"/>
      <c r="F66" s="9">
        <v>880</v>
      </c>
      <c r="G66" s="29">
        <f t="shared" si="0"/>
        <v>880</v>
      </c>
      <c r="H66" s="11"/>
      <c r="I66" s="10"/>
      <c r="J66" s="29">
        <f t="shared" si="1"/>
        <v>0</v>
      </c>
      <c r="K66" s="29"/>
      <c r="L66" s="223">
        <f t="shared" si="2"/>
        <v>880</v>
      </c>
      <c r="M66" s="12"/>
      <c r="N66" s="218" t="str">
        <f t="shared" si="5"/>
        <v xml:space="preserve"> </v>
      </c>
      <c r="O66" s="189"/>
      <c r="P66" s="189"/>
      <c r="Q66" s="189"/>
      <c r="R66" s="189" t="str">
        <f t="shared" si="6"/>
        <v xml:space="preserve"> </v>
      </c>
      <c r="S66" s="189"/>
      <c r="T66" s="253"/>
      <c r="U66" s="13"/>
      <c r="V66" s="253"/>
      <c r="W66" s="253"/>
      <c r="X66" s="16"/>
    </row>
    <row r="67" spans="1:24" ht="15" customHeight="1" x14ac:dyDescent="0.35">
      <c r="A67" s="245">
        <v>45075</v>
      </c>
      <c r="B67" s="246"/>
      <c r="C67" s="211" t="s">
        <v>323</v>
      </c>
      <c r="D67" s="15">
        <v>1</v>
      </c>
      <c r="E67" s="15"/>
      <c r="F67" s="9">
        <v>880</v>
      </c>
      <c r="G67" s="29">
        <f t="shared" si="0"/>
        <v>880</v>
      </c>
      <c r="H67" s="11"/>
      <c r="I67" s="10"/>
      <c r="J67" s="29">
        <f t="shared" si="1"/>
        <v>0</v>
      </c>
      <c r="K67" s="29"/>
      <c r="L67" s="223">
        <f t="shared" si="2"/>
        <v>880</v>
      </c>
      <c r="M67" s="12"/>
      <c r="N67" s="218" t="str">
        <f t="shared" si="5"/>
        <v xml:space="preserve"> </v>
      </c>
      <c r="O67" s="189"/>
      <c r="P67" s="189"/>
      <c r="Q67" s="189"/>
      <c r="R67" s="189" t="str">
        <f t="shared" si="6"/>
        <v xml:space="preserve"> </v>
      </c>
      <c r="S67" s="189"/>
      <c r="T67" s="253"/>
      <c r="U67" s="13"/>
      <c r="V67" s="253"/>
      <c r="W67" s="253"/>
      <c r="X67" s="16"/>
    </row>
    <row r="68" spans="1:24" ht="15" customHeight="1" x14ac:dyDescent="0.35">
      <c r="A68" s="245">
        <v>45076</v>
      </c>
      <c r="B68" s="246"/>
      <c r="C68" s="211" t="s">
        <v>279</v>
      </c>
      <c r="D68" s="15"/>
      <c r="E68" s="15">
        <v>6</v>
      </c>
      <c r="F68" s="9">
        <v>800</v>
      </c>
      <c r="G68" s="29">
        <f t="shared" ref="G68:G100" si="7">(F68*D68)+(E68*F68)</f>
        <v>4800</v>
      </c>
      <c r="H68" s="11"/>
      <c r="I68" s="10"/>
      <c r="J68" s="29">
        <f t="shared" ref="J68:J100" si="8">H68*I68</f>
        <v>0</v>
      </c>
      <c r="K68" s="29"/>
      <c r="L68" s="223">
        <f t="shared" si="2"/>
        <v>4800</v>
      </c>
      <c r="M68" s="12"/>
      <c r="N68" s="218" t="str">
        <f t="shared" si="5"/>
        <v xml:space="preserve"> </v>
      </c>
      <c r="O68" s="189"/>
      <c r="P68" s="189"/>
      <c r="Q68" s="189"/>
      <c r="R68" s="189" t="str">
        <f t="shared" si="6"/>
        <v xml:space="preserve"> </v>
      </c>
      <c r="S68" s="189"/>
      <c r="T68" s="253"/>
      <c r="U68" s="13"/>
      <c r="V68" s="253"/>
      <c r="W68" s="253"/>
      <c r="X68" s="16"/>
    </row>
    <row r="69" spans="1:24" ht="15" customHeight="1" x14ac:dyDescent="0.35">
      <c r="A69" s="245">
        <v>45076</v>
      </c>
      <c r="B69" s="246"/>
      <c r="C69" s="211" t="s">
        <v>324</v>
      </c>
      <c r="D69" s="15"/>
      <c r="E69" s="15">
        <v>1</v>
      </c>
      <c r="F69" s="9">
        <v>860</v>
      </c>
      <c r="G69" s="29">
        <f t="shared" si="7"/>
        <v>860</v>
      </c>
      <c r="H69" s="11"/>
      <c r="I69" s="10"/>
      <c r="J69" s="29">
        <f t="shared" si="8"/>
        <v>0</v>
      </c>
      <c r="K69" s="29"/>
      <c r="L69" s="223">
        <f t="shared" ref="L69:L100" si="9">(J69+G69)-K69</f>
        <v>860</v>
      </c>
      <c r="M69" s="12"/>
      <c r="N69" s="218" t="str">
        <f t="shared" si="5"/>
        <v xml:space="preserve"> </v>
      </c>
      <c r="O69" s="189"/>
      <c r="P69" s="189"/>
      <c r="Q69" s="189"/>
      <c r="R69" s="189" t="str">
        <f t="shared" si="6"/>
        <v xml:space="preserve"> </v>
      </c>
      <c r="S69" s="189"/>
      <c r="T69" s="253"/>
      <c r="U69" s="13"/>
      <c r="V69" s="253"/>
      <c r="W69" s="253"/>
      <c r="X69" s="16"/>
    </row>
    <row r="70" spans="1:24" ht="15" customHeight="1" x14ac:dyDescent="0.35">
      <c r="A70" s="245">
        <v>45077</v>
      </c>
      <c r="B70" s="246"/>
      <c r="C70" s="212" t="s">
        <v>153</v>
      </c>
      <c r="D70" s="15"/>
      <c r="E70" s="15">
        <v>1</v>
      </c>
      <c r="F70" s="9">
        <v>880</v>
      </c>
      <c r="G70" s="29">
        <f t="shared" si="7"/>
        <v>880</v>
      </c>
      <c r="H70" s="11"/>
      <c r="I70" s="10"/>
      <c r="J70" s="29">
        <f t="shared" si="8"/>
        <v>0</v>
      </c>
      <c r="K70" s="29"/>
      <c r="L70" s="223">
        <f t="shared" si="9"/>
        <v>880</v>
      </c>
      <c r="M70" s="12"/>
      <c r="N70" s="218" t="str">
        <f t="shared" si="5"/>
        <v xml:space="preserve"> </v>
      </c>
      <c r="O70" s="189"/>
      <c r="P70" s="189"/>
      <c r="Q70" s="189"/>
      <c r="R70" s="189" t="str">
        <f t="shared" si="6"/>
        <v xml:space="preserve"> </v>
      </c>
      <c r="S70" s="189"/>
      <c r="T70" s="253"/>
      <c r="U70" s="13"/>
      <c r="V70" s="253"/>
      <c r="W70" s="253"/>
      <c r="X70" s="16"/>
    </row>
    <row r="71" spans="1:24" ht="15" customHeight="1" x14ac:dyDescent="0.35">
      <c r="A71" s="245">
        <v>45077</v>
      </c>
      <c r="B71" s="246"/>
      <c r="C71" s="211" t="s">
        <v>112</v>
      </c>
      <c r="D71" s="15"/>
      <c r="E71" s="15">
        <v>10</v>
      </c>
      <c r="F71" s="9">
        <v>850</v>
      </c>
      <c r="G71" s="29">
        <f t="shared" si="7"/>
        <v>8500</v>
      </c>
      <c r="H71" s="11"/>
      <c r="I71" s="10"/>
      <c r="J71" s="29">
        <f t="shared" si="8"/>
        <v>0</v>
      </c>
      <c r="K71" s="29"/>
      <c r="L71" s="223">
        <f t="shared" si="9"/>
        <v>8500</v>
      </c>
      <c r="M71" s="12"/>
      <c r="N71" s="218" t="str">
        <f t="shared" si="5"/>
        <v xml:space="preserve"> </v>
      </c>
      <c r="O71" s="189"/>
      <c r="P71" s="189"/>
      <c r="Q71" s="189"/>
      <c r="R71" s="189" t="str">
        <f t="shared" si="6"/>
        <v xml:space="preserve"> </v>
      </c>
      <c r="S71" s="189"/>
      <c r="T71" s="253"/>
      <c r="U71" s="13"/>
      <c r="V71" s="253"/>
      <c r="W71" s="253"/>
      <c r="X71" s="16"/>
    </row>
    <row r="72" spans="1:24" ht="15" customHeight="1" x14ac:dyDescent="0.35">
      <c r="A72" s="245">
        <v>45077</v>
      </c>
      <c r="B72" s="246"/>
      <c r="C72" s="212" t="s">
        <v>414</v>
      </c>
      <c r="D72" s="15">
        <v>2</v>
      </c>
      <c r="E72" s="15"/>
      <c r="F72" s="9">
        <v>850</v>
      </c>
      <c r="G72" s="29">
        <f t="shared" si="7"/>
        <v>1700</v>
      </c>
      <c r="H72" s="11"/>
      <c r="I72" s="10"/>
      <c r="J72" s="29">
        <f t="shared" si="8"/>
        <v>0</v>
      </c>
      <c r="K72" s="29"/>
      <c r="L72" s="223">
        <f t="shared" si="9"/>
        <v>1700</v>
      </c>
      <c r="M72" s="12"/>
      <c r="N72" s="218" t="str">
        <f t="shared" si="5"/>
        <v xml:space="preserve"> </v>
      </c>
      <c r="O72" s="189"/>
      <c r="P72" s="189"/>
      <c r="Q72" s="189"/>
      <c r="R72" s="189" t="str">
        <f t="shared" si="6"/>
        <v xml:space="preserve"> </v>
      </c>
      <c r="S72" s="189"/>
      <c r="T72" s="253"/>
      <c r="U72" s="13"/>
      <c r="V72" s="253"/>
      <c r="W72" s="253"/>
      <c r="X72" s="16"/>
    </row>
    <row r="73" spans="1:24" ht="15" customHeight="1" x14ac:dyDescent="0.35">
      <c r="A73" s="245">
        <v>45078</v>
      </c>
      <c r="B73" s="246"/>
      <c r="C73" s="211" t="s">
        <v>326</v>
      </c>
      <c r="D73" s="15"/>
      <c r="E73" s="15">
        <v>1</v>
      </c>
      <c r="F73" s="9">
        <v>880</v>
      </c>
      <c r="G73" s="29">
        <f t="shared" si="7"/>
        <v>880</v>
      </c>
      <c r="H73" s="11"/>
      <c r="I73" s="10"/>
      <c r="J73" s="29">
        <f t="shared" si="8"/>
        <v>0</v>
      </c>
      <c r="K73" s="29"/>
      <c r="L73" s="223">
        <f t="shared" si="9"/>
        <v>880</v>
      </c>
      <c r="M73" s="12"/>
      <c r="N73" s="218" t="str">
        <f t="shared" si="5"/>
        <v xml:space="preserve"> </v>
      </c>
      <c r="O73" s="189"/>
      <c r="P73" s="189"/>
      <c r="Q73" s="189"/>
      <c r="R73" s="189" t="str">
        <f t="shared" si="6"/>
        <v xml:space="preserve"> </v>
      </c>
      <c r="S73" s="189"/>
      <c r="T73" s="253"/>
      <c r="U73" s="13"/>
      <c r="V73" s="253"/>
      <c r="W73" s="253"/>
      <c r="X73" s="16"/>
    </row>
    <row r="74" spans="1:24" ht="15" customHeight="1" x14ac:dyDescent="0.35">
      <c r="A74" s="245"/>
      <c r="B74" s="246"/>
      <c r="C74" s="211"/>
      <c r="D74" s="15"/>
      <c r="E74" s="15"/>
      <c r="F74" s="9">
        <v>800</v>
      </c>
      <c r="G74" s="29">
        <f t="shared" si="7"/>
        <v>0</v>
      </c>
      <c r="H74" s="11"/>
      <c r="I74" s="10"/>
      <c r="J74" s="29">
        <f t="shared" si="8"/>
        <v>0</v>
      </c>
      <c r="K74" s="29"/>
      <c r="L74" s="223">
        <f t="shared" si="9"/>
        <v>0</v>
      </c>
      <c r="M74" s="12"/>
      <c r="N74" s="218" t="str">
        <f t="shared" si="5"/>
        <v xml:space="preserve"> </v>
      </c>
      <c r="O74" s="189"/>
      <c r="P74" s="189"/>
      <c r="Q74" s="189"/>
      <c r="R74" s="189" t="str">
        <f t="shared" si="6"/>
        <v xml:space="preserve"> </v>
      </c>
      <c r="S74" s="189"/>
      <c r="T74" s="253"/>
      <c r="U74" s="13"/>
      <c r="V74" s="253"/>
      <c r="W74" s="253"/>
      <c r="X74" s="16"/>
    </row>
    <row r="75" spans="1:24" ht="15" customHeight="1" x14ac:dyDescent="0.35">
      <c r="A75" s="245"/>
      <c r="B75" s="246"/>
      <c r="C75" s="211"/>
      <c r="D75" s="15"/>
      <c r="E75" s="15"/>
      <c r="F75" s="9">
        <v>800</v>
      </c>
      <c r="G75" s="29">
        <f t="shared" si="7"/>
        <v>0</v>
      </c>
      <c r="H75" s="11"/>
      <c r="I75" s="10"/>
      <c r="J75" s="29">
        <f t="shared" si="8"/>
        <v>0</v>
      </c>
      <c r="K75" s="29"/>
      <c r="L75" s="223">
        <f t="shared" si="9"/>
        <v>0</v>
      </c>
      <c r="M75" s="12"/>
      <c r="N75" s="218" t="str">
        <f t="shared" si="5"/>
        <v xml:space="preserve"> </v>
      </c>
      <c r="O75" s="189"/>
      <c r="P75" s="189"/>
      <c r="Q75" s="189"/>
      <c r="R75" s="189" t="str">
        <f t="shared" si="6"/>
        <v xml:space="preserve"> </v>
      </c>
      <c r="S75" s="189"/>
      <c r="T75" s="253"/>
      <c r="U75" s="13"/>
      <c r="V75" s="253"/>
      <c r="W75" s="253"/>
      <c r="X75" s="16"/>
    </row>
    <row r="76" spans="1:24" ht="15" customHeight="1" x14ac:dyDescent="0.35">
      <c r="A76" s="245"/>
      <c r="B76" s="246"/>
      <c r="C76" s="211"/>
      <c r="D76" s="15"/>
      <c r="E76" s="15"/>
      <c r="F76" s="9">
        <v>800</v>
      </c>
      <c r="G76" s="29">
        <f t="shared" si="7"/>
        <v>0</v>
      </c>
      <c r="H76" s="11"/>
      <c r="I76" s="10"/>
      <c r="J76" s="29">
        <f t="shared" si="8"/>
        <v>0</v>
      </c>
      <c r="K76" s="29"/>
      <c r="L76" s="223">
        <f t="shared" si="9"/>
        <v>0</v>
      </c>
      <c r="M76" s="12"/>
      <c r="N76" s="218" t="str">
        <f t="shared" si="5"/>
        <v xml:space="preserve"> </v>
      </c>
      <c r="O76" s="189"/>
      <c r="P76" s="189"/>
      <c r="Q76" s="189"/>
      <c r="R76" s="189" t="str">
        <f t="shared" si="6"/>
        <v xml:space="preserve"> </v>
      </c>
      <c r="S76" s="189"/>
      <c r="T76" s="253"/>
      <c r="U76" s="13"/>
      <c r="V76" s="253"/>
      <c r="W76" s="253"/>
      <c r="X76" s="16"/>
    </row>
    <row r="77" spans="1:24" ht="15" customHeight="1" x14ac:dyDescent="0.35">
      <c r="A77" s="245"/>
      <c r="B77" s="246"/>
      <c r="C77" s="211"/>
      <c r="D77" s="15"/>
      <c r="E77" s="15"/>
      <c r="F77" s="9">
        <v>800</v>
      </c>
      <c r="G77" s="29">
        <f t="shared" si="7"/>
        <v>0</v>
      </c>
      <c r="H77" s="11"/>
      <c r="I77" s="10"/>
      <c r="J77" s="29">
        <f t="shared" si="8"/>
        <v>0</v>
      </c>
      <c r="K77" s="29"/>
      <c r="L77" s="223">
        <f t="shared" si="9"/>
        <v>0</v>
      </c>
      <c r="M77" s="12"/>
      <c r="N77" s="218" t="str">
        <f t="shared" si="5"/>
        <v xml:space="preserve"> </v>
      </c>
      <c r="O77" s="189"/>
      <c r="P77" s="189"/>
      <c r="Q77" s="189"/>
      <c r="R77" s="189" t="str">
        <f t="shared" si="6"/>
        <v xml:space="preserve"> </v>
      </c>
      <c r="S77" s="189"/>
      <c r="T77" s="253"/>
      <c r="U77" s="13"/>
      <c r="V77" s="253"/>
      <c r="W77" s="253"/>
      <c r="X77" s="16"/>
    </row>
    <row r="78" spans="1:24" ht="15" customHeight="1" x14ac:dyDescent="0.35">
      <c r="A78" s="245"/>
      <c r="B78" s="246"/>
      <c r="C78" s="211"/>
      <c r="D78" s="15"/>
      <c r="E78" s="15"/>
      <c r="F78" s="9">
        <v>800</v>
      </c>
      <c r="G78" s="29">
        <f t="shared" si="7"/>
        <v>0</v>
      </c>
      <c r="H78" s="11"/>
      <c r="I78" s="10"/>
      <c r="J78" s="29">
        <f t="shared" si="8"/>
        <v>0</v>
      </c>
      <c r="K78" s="29"/>
      <c r="L78" s="223">
        <f t="shared" si="9"/>
        <v>0</v>
      </c>
      <c r="M78" s="12"/>
      <c r="N78" s="239" t="str">
        <f t="shared" si="5"/>
        <v xml:space="preserve"> </v>
      </c>
      <c r="O78" s="189"/>
      <c r="P78" s="189"/>
      <c r="Q78" s="189"/>
      <c r="R78" s="189" t="str">
        <f t="shared" si="6"/>
        <v xml:space="preserve"> </v>
      </c>
      <c r="S78" s="189"/>
      <c r="T78" s="253"/>
      <c r="U78" s="13"/>
      <c r="V78" s="253"/>
      <c r="W78" s="253"/>
      <c r="X78" s="16"/>
    </row>
    <row r="79" spans="1:24" ht="15" customHeight="1" x14ac:dyDescent="0.35">
      <c r="A79" s="245"/>
      <c r="B79" s="246"/>
      <c r="C79" s="211"/>
      <c r="D79" s="15"/>
      <c r="E79" s="15"/>
      <c r="F79" s="9">
        <v>800</v>
      </c>
      <c r="G79" s="29">
        <f t="shared" si="7"/>
        <v>0</v>
      </c>
      <c r="H79" s="11"/>
      <c r="I79" s="10"/>
      <c r="J79" s="29">
        <f t="shared" si="8"/>
        <v>0</v>
      </c>
      <c r="K79" s="29"/>
      <c r="L79" s="223">
        <f t="shared" si="9"/>
        <v>0</v>
      </c>
      <c r="M79" s="12"/>
      <c r="N79" s="218" t="str">
        <f t="shared" si="5"/>
        <v xml:space="preserve"> </v>
      </c>
      <c r="O79" s="189"/>
      <c r="P79" s="189"/>
      <c r="Q79" s="189"/>
      <c r="R79" s="189" t="str">
        <f t="shared" si="6"/>
        <v xml:space="preserve"> </v>
      </c>
      <c r="S79" s="189"/>
      <c r="T79" s="253"/>
      <c r="U79" s="13"/>
      <c r="V79" s="253"/>
      <c r="W79" s="253"/>
      <c r="X79" s="16"/>
    </row>
    <row r="80" spans="1:24" ht="15" customHeight="1" x14ac:dyDescent="0.35">
      <c r="A80" s="23"/>
      <c r="B80" s="24"/>
      <c r="C80" s="211"/>
      <c r="D80" s="15"/>
      <c r="E80" s="15"/>
      <c r="F80" s="9">
        <v>800</v>
      </c>
      <c r="G80" s="29">
        <f t="shared" si="7"/>
        <v>0</v>
      </c>
      <c r="H80" s="11"/>
      <c r="I80" s="10"/>
      <c r="J80" s="29">
        <f t="shared" si="8"/>
        <v>0</v>
      </c>
      <c r="K80" s="29"/>
      <c r="L80" s="223">
        <f t="shared" si="9"/>
        <v>0</v>
      </c>
      <c r="M80" s="12"/>
      <c r="N80" s="218" t="str">
        <f t="shared" ref="N80:N88" si="10">IF(M80&gt;0,SUM(L80-M80)," ")</f>
        <v xml:space="preserve"> </v>
      </c>
      <c r="O80" s="189"/>
      <c r="P80" s="189"/>
      <c r="Q80" s="189"/>
      <c r="R80" s="189" t="str">
        <f t="shared" si="6"/>
        <v xml:space="preserve"> </v>
      </c>
      <c r="S80" s="189"/>
      <c r="T80" s="253"/>
      <c r="U80" s="13"/>
      <c r="V80" s="253"/>
      <c r="W80" s="253"/>
      <c r="X80" s="16"/>
    </row>
    <row r="81" spans="1:24" ht="15" customHeight="1" x14ac:dyDescent="0.35">
      <c r="A81" s="227"/>
      <c r="B81" s="24"/>
      <c r="C81" s="211"/>
      <c r="D81" s="15"/>
      <c r="E81" s="15"/>
      <c r="F81" s="9">
        <v>800</v>
      </c>
      <c r="G81" s="29">
        <f t="shared" si="7"/>
        <v>0</v>
      </c>
      <c r="H81" s="11"/>
      <c r="I81" s="10"/>
      <c r="J81" s="29">
        <f t="shared" si="8"/>
        <v>0</v>
      </c>
      <c r="K81" s="29"/>
      <c r="L81" s="223">
        <f t="shared" si="9"/>
        <v>0</v>
      </c>
      <c r="M81" s="12"/>
      <c r="N81" s="218" t="str">
        <f t="shared" si="10"/>
        <v xml:space="preserve"> </v>
      </c>
      <c r="O81" s="189"/>
      <c r="P81" s="189"/>
      <c r="Q81" s="189"/>
      <c r="R81" s="189" t="str">
        <f t="shared" si="6"/>
        <v xml:space="preserve"> </v>
      </c>
      <c r="S81" s="189"/>
      <c r="T81" s="253"/>
      <c r="U81" s="13"/>
      <c r="V81" s="253"/>
      <c r="W81" s="253"/>
      <c r="X81" s="16"/>
    </row>
    <row r="82" spans="1:24" ht="15" customHeight="1" x14ac:dyDescent="0.35">
      <c r="A82" s="227"/>
      <c r="B82" s="24"/>
      <c r="C82" s="211"/>
      <c r="D82" s="15"/>
      <c r="E82" s="15"/>
      <c r="F82" s="9">
        <v>800</v>
      </c>
      <c r="G82" s="29">
        <f t="shared" si="7"/>
        <v>0</v>
      </c>
      <c r="H82" s="11"/>
      <c r="I82" s="10"/>
      <c r="J82" s="29">
        <f t="shared" si="8"/>
        <v>0</v>
      </c>
      <c r="K82" s="29"/>
      <c r="L82" s="223">
        <f t="shared" si="9"/>
        <v>0</v>
      </c>
      <c r="M82" s="12"/>
      <c r="N82" s="218" t="str">
        <f t="shared" si="10"/>
        <v xml:space="preserve"> </v>
      </c>
      <c r="O82" s="189"/>
      <c r="P82" s="189"/>
      <c r="Q82" s="189"/>
      <c r="R82" s="189" t="str">
        <f t="shared" si="6"/>
        <v xml:space="preserve"> </v>
      </c>
      <c r="S82" s="189"/>
      <c r="T82" s="253"/>
      <c r="U82" s="13"/>
      <c r="V82" s="253"/>
      <c r="W82" s="253"/>
      <c r="X82" s="16"/>
    </row>
    <row r="83" spans="1:24" ht="15" customHeight="1" x14ac:dyDescent="0.35">
      <c r="A83" s="23"/>
      <c r="B83" s="23"/>
      <c r="C83" s="188"/>
      <c r="D83" s="15"/>
      <c r="E83" s="15"/>
      <c r="F83" s="9">
        <v>800</v>
      </c>
      <c r="G83" s="29">
        <f t="shared" si="7"/>
        <v>0</v>
      </c>
      <c r="H83" s="11"/>
      <c r="I83" s="10"/>
      <c r="J83" s="29">
        <f t="shared" si="8"/>
        <v>0</v>
      </c>
      <c r="K83" s="29"/>
      <c r="L83" s="223">
        <f t="shared" si="9"/>
        <v>0</v>
      </c>
      <c r="M83" s="12"/>
      <c r="N83" s="218" t="str">
        <f t="shared" si="10"/>
        <v xml:space="preserve"> </v>
      </c>
      <c r="O83" s="189"/>
      <c r="P83" s="189"/>
      <c r="Q83" s="189"/>
      <c r="R83" s="189" t="str">
        <f t="shared" si="6"/>
        <v xml:space="preserve"> </v>
      </c>
      <c r="S83" s="189"/>
      <c r="T83" s="253"/>
      <c r="U83" s="13"/>
      <c r="V83" s="253"/>
      <c r="W83" s="253"/>
      <c r="X83" s="16"/>
    </row>
    <row r="84" spans="1:24" ht="15" customHeight="1" x14ac:dyDescent="0.35">
      <c r="A84" s="23"/>
      <c r="B84" s="23"/>
      <c r="C84" s="211"/>
      <c r="D84" s="15"/>
      <c r="E84" s="15"/>
      <c r="F84" s="9">
        <v>800</v>
      </c>
      <c r="G84" s="29">
        <f t="shared" si="7"/>
        <v>0</v>
      </c>
      <c r="H84" s="11"/>
      <c r="I84" s="10"/>
      <c r="J84" s="29">
        <f t="shared" si="8"/>
        <v>0</v>
      </c>
      <c r="K84" s="29"/>
      <c r="L84" s="223">
        <f t="shared" si="9"/>
        <v>0</v>
      </c>
      <c r="M84" s="12"/>
      <c r="N84" s="218" t="str">
        <f t="shared" si="10"/>
        <v xml:space="preserve"> </v>
      </c>
      <c r="O84" s="189"/>
      <c r="P84" s="189"/>
      <c r="Q84" s="189"/>
      <c r="R84" s="189" t="str">
        <f t="shared" si="6"/>
        <v xml:space="preserve"> </v>
      </c>
      <c r="S84" s="189"/>
      <c r="T84" s="253"/>
      <c r="U84" s="13"/>
      <c r="V84" s="253"/>
      <c r="W84" s="253"/>
      <c r="X84" s="16"/>
    </row>
    <row r="85" spans="1:24" ht="15" customHeight="1" x14ac:dyDescent="0.35">
      <c r="A85" s="23"/>
      <c r="B85" s="24"/>
      <c r="C85" s="211"/>
      <c r="D85" s="15"/>
      <c r="E85" s="15"/>
      <c r="F85" s="9">
        <v>800</v>
      </c>
      <c r="G85" s="29">
        <f t="shared" si="7"/>
        <v>0</v>
      </c>
      <c r="H85" s="11"/>
      <c r="I85" s="10"/>
      <c r="J85" s="29">
        <f t="shared" si="8"/>
        <v>0</v>
      </c>
      <c r="K85" s="29"/>
      <c r="L85" s="223">
        <f t="shared" si="9"/>
        <v>0</v>
      </c>
      <c r="M85" s="12"/>
      <c r="N85" s="218" t="str">
        <f t="shared" si="10"/>
        <v xml:space="preserve"> </v>
      </c>
      <c r="O85" s="189"/>
      <c r="P85" s="189"/>
      <c r="Q85" s="189"/>
      <c r="R85" s="189" t="str">
        <f t="shared" si="6"/>
        <v xml:space="preserve"> </v>
      </c>
      <c r="S85" s="189"/>
      <c r="T85" s="253"/>
      <c r="U85" s="13"/>
      <c r="V85" s="253"/>
      <c r="W85" s="253"/>
      <c r="X85" s="16"/>
    </row>
    <row r="86" spans="1:24" ht="15" customHeight="1" x14ac:dyDescent="0.35">
      <c r="A86" s="23"/>
      <c r="B86" s="24"/>
      <c r="C86" s="211"/>
      <c r="D86" s="15"/>
      <c r="E86" s="15"/>
      <c r="F86" s="9">
        <v>800</v>
      </c>
      <c r="G86" s="29">
        <f t="shared" si="7"/>
        <v>0</v>
      </c>
      <c r="H86" s="11"/>
      <c r="I86" s="10"/>
      <c r="J86" s="29">
        <f t="shared" si="8"/>
        <v>0</v>
      </c>
      <c r="K86" s="29"/>
      <c r="L86" s="223">
        <f t="shared" si="9"/>
        <v>0</v>
      </c>
      <c r="M86" s="12"/>
      <c r="N86" s="218" t="str">
        <f t="shared" si="10"/>
        <v xml:space="preserve"> </v>
      </c>
      <c r="O86" s="189"/>
      <c r="P86" s="189"/>
      <c r="Q86" s="189"/>
      <c r="R86" s="189" t="str">
        <f t="shared" si="6"/>
        <v xml:space="preserve"> </v>
      </c>
      <c r="S86" s="189"/>
      <c r="T86" s="253"/>
      <c r="U86" s="13"/>
      <c r="V86" s="253"/>
      <c r="W86" s="253"/>
      <c r="X86" s="16"/>
    </row>
    <row r="87" spans="1:24" ht="15" customHeight="1" x14ac:dyDescent="0.35">
      <c r="A87" s="227"/>
      <c r="B87" s="23"/>
      <c r="C87" s="212"/>
      <c r="D87" s="15"/>
      <c r="E87" s="15"/>
      <c r="F87" s="9">
        <v>800</v>
      </c>
      <c r="G87" s="29">
        <f t="shared" si="7"/>
        <v>0</v>
      </c>
      <c r="H87" s="11"/>
      <c r="I87" s="10"/>
      <c r="J87" s="29">
        <f t="shared" si="8"/>
        <v>0</v>
      </c>
      <c r="K87" s="29"/>
      <c r="L87" s="223">
        <f t="shared" si="9"/>
        <v>0</v>
      </c>
      <c r="M87" s="12"/>
      <c r="N87" s="218" t="str">
        <f t="shared" si="10"/>
        <v xml:space="preserve"> </v>
      </c>
      <c r="O87" s="189"/>
      <c r="P87" s="189"/>
      <c r="Q87" s="189"/>
      <c r="R87" s="189" t="str">
        <f t="shared" si="6"/>
        <v xml:space="preserve"> </v>
      </c>
      <c r="S87" s="189"/>
      <c r="T87" s="253"/>
      <c r="U87" s="13"/>
      <c r="V87" s="253"/>
      <c r="W87" s="253"/>
      <c r="X87" s="16"/>
    </row>
    <row r="88" spans="1:24" ht="15" customHeight="1" x14ac:dyDescent="0.35">
      <c r="A88" s="23"/>
      <c r="B88" s="24"/>
      <c r="C88" s="211"/>
      <c r="D88" s="15"/>
      <c r="E88" s="15"/>
      <c r="F88" s="9">
        <v>800</v>
      </c>
      <c r="G88" s="29">
        <f t="shared" si="7"/>
        <v>0</v>
      </c>
      <c r="H88" s="11"/>
      <c r="I88" s="10"/>
      <c r="J88" s="29">
        <f t="shared" si="8"/>
        <v>0</v>
      </c>
      <c r="K88" s="29"/>
      <c r="L88" s="223">
        <f t="shared" si="9"/>
        <v>0</v>
      </c>
      <c r="M88" s="12"/>
      <c r="N88" s="218" t="str">
        <f t="shared" si="10"/>
        <v xml:space="preserve"> </v>
      </c>
      <c r="O88" s="189"/>
      <c r="P88" s="189"/>
      <c r="Q88" s="189"/>
      <c r="R88" s="189" t="str">
        <f t="shared" si="6"/>
        <v xml:space="preserve"> </v>
      </c>
      <c r="S88" s="189"/>
      <c r="T88" s="253"/>
      <c r="U88" s="13"/>
      <c r="V88" s="253"/>
      <c r="W88" s="253"/>
      <c r="X88" s="16"/>
    </row>
    <row r="89" spans="1:24" ht="15" customHeight="1" x14ac:dyDescent="0.35">
      <c r="A89" s="23"/>
      <c r="B89" s="24"/>
      <c r="C89" s="211"/>
      <c r="D89" s="15"/>
      <c r="E89" s="15"/>
      <c r="F89" s="9">
        <v>800</v>
      </c>
      <c r="G89" s="29">
        <f t="shared" si="7"/>
        <v>0</v>
      </c>
      <c r="H89" s="11"/>
      <c r="I89" s="10"/>
      <c r="J89" s="29">
        <f t="shared" si="8"/>
        <v>0</v>
      </c>
      <c r="K89" s="29"/>
      <c r="L89" s="223">
        <f t="shared" si="9"/>
        <v>0</v>
      </c>
      <c r="M89" s="12"/>
      <c r="N89" s="218" t="str">
        <f t="shared" si="5"/>
        <v xml:space="preserve"> </v>
      </c>
      <c r="O89" s="189"/>
      <c r="P89" s="189"/>
      <c r="Q89" s="189"/>
      <c r="R89" s="189" t="str">
        <f t="shared" si="6"/>
        <v xml:space="preserve"> </v>
      </c>
      <c r="S89" s="189"/>
      <c r="T89" s="253"/>
      <c r="U89" s="13"/>
      <c r="V89" s="253"/>
      <c r="W89" s="253"/>
      <c r="X89" s="16"/>
    </row>
    <row r="90" spans="1:24" ht="15" customHeight="1" x14ac:dyDescent="0.35">
      <c r="A90" s="23"/>
      <c r="B90" s="24"/>
      <c r="C90" s="211"/>
      <c r="D90" s="15"/>
      <c r="E90" s="15"/>
      <c r="F90" s="9">
        <v>800</v>
      </c>
      <c r="G90" s="29">
        <f t="shared" si="7"/>
        <v>0</v>
      </c>
      <c r="H90" s="11"/>
      <c r="I90" s="10"/>
      <c r="J90" s="29">
        <f t="shared" si="8"/>
        <v>0</v>
      </c>
      <c r="K90" s="29"/>
      <c r="L90" s="223">
        <f t="shared" si="9"/>
        <v>0</v>
      </c>
      <c r="M90" s="12"/>
      <c r="N90" s="218" t="str">
        <f t="shared" si="5"/>
        <v xml:space="preserve"> </v>
      </c>
      <c r="O90" s="189"/>
      <c r="P90" s="189"/>
      <c r="Q90" s="189"/>
      <c r="R90" s="189" t="str">
        <f t="shared" si="6"/>
        <v xml:space="preserve"> </v>
      </c>
      <c r="S90" s="189"/>
      <c r="T90" s="253"/>
      <c r="U90" s="13"/>
      <c r="V90" s="253"/>
      <c r="W90" s="253"/>
      <c r="X90" s="16"/>
    </row>
    <row r="91" spans="1:24" ht="15" customHeight="1" x14ac:dyDescent="0.35">
      <c r="A91" s="227"/>
      <c r="B91" s="23"/>
      <c r="C91" s="212"/>
      <c r="D91" s="15"/>
      <c r="E91" s="15"/>
      <c r="F91" s="9">
        <v>800</v>
      </c>
      <c r="G91" s="29">
        <f t="shared" si="7"/>
        <v>0</v>
      </c>
      <c r="H91" s="11"/>
      <c r="I91" s="10"/>
      <c r="J91" s="29">
        <f t="shared" si="8"/>
        <v>0</v>
      </c>
      <c r="K91" s="29"/>
      <c r="L91" s="223">
        <f t="shared" si="9"/>
        <v>0</v>
      </c>
      <c r="M91" s="12"/>
      <c r="N91" s="218" t="str">
        <f t="shared" si="5"/>
        <v xml:space="preserve"> </v>
      </c>
      <c r="O91" s="189"/>
      <c r="P91" s="189"/>
      <c r="Q91" s="189"/>
      <c r="R91" s="189" t="str">
        <f t="shared" si="6"/>
        <v xml:space="preserve"> </v>
      </c>
      <c r="S91" s="189"/>
      <c r="T91" s="253"/>
      <c r="U91" s="13"/>
      <c r="V91" s="253"/>
      <c r="W91" s="253"/>
      <c r="X91" s="16"/>
    </row>
    <row r="92" spans="1:24" ht="15" customHeight="1" x14ac:dyDescent="0.35">
      <c r="A92" s="23"/>
      <c r="B92" s="24"/>
      <c r="C92" s="211"/>
      <c r="D92" s="15"/>
      <c r="E92" s="15"/>
      <c r="F92" s="9">
        <v>800</v>
      </c>
      <c r="G92" s="29">
        <f t="shared" si="7"/>
        <v>0</v>
      </c>
      <c r="H92" s="11"/>
      <c r="I92" s="10"/>
      <c r="J92" s="29">
        <f t="shared" si="8"/>
        <v>0</v>
      </c>
      <c r="K92" s="29"/>
      <c r="L92" s="223">
        <f t="shared" si="9"/>
        <v>0</v>
      </c>
      <c r="M92" s="12"/>
      <c r="N92" s="218" t="str">
        <f t="shared" si="5"/>
        <v xml:space="preserve"> </v>
      </c>
      <c r="O92" s="189"/>
      <c r="P92" s="189"/>
      <c r="Q92" s="189"/>
      <c r="R92" s="189" t="str">
        <f t="shared" si="6"/>
        <v xml:space="preserve"> </v>
      </c>
      <c r="S92" s="189"/>
      <c r="T92" s="253"/>
      <c r="U92" s="13"/>
      <c r="V92" s="253"/>
      <c r="W92" s="253"/>
      <c r="X92" s="16"/>
    </row>
    <row r="93" spans="1:24" ht="15" customHeight="1" x14ac:dyDescent="0.35">
      <c r="A93" s="227"/>
      <c r="B93" s="24"/>
      <c r="C93" s="211"/>
      <c r="D93" s="15"/>
      <c r="E93" s="15"/>
      <c r="F93" s="9">
        <v>800</v>
      </c>
      <c r="G93" s="29">
        <f t="shared" si="7"/>
        <v>0</v>
      </c>
      <c r="H93" s="11"/>
      <c r="I93" s="10"/>
      <c r="J93" s="29">
        <f t="shared" si="8"/>
        <v>0</v>
      </c>
      <c r="K93" s="29"/>
      <c r="L93" s="223">
        <f t="shared" si="9"/>
        <v>0</v>
      </c>
      <c r="M93" s="12"/>
      <c r="N93" s="218" t="str">
        <f t="shared" si="5"/>
        <v xml:space="preserve"> </v>
      </c>
      <c r="O93" s="189"/>
      <c r="P93" s="189"/>
      <c r="Q93" s="189"/>
      <c r="R93" s="189" t="str">
        <f t="shared" si="6"/>
        <v xml:space="preserve"> </v>
      </c>
      <c r="S93" s="189"/>
      <c r="T93" s="253"/>
      <c r="U93" s="13"/>
      <c r="V93" s="253"/>
      <c r="W93" s="253"/>
      <c r="X93" s="16"/>
    </row>
    <row r="94" spans="1:24" ht="15" customHeight="1" x14ac:dyDescent="0.35">
      <c r="A94" s="227"/>
      <c r="B94" s="24"/>
      <c r="C94" s="212"/>
      <c r="D94" s="15"/>
      <c r="E94" s="15"/>
      <c r="F94" s="9">
        <v>800</v>
      </c>
      <c r="G94" s="29">
        <f t="shared" si="7"/>
        <v>0</v>
      </c>
      <c r="H94" s="11"/>
      <c r="I94" s="10"/>
      <c r="J94" s="29">
        <f t="shared" si="8"/>
        <v>0</v>
      </c>
      <c r="K94" s="29"/>
      <c r="L94" s="223">
        <f t="shared" si="9"/>
        <v>0</v>
      </c>
      <c r="M94" s="12"/>
      <c r="N94" s="218" t="str">
        <f t="shared" si="5"/>
        <v xml:space="preserve"> </v>
      </c>
      <c r="O94" s="189"/>
      <c r="P94" s="189"/>
      <c r="Q94" s="189"/>
      <c r="R94" s="189" t="str">
        <f t="shared" si="6"/>
        <v xml:space="preserve"> </v>
      </c>
      <c r="S94" s="189"/>
      <c r="T94" s="253"/>
      <c r="U94" s="13"/>
      <c r="V94" s="253"/>
      <c r="W94" s="253"/>
      <c r="X94" s="16"/>
    </row>
    <row r="95" spans="1:24" ht="15" customHeight="1" x14ac:dyDescent="0.35">
      <c r="A95" s="227"/>
      <c r="B95" s="24"/>
      <c r="C95" s="211"/>
      <c r="D95" s="15"/>
      <c r="E95" s="15"/>
      <c r="F95" s="9">
        <v>800</v>
      </c>
      <c r="G95" s="29">
        <f t="shared" si="7"/>
        <v>0</v>
      </c>
      <c r="H95" s="11"/>
      <c r="I95" s="10"/>
      <c r="J95" s="29">
        <f t="shared" si="8"/>
        <v>0</v>
      </c>
      <c r="K95" s="29"/>
      <c r="L95" s="223">
        <f t="shared" si="9"/>
        <v>0</v>
      </c>
      <c r="M95" s="12"/>
      <c r="N95" s="218" t="str">
        <f t="shared" si="5"/>
        <v xml:space="preserve"> </v>
      </c>
      <c r="O95" s="189"/>
      <c r="P95" s="189"/>
      <c r="Q95" s="189"/>
      <c r="R95" s="189" t="str">
        <f t="shared" si="6"/>
        <v xml:space="preserve"> </v>
      </c>
      <c r="S95" s="189"/>
      <c r="T95" s="253"/>
      <c r="U95" s="13"/>
      <c r="V95" s="253"/>
      <c r="W95" s="253"/>
      <c r="X95" s="16"/>
    </row>
    <row r="96" spans="1:24" ht="15" customHeight="1" x14ac:dyDescent="0.35">
      <c r="A96" s="227"/>
      <c r="B96" s="24"/>
      <c r="C96" s="212"/>
      <c r="D96" s="15"/>
      <c r="E96" s="15"/>
      <c r="F96" s="9">
        <v>800</v>
      </c>
      <c r="G96" s="29">
        <f t="shared" si="7"/>
        <v>0</v>
      </c>
      <c r="H96" s="11"/>
      <c r="I96" s="10"/>
      <c r="J96" s="29">
        <f t="shared" si="8"/>
        <v>0</v>
      </c>
      <c r="K96" s="29"/>
      <c r="L96" s="223">
        <f t="shared" si="9"/>
        <v>0</v>
      </c>
      <c r="M96" s="12"/>
      <c r="N96" s="218" t="str">
        <f>IF(M96&gt;0,SUM(L96-M96)," ")</f>
        <v xml:space="preserve"> </v>
      </c>
      <c r="O96" s="189"/>
      <c r="P96" s="189"/>
      <c r="Q96" s="189"/>
      <c r="R96" s="189" t="str">
        <f t="shared" si="6"/>
        <v xml:space="preserve"> </v>
      </c>
      <c r="S96" s="189"/>
      <c r="T96" s="253"/>
      <c r="U96" s="13"/>
      <c r="V96" s="253"/>
      <c r="W96" s="253"/>
      <c r="X96" s="16"/>
    </row>
    <row r="97" spans="1:24" ht="15" customHeight="1" x14ac:dyDescent="0.35">
      <c r="A97" s="227"/>
      <c r="B97" s="24"/>
      <c r="C97" s="211"/>
      <c r="D97" s="15"/>
      <c r="E97" s="15"/>
      <c r="F97" s="9">
        <v>800</v>
      </c>
      <c r="G97" s="29">
        <f t="shared" si="7"/>
        <v>0</v>
      </c>
      <c r="H97" s="11"/>
      <c r="I97" s="10"/>
      <c r="J97" s="29">
        <f t="shared" si="8"/>
        <v>0</v>
      </c>
      <c r="K97" s="29"/>
      <c r="L97" s="223">
        <f t="shared" si="9"/>
        <v>0</v>
      </c>
      <c r="M97" s="12"/>
      <c r="N97" s="218" t="str">
        <f>IF(M97&gt;0,SUM(L97-M97)," ")</f>
        <v xml:space="preserve"> </v>
      </c>
      <c r="O97" s="189"/>
      <c r="P97" s="189"/>
      <c r="Q97" s="189"/>
      <c r="R97" s="189" t="str">
        <f t="shared" si="6"/>
        <v xml:space="preserve"> </v>
      </c>
      <c r="S97" s="189"/>
      <c r="T97" s="253"/>
      <c r="U97" s="13"/>
      <c r="V97" s="253"/>
      <c r="W97" s="253"/>
      <c r="X97" s="16"/>
    </row>
    <row r="98" spans="1:24" ht="15" customHeight="1" x14ac:dyDescent="0.35">
      <c r="A98" s="227"/>
      <c r="B98" s="24"/>
      <c r="C98" s="206"/>
      <c r="D98" s="15"/>
      <c r="E98" s="15"/>
      <c r="F98" s="9">
        <v>800</v>
      </c>
      <c r="G98" s="29">
        <f t="shared" si="7"/>
        <v>0</v>
      </c>
      <c r="H98" s="11"/>
      <c r="I98" s="10"/>
      <c r="J98" s="29">
        <f t="shared" si="8"/>
        <v>0</v>
      </c>
      <c r="K98" s="29"/>
      <c r="L98" s="223">
        <f t="shared" si="9"/>
        <v>0</v>
      </c>
      <c r="M98" s="12"/>
      <c r="N98" s="218" t="str">
        <f t="shared" si="5"/>
        <v xml:space="preserve"> </v>
      </c>
      <c r="O98" s="189"/>
      <c r="P98" s="189"/>
      <c r="Q98" s="189"/>
      <c r="R98" s="189" t="str">
        <f t="shared" si="4"/>
        <v xml:space="preserve"> </v>
      </c>
      <c r="S98" s="189"/>
      <c r="T98" s="253"/>
      <c r="U98" s="13"/>
      <c r="V98" s="253"/>
      <c r="W98" s="253"/>
      <c r="X98" s="16"/>
    </row>
    <row r="99" spans="1:24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7"/>
        <v>0</v>
      </c>
      <c r="H99" s="11"/>
      <c r="I99" s="10"/>
      <c r="J99" s="29">
        <f t="shared" si="8"/>
        <v>0</v>
      </c>
      <c r="K99" s="29"/>
      <c r="L99" s="223">
        <f t="shared" si="9"/>
        <v>0</v>
      </c>
      <c r="M99" s="12"/>
      <c r="N99" s="218" t="str">
        <f t="shared" si="5"/>
        <v xml:space="preserve"> </v>
      </c>
      <c r="O99" s="189"/>
      <c r="P99" s="189"/>
      <c r="Q99" s="189"/>
      <c r="R99" s="189" t="str">
        <f t="shared" si="4"/>
        <v xml:space="preserve"> </v>
      </c>
      <c r="S99" s="189"/>
      <c r="T99" s="253"/>
      <c r="U99" s="13"/>
      <c r="V99" s="253"/>
      <c r="W99" s="253"/>
      <c r="X99" s="16"/>
    </row>
    <row r="100" spans="1:24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7"/>
        <v>0</v>
      </c>
      <c r="H100" s="11"/>
      <c r="I100" s="10"/>
      <c r="J100" s="29">
        <f t="shared" si="8"/>
        <v>0</v>
      </c>
      <c r="K100" s="29"/>
      <c r="L100" s="223">
        <f t="shared" si="9"/>
        <v>0</v>
      </c>
      <c r="M100" s="12"/>
      <c r="N100" s="218" t="str">
        <f t="shared" si="5"/>
        <v xml:space="preserve"> </v>
      </c>
      <c r="O100" s="189"/>
      <c r="P100" s="189"/>
      <c r="Q100" s="189"/>
      <c r="R100" s="189" t="str">
        <f t="shared" si="4"/>
        <v xml:space="preserve"> </v>
      </c>
      <c r="S100" s="189"/>
      <c r="T100" s="253"/>
      <c r="U100" s="13"/>
      <c r="V100" s="253"/>
      <c r="W100" s="253"/>
      <c r="X100" s="16"/>
    </row>
    <row r="101" spans="1:24" ht="16" x14ac:dyDescent="0.5">
      <c r="D101" s="21">
        <f>SUM(D4:D100)</f>
        <v>91</v>
      </c>
      <c r="E101" s="21">
        <f>SUM(E4:E100)</f>
        <v>89</v>
      </c>
      <c r="G101" s="198">
        <f>SUM(G4:G100)</f>
        <v>154430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154430</v>
      </c>
      <c r="M101" s="198"/>
      <c r="N101" s="218" t="str">
        <f t="shared" si="5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100</v>
      </c>
      <c r="S101" s="199">
        <f>SUM(S4:S100)</f>
        <v>0</v>
      </c>
    </row>
    <row r="102" spans="1:24" x14ac:dyDescent="0.35">
      <c r="D102" s="290">
        <f>D101+E101</f>
        <v>180</v>
      </c>
      <c r="E102" s="291"/>
      <c r="G102" s="22"/>
      <c r="I102" s="5"/>
      <c r="J102" s="22"/>
      <c r="K102" s="22"/>
    </row>
    <row r="103" spans="1:24" x14ac:dyDescent="0.35">
      <c r="I103" s="5"/>
      <c r="J103" s="6"/>
      <c r="K103" s="6"/>
    </row>
    <row r="106" spans="1:24" x14ac:dyDescent="0.35">
      <c r="D106" s="5"/>
      <c r="E106" s="6"/>
      <c r="F106" s="187"/>
      <c r="G106" s="187"/>
      <c r="J106" s="225"/>
      <c r="L106" s="187"/>
      <c r="M106" s="191"/>
      <c r="N106" s="191"/>
      <c r="R106" s="187"/>
      <c r="S106" s="7"/>
      <c r="U106" s="187"/>
    </row>
    <row r="107" spans="1:24" x14ac:dyDescent="0.35">
      <c r="D107" s="5"/>
      <c r="E107" s="6"/>
      <c r="F107" s="187"/>
      <c r="G107" s="187"/>
      <c r="J107" s="225"/>
      <c r="L107" s="187"/>
      <c r="M107" s="191"/>
      <c r="N107" s="191"/>
      <c r="R107" s="187"/>
      <c r="S107" s="7"/>
      <c r="U107" s="187"/>
    </row>
    <row r="108" spans="1:24" x14ac:dyDescent="0.35">
      <c r="D108" s="5"/>
      <c r="E108" s="6"/>
      <c r="F108" s="187"/>
      <c r="G108" s="187"/>
      <c r="J108" s="225"/>
      <c r="L108" s="187"/>
      <c r="M108" s="191"/>
      <c r="N108" s="191"/>
      <c r="R108" s="187"/>
      <c r="S108" s="7"/>
      <c r="U108" s="187"/>
    </row>
    <row r="109" spans="1:24" x14ac:dyDescent="0.35">
      <c r="D109" s="5"/>
      <c r="E109" s="6"/>
      <c r="F109" s="187"/>
      <c r="G109" s="187"/>
      <c r="J109" s="225"/>
      <c r="L109" s="187"/>
      <c r="M109" s="191"/>
      <c r="N109" s="191"/>
      <c r="R109" s="187"/>
      <c r="S109" s="7"/>
      <c r="U109" s="187"/>
    </row>
    <row r="110" spans="1:24" x14ac:dyDescent="0.35">
      <c r="D110" s="5"/>
      <c r="E110" s="6"/>
      <c r="F110" s="187"/>
      <c r="G110" s="187"/>
      <c r="J110" s="225"/>
      <c r="L110" s="187"/>
      <c r="M110" s="191"/>
      <c r="N110" s="191"/>
      <c r="R110" s="187"/>
      <c r="S110" s="7"/>
      <c r="U110" s="187"/>
    </row>
    <row r="111" spans="1:24" x14ac:dyDescent="0.35">
      <c r="D111" s="5"/>
      <c r="E111" s="6"/>
      <c r="F111" s="187"/>
      <c r="G111" s="187"/>
      <c r="J111" s="225"/>
      <c r="L111" s="187"/>
      <c r="M111" s="191"/>
      <c r="N111" s="191"/>
      <c r="R111" s="187"/>
      <c r="S111" s="7"/>
      <c r="U111" s="187"/>
    </row>
    <row r="112" spans="1:24" x14ac:dyDescent="0.35">
      <c r="D112" s="5"/>
      <c r="E112" s="6"/>
      <c r="F112" s="187"/>
      <c r="G112" s="187"/>
      <c r="J112" s="225"/>
      <c r="L112" s="187"/>
      <c r="M112" s="191"/>
      <c r="N112" s="191"/>
      <c r="R112" s="187"/>
      <c r="S112" s="7"/>
      <c r="U112" s="187"/>
    </row>
    <row r="113" spans="4:21" x14ac:dyDescent="0.35">
      <c r="D113" s="5"/>
      <c r="E113" s="6"/>
      <c r="F113" s="187"/>
      <c r="G113" s="187"/>
      <c r="J113" s="225"/>
      <c r="L113" s="187"/>
      <c r="M113" s="191"/>
      <c r="N113" s="191"/>
      <c r="R113" s="187"/>
      <c r="S113" s="7"/>
      <c r="U113" s="187"/>
    </row>
    <row r="114" spans="4:21" x14ac:dyDescent="0.35">
      <c r="D114" s="5"/>
      <c r="E114" s="6"/>
      <c r="F114" s="187"/>
      <c r="G114" s="187"/>
      <c r="J114" s="225"/>
      <c r="L114" s="187"/>
      <c r="M114" s="191"/>
      <c r="N114" s="191"/>
      <c r="R114" s="187"/>
      <c r="S114" s="7"/>
      <c r="U114" s="187"/>
    </row>
    <row r="115" spans="4:21" x14ac:dyDescent="0.35">
      <c r="D115" s="5"/>
      <c r="E115" s="6"/>
      <c r="F115" s="187"/>
      <c r="G115" s="187"/>
      <c r="J115" s="225"/>
      <c r="L115" s="187"/>
      <c r="M115" s="191"/>
      <c r="N115" s="191"/>
      <c r="R115" s="187"/>
      <c r="S115" s="7"/>
      <c r="U115" s="187"/>
    </row>
    <row r="116" spans="4:21" x14ac:dyDescent="0.35">
      <c r="D116" s="5"/>
      <c r="E116" s="6"/>
      <c r="F116" s="187"/>
      <c r="G116" s="187"/>
      <c r="J116" s="225"/>
      <c r="L116" s="187"/>
      <c r="M116" s="191"/>
      <c r="N116" s="191"/>
      <c r="R116" s="187"/>
      <c r="S116" s="7"/>
      <c r="U116" s="187"/>
    </row>
    <row r="117" spans="4:21" x14ac:dyDescent="0.35">
      <c r="D117" s="5"/>
      <c r="E117" s="6"/>
      <c r="F117" s="187"/>
      <c r="G117" s="187"/>
      <c r="J117" s="225"/>
      <c r="L117" s="187"/>
      <c r="M117" s="191"/>
      <c r="N117" s="191"/>
      <c r="R117" s="187"/>
      <c r="S117" s="7"/>
      <c r="U117" s="187"/>
    </row>
    <row r="118" spans="4:21" x14ac:dyDescent="0.35">
      <c r="D118" s="5"/>
      <c r="E118" s="6"/>
      <c r="F118" s="187"/>
      <c r="G118" s="187"/>
      <c r="J118" s="225"/>
      <c r="L118" s="187"/>
      <c r="M118" s="191"/>
      <c r="N118" s="191"/>
      <c r="R118" s="187"/>
      <c r="S118" s="7"/>
      <c r="U118" s="187"/>
    </row>
    <row r="119" spans="4:21" x14ac:dyDescent="0.35">
      <c r="D119" s="5"/>
      <c r="E119" s="6"/>
      <c r="F119" s="187"/>
      <c r="G119" s="187"/>
      <c r="J119" s="225"/>
      <c r="L119" s="187"/>
      <c r="M119" s="191"/>
      <c r="N119" s="191"/>
      <c r="R119" s="187"/>
      <c r="S119" s="7"/>
      <c r="U119" s="187"/>
    </row>
    <row r="120" spans="4:21" x14ac:dyDescent="0.35">
      <c r="D120" s="5"/>
      <c r="E120" s="6"/>
      <c r="F120" s="187"/>
      <c r="G120" s="187"/>
      <c r="J120" s="225"/>
      <c r="L120" s="187"/>
      <c r="M120" s="191"/>
      <c r="N120" s="191"/>
      <c r="R120" s="187"/>
      <c r="S120" s="7"/>
      <c r="U120" s="187"/>
    </row>
    <row r="121" spans="4:21" x14ac:dyDescent="0.35">
      <c r="D121" s="5"/>
      <c r="E121" s="6"/>
      <c r="F121" s="187"/>
      <c r="G121" s="187"/>
      <c r="J121" s="225"/>
      <c r="L121" s="187"/>
      <c r="M121" s="191"/>
      <c r="N121" s="191"/>
      <c r="R121" s="187"/>
      <c r="S121" s="7"/>
      <c r="U121" s="187"/>
    </row>
    <row r="122" spans="4:21" x14ac:dyDescent="0.35">
      <c r="D122" s="5"/>
      <c r="E122" s="6"/>
      <c r="F122" s="187"/>
      <c r="G122" s="187"/>
      <c r="J122" s="225"/>
      <c r="L122" s="187"/>
      <c r="M122" s="191"/>
      <c r="N122" s="191"/>
      <c r="R122" s="187"/>
      <c r="S122" s="7"/>
      <c r="U122" s="187"/>
    </row>
    <row r="123" spans="4:21" x14ac:dyDescent="0.35">
      <c r="D123" s="5"/>
      <c r="E123" s="6"/>
      <c r="F123" s="187"/>
      <c r="G123" s="187"/>
      <c r="J123" s="225"/>
      <c r="L123" s="187"/>
      <c r="M123" s="191"/>
      <c r="N123" s="191"/>
      <c r="R123" s="187"/>
      <c r="S123" s="7"/>
      <c r="U123" s="187"/>
    </row>
    <row r="124" spans="4:21" x14ac:dyDescent="0.35">
      <c r="D124" s="5"/>
      <c r="E124" s="6"/>
      <c r="F124" s="187"/>
      <c r="G124" s="187"/>
      <c r="J124" s="225"/>
      <c r="L124" s="187"/>
      <c r="M124" s="191"/>
      <c r="N124" s="191"/>
      <c r="R124" s="187"/>
      <c r="S124" s="7"/>
      <c r="U124" s="187"/>
    </row>
    <row r="125" spans="4:21" x14ac:dyDescent="0.35">
      <c r="D125" s="5"/>
      <c r="E125" s="6"/>
      <c r="F125" s="187"/>
      <c r="G125" s="187"/>
      <c r="J125" s="225"/>
      <c r="L125" s="187"/>
      <c r="M125" s="191"/>
      <c r="N125" s="191"/>
      <c r="R125" s="187"/>
      <c r="S125" s="7"/>
      <c r="U125" s="187"/>
    </row>
    <row r="126" spans="4:21" x14ac:dyDescent="0.35">
      <c r="D126" s="5"/>
      <c r="E126" s="6"/>
      <c r="F126" s="187"/>
      <c r="G126" s="187"/>
      <c r="J126" s="225"/>
      <c r="L126" s="187"/>
      <c r="M126" s="191"/>
      <c r="N126" s="191"/>
      <c r="R126" s="187"/>
      <c r="S126" s="7"/>
      <c r="U126" s="187"/>
    </row>
    <row r="127" spans="4:21" x14ac:dyDescent="0.35">
      <c r="D127" s="5"/>
      <c r="E127" s="6"/>
      <c r="F127" s="187"/>
      <c r="G127" s="187"/>
      <c r="J127" s="225"/>
      <c r="L127" s="187"/>
      <c r="M127" s="191"/>
      <c r="N127" s="191"/>
      <c r="R127" s="187"/>
      <c r="S127" s="7"/>
      <c r="U127" s="187"/>
    </row>
    <row r="128" spans="4:21" x14ac:dyDescent="0.35">
      <c r="D128" s="5"/>
      <c r="E128" s="6"/>
      <c r="F128" s="187"/>
      <c r="G128" s="187"/>
      <c r="J128" s="225"/>
      <c r="L128" s="187"/>
      <c r="M128" s="191"/>
      <c r="N128" s="191"/>
      <c r="R128" s="187"/>
      <c r="S128" s="7"/>
      <c r="U128" s="187"/>
    </row>
    <row r="129" spans="4:21" x14ac:dyDescent="0.35">
      <c r="D129" s="5"/>
      <c r="E129" s="6"/>
      <c r="F129" s="187"/>
      <c r="G129" s="187"/>
      <c r="J129" s="225"/>
      <c r="L129" s="187"/>
      <c r="M129" s="191"/>
      <c r="N129" s="191"/>
      <c r="R129" s="187"/>
      <c r="S129" s="7"/>
      <c r="U129" s="187"/>
    </row>
    <row r="130" spans="4:21" x14ac:dyDescent="0.35">
      <c r="D130" s="5"/>
      <c r="E130" s="6"/>
      <c r="F130" s="187"/>
      <c r="G130" s="187"/>
      <c r="J130" s="225"/>
      <c r="L130" s="187"/>
      <c r="M130" s="191"/>
      <c r="N130" s="191"/>
      <c r="R130" s="187"/>
      <c r="S130" s="7"/>
      <c r="U130" s="187"/>
    </row>
    <row r="131" spans="4:21" x14ac:dyDescent="0.35">
      <c r="D131" s="5"/>
      <c r="E131" s="6"/>
      <c r="F131" s="187"/>
      <c r="G131" s="187"/>
      <c r="J131" s="225"/>
      <c r="L131" s="187"/>
      <c r="M131" s="191"/>
      <c r="N131" s="191"/>
      <c r="R131" s="187"/>
      <c r="S131" s="7"/>
      <c r="U131" s="187"/>
    </row>
    <row r="132" spans="4:21" x14ac:dyDescent="0.35">
      <c r="D132" s="5"/>
      <c r="E132" s="6"/>
      <c r="F132" s="187"/>
      <c r="G132" s="187"/>
      <c r="J132" s="225"/>
      <c r="L132" s="187"/>
      <c r="M132" s="191"/>
      <c r="N132" s="191"/>
      <c r="R132" s="187"/>
      <c r="S132" s="7"/>
      <c r="U132" s="187"/>
    </row>
    <row r="133" spans="4:21" x14ac:dyDescent="0.35">
      <c r="D133" s="5"/>
      <c r="E133" s="6"/>
      <c r="F133" s="187"/>
      <c r="G133" s="187"/>
      <c r="J133" s="225"/>
      <c r="L133" s="187"/>
      <c r="M133" s="191"/>
      <c r="N133" s="191"/>
      <c r="R133" s="187"/>
      <c r="S133" s="7"/>
      <c r="U133" s="187"/>
    </row>
    <row r="134" spans="4:21" x14ac:dyDescent="0.35">
      <c r="D134" s="5"/>
      <c r="E134" s="6"/>
      <c r="F134" s="187"/>
      <c r="G134" s="187"/>
      <c r="J134" s="225"/>
      <c r="L134" s="187"/>
      <c r="M134" s="191"/>
      <c r="N134" s="191"/>
      <c r="R134" s="187"/>
      <c r="S134" s="7"/>
      <c r="U134" s="187"/>
    </row>
    <row r="135" spans="4:21" x14ac:dyDescent="0.35">
      <c r="D135" s="5"/>
      <c r="E135" s="6"/>
      <c r="F135" s="187"/>
      <c r="G135" s="187"/>
      <c r="J135" s="225"/>
      <c r="L135" s="187"/>
      <c r="M135" s="191"/>
      <c r="N135" s="191"/>
      <c r="R135" s="187"/>
      <c r="S135" s="7"/>
      <c r="U135" s="187"/>
    </row>
    <row r="136" spans="4:21" x14ac:dyDescent="0.35">
      <c r="D136" s="5"/>
      <c r="E136" s="6"/>
      <c r="F136" s="187"/>
      <c r="G136" s="187"/>
      <c r="J136" s="225"/>
      <c r="L136" s="187"/>
      <c r="M136" s="191"/>
      <c r="N136" s="191"/>
      <c r="R136" s="187"/>
      <c r="S136" s="7"/>
      <c r="U136" s="187"/>
    </row>
    <row r="137" spans="4:21" x14ac:dyDescent="0.35">
      <c r="D137" s="5"/>
      <c r="E137" s="6"/>
      <c r="F137" s="187"/>
      <c r="G137" s="187"/>
      <c r="J137" s="225"/>
      <c r="L137" s="187"/>
      <c r="M137" s="191"/>
      <c r="N137" s="191"/>
      <c r="R137" s="187"/>
      <c r="S137" s="7"/>
      <c r="U137" s="187"/>
    </row>
    <row r="138" spans="4:21" x14ac:dyDescent="0.35">
      <c r="D138" s="5"/>
      <c r="E138" s="6"/>
      <c r="F138" s="187"/>
      <c r="G138" s="187"/>
      <c r="J138" s="225"/>
      <c r="L138" s="187"/>
      <c r="M138" s="191"/>
      <c r="N138" s="191"/>
      <c r="R138" s="187"/>
      <c r="S138" s="7"/>
      <c r="U138" s="187"/>
    </row>
    <row r="139" spans="4:21" x14ac:dyDescent="0.35">
      <c r="D139" s="5"/>
      <c r="E139" s="6"/>
      <c r="F139" s="187"/>
      <c r="G139" s="187"/>
      <c r="J139" s="225"/>
      <c r="L139" s="187"/>
      <c r="M139" s="191"/>
      <c r="N139" s="191"/>
      <c r="R139" s="187"/>
      <c r="S139" s="7"/>
      <c r="U139" s="187"/>
    </row>
    <row r="140" spans="4:21" x14ac:dyDescent="0.35">
      <c r="D140" s="5"/>
      <c r="E140" s="6"/>
      <c r="F140" s="187"/>
      <c r="G140" s="187"/>
      <c r="J140" s="225"/>
      <c r="L140" s="187"/>
      <c r="M140" s="191"/>
      <c r="N140" s="191"/>
      <c r="R140" s="187"/>
      <c r="S140" s="7"/>
      <c r="U140" s="187"/>
    </row>
    <row r="141" spans="4:21" x14ac:dyDescent="0.35">
      <c r="D141" s="5"/>
      <c r="E141" s="6"/>
      <c r="F141" s="187"/>
      <c r="G141" s="187"/>
      <c r="J141" s="225"/>
      <c r="L141" s="187"/>
      <c r="M141" s="191"/>
      <c r="N141" s="191"/>
      <c r="R141" s="187"/>
      <c r="S141" s="7"/>
      <c r="U141" s="187"/>
    </row>
    <row r="142" spans="4:21" x14ac:dyDescent="0.35">
      <c r="D142" s="5"/>
      <c r="E142" s="6"/>
      <c r="F142" s="187"/>
      <c r="G142" s="187"/>
      <c r="J142" s="225"/>
      <c r="L142" s="187"/>
      <c r="M142" s="191"/>
      <c r="N142" s="191"/>
      <c r="R142" s="187"/>
      <c r="S142" s="7"/>
      <c r="U142" s="187"/>
    </row>
    <row r="143" spans="4:21" x14ac:dyDescent="0.35">
      <c r="D143" s="5"/>
      <c r="E143" s="6"/>
      <c r="F143" s="187"/>
      <c r="G143" s="187"/>
      <c r="J143" s="225"/>
      <c r="L143" s="187"/>
      <c r="M143" s="191"/>
      <c r="N143" s="191"/>
      <c r="R143" s="187"/>
      <c r="S143" s="7"/>
      <c r="U143" s="187"/>
    </row>
    <row r="1048434" spans="15:21" x14ac:dyDescent="0.35">
      <c r="O1048434" s="189"/>
      <c r="P1048434" s="189"/>
      <c r="Q1048434" s="189"/>
      <c r="R1048434" s="189"/>
      <c r="S1048434" s="189"/>
      <c r="U1048434" s="13"/>
    </row>
  </sheetData>
  <autoFilter ref="B3:AA102" xr:uid="{00000000-0009-0000-0000-00000B000000}"/>
  <mergeCells count="15">
    <mergeCell ref="A2:A3"/>
    <mergeCell ref="B2:B3"/>
    <mergeCell ref="C2:C3"/>
    <mergeCell ref="D2:G2"/>
    <mergeCell ref="H2:J2"/>
    <mergeCell ref="K2:K3"/>
    <mergeCell ref="V2:V3"/>
    <mergeCell ref="X2:X3"/>
    <mergeCell ref="O3:O4"/>
    <mergeCell ref="L2:L3"/>
    <mergeCell ref="M2:M3"/>
    <mergeCell ref="N2:N3"/>
    <mergeCell ref="O2:S2"/>
    <mergeCell ref="T2:T3"/>
    <mergeCell ref="U2:U3"/>
  </mergeCells>
  <conditionalFormatting sqref="B2 B100:B1048576 A65 A93:A94 A82:A91 A75:A76 A78:A80 A50:A51 A69 A21:A23 A25 A27:A30 A38:A43 A53:A60">
    <cfRule type="containsText" dxfId="1649" priority="182" operator="containsText" text="OK">
      <formula>NOT(ISERROR(SEARCH("OK",A2)))</formula>
    </cfRule>
  </conditionalFormatting>
  <conditionalFormatting sqref="B2 B100:B1048576 A65 A93:A94 A82:A91 A75:A76 A78:A80 A50:A51 A69 A21:A23 A25 A27:A30 A38:A43 A53:A60">
    <cfRule type="containsText" dxfId="1648" priority="181" operator="containsText" text="ok">
      <formula>NOT(ISERROR(SEARCH("ok",A2)))</formula>
    </cfRule>
  </conditionalFormatting>
  <conditionalFormatting sqref="B54:B65 B67">
    <cfRule type="containsText" dxfId="1647" priority="180" operator="containsText" text="OK">
      <formula>NOT(ISERROR(SEARCH("OK",B54)))</formula>
    </cfRule>
  </conditionalFormatting>
  <conditionalFormatting sqref="B54:B65 B67">
    <cfRule type="containsText" dxfId="1646" priority="179" operator="containsText" text="ok">
      <formula>NOT(ISERROR(SEARCH("ok",B54)))</formula>
    </cfRule>
  </conditionalFormatting>
  <conditionalFormatting sqref="B91">
    <cfRule type="containsText" dxfId="1645" priority="178" operator="containsText" text="OK">
      <formula>NOT(ISERROR(SEARCH("OK",B91)))</formula>
    </cfRule>
  </conditionalFormatting>
  <conditionalFormatting sqref="B91">
    <cfRule type="containsText" dxfId="1644" priority="177" operator="containsText" text="ok">
      <formula>NOT(ISERROR(SEARCH("ok",B91)))</formula>
    </cfRule>
  </conditionalFormatting>
  <conditionalFormatting sqref="A2 A100:A1048576">
    <cfRule type="containsText" dxfId="1643" priority="176" operator="containsText" text="OK">
      <formula>NOT(ISERROR(SEARCH("OK",A2)))</formula>
    </cfRule>
  </conditionalFormatting>
  <conditionalFormatting sqref="A2 A100:A1048576">
    <cfRule type="containsText" dxfId="1642" priority="175" operator="containsText" text="ok">
      <formula>NOT(ISERROR(SEARCH("ok",A2)))</formula>
    </cfRule>
  </conditionalFormatting>
  <conditionalFormatting sqref="A95">
    <cfRule type="containsText" dxfId="1641" priority="174" operator="containsText" text="OK">
      <formula>NOT(ISERROR(SEARCH("OK",A95)))</formula>
    </cfRule>
  </conditionalFormatting>
  <conditionalFormatting sqref="A95">
    <cfRule type="containsText" dxfId="1640" priority="173" operator="containsText" text="ok">
      <formula>NOT(ISERROR(SEARCH("ok",A95)))</formula>
    </cfRule>
  </conditionalFormatting>
  <conditionalFormatting sqref="A96">
    <cfRule type="containsText" dxfId="1639" priority="172" operator="containsText" text="OK">
      <formula>NOT(ISERROR(SEARCH("OK",A96)))</formula>
    </cfRule>
  </conditionalFormatting>
  <conditionalFormatting sqref="A96">
    <cfRule type="containsText" dxfId="1638" priority="171" operator="containsText" text="ok">
      <formula>NOT(ISERROR(SEARCH("ok",A96)))</formula>
    </cfRule>
  </conditionalFormatting>
  <conditionalFormatting sqref="A97">
    <cfRule type="containsText" dxfId="1637" priority="170" operator="containsText" text="OK">
      <formula>NOT(ISERROR(SEARCH("OK",A97)))</formula>
    </cfRule>
  </conditionalFormatting>
  <conditionalFormatting sqref="A97">
    <cfRule type="containsText" dxfId="1636" priority="169" operator="containsText" text="ok">
      <formula>NOT(ISERROR(SEARCH("ok",A97)))</formula>
    </cfRule>
  </conditionalFormatting>
  <conditionalFormatting sqref="A98">
    <cfRule type="containsText" dxfId="1635" priority="168" operator="containsText" text="OK">
      <formula>NOT(ISERROR(SEARCH("OK",A98)))</formula>
    </cfRule>
  </conditionalFormatting>
  <conditionalFormatting sqref="A98">
    <cfRule type="containsText" dxfId="1634" priority="167" operator="containsText" text="ok">
      <formula>NOT(ISERROR(SEARCH("ok",A98)))</formula>
    </cfRule>
  </conditionalFormatting>
  <conditionalFormatting sqref="A99">
    <cfRule type="containsText" dxfId="1633" priority="166" operator="containsText" text="OK">
      <formula>NOT(ISERROR(SEARCH("OK",A99)))</formula>
    </cfRule>
  </conditionalFormatting>
  <conditionalFormatting sqref="A99">
    <cfRule type="containsText" dxfId="1632" priority="165" operator="containsText" text="ok">
      <formula>NOT(ISERROR(SEARCH("ok",A99)))</formula>
    </cfRule>
  </conditionalFormatting>
  <conditionalFormatting sqref="B87">
    <cfRule type="containsText" dxfId="1631" priority="164" operator="containsText" text="OK">
      <formula>NOT(ISERROR(SEARCH("OK",B87)))</formula>
    </cfRule>
  </conditionalFormatting>
  <conditionalFormatting sqref="B87">
    <cfRule type="containsText" dxfId="1630" priority="163" operator="containsText" text="ok">
      <formula>NOT(ISERROR(SEARCH("ok",B87)))</formula>
    </cfRule>
  </conditionalFormatting>
  <conditionalFormatting sqref="B82">
    <cfRule type="containsText" dxfId="1629" priority="162" operator="containsText" text="OK">
      <formula>NOT(ISERROR(SEARCH("OK",B82)))</formula>
    </cfRule>
  </conditionalFormatting>
  <conditionalFormatting sqref="B82">
    <cfRule type="containsText" dxfId="1628" priority="161" operator="containsText" text="ok">
      <formula>NOT(ISERROR(SEARCH("ok",B82)))</formula>
    </cfRule>
  </conditionalFormatting>
  <conditionalFormatting sqref="B83">
    <cfRule type="containsText" dxfId="1627" priority="160" operator="containsText" text="OK">
      <formula>NOT(ISERROR(SEARCH("OK",B83)))</formula>
    </cfRule>
  </conditionalFormatting>
  <conditionalFormatting sqref="B83">
    <cfRule type="containsText" dxfId="1626" priority="159" operator="containsText" text="ok">
      <formula>NOT(ISERROR(SEARCH("ok",B83)))</formula>
    </cfRule>
  </conditionalFormatting>
  <conditionalFormatting sqref="B84">
    <cfRule type="containsText" dxfId="1625" priority="158" operator="containsText" text="OK">
      <formula>NOT(ISERROR(SEARCH("OK",B84)))</formula>
    </cfRule>
  </conditionalFormatting>
  <conditionalFormatting sqref="B84">
    <cfRule type="containsText" dxfId="1624" priority="157" operator="containsText" text="ok">
      <formula>NOT(ISERROR(SEARCH("ok",B84)))</formula>
    </cfRule>
  </conditionalFormatting>
  <conditionalFormatting sqref="B85">
    <cfRule type="containsText" dxfId="1623" priority="156" operator="containsText" text="OK">
      <formula>NOT(ISERROR(SEARCH("OK",B85)))</formula>
    </cfRule>
  </conditionalFormatting>
  <conditionalFormatting sqref="B85">
    <cfRule type="containsText" dxfId="1622" priority="155" operator="containsText" text="ok">
      <formula>NOT(ISERROR(SEARCH("ok",B85)))</formula>
    </cfRule>
  </conditionalFormatting>
  <conditionalFormatting sqref="B86">
    <cfRule type="containsText" dxfId="1621" priority="154" operator="containsText" text="OK">
      <formula>NOT(ISERROR(SEARCH("OK",B86)))</formula>
    </cfRule>
  </conditionalFormatting>
  <conditionalFormatting sqref="B86">
    <cfRule type="containsText" dxfId="1620" priority="153" operator="containsText" text="ok">
      <formula>NOT(ISERROR(SEARCH("ok",B86)))</formula>
    </cfRule>
  </conditionalFormatting>
  <conditionalFormatting sqref="A45">
    <cfRule type="containsText" dxfId="1619" priority="152" operator="containsText" text="OK">
      <formula>NOT(ISERROR(SEARCH("OK",A45)))</formula>
    </cfRule>
  </conditionalFormatting>
  <conditionalFormatting sqref="A45">
    <cfRule type="containsText" dxfId="1618" priority="151" operator="containsText" text="ok">
      <formula>NOT(ISERROR(SEARCH("ok",A45)))</formula>
    </cfRule>
  </conditionalFormatting>
  <conditionalFormatting sqref="B69">
    <cfRule type="containsText" dxfId="1617" priority="150" operator="containsText" text="OK">
      <formula>NOT(ISERROR(SEARCH("OK",B69)))</formula>
    </cfRule>
  </conditionalFormatting>
  <conditionalFormatting sqref="B69">
    <cfRule type="containsText" dxfId="1616" priority="149" operator="containsText" text="ok">
      <formula>NOT(ISERROR(SEARCH("ok",B69)))</formula>
    </cfRule>
  </conditionalFormatting>
  <conditionalFormatting sqref="B88">
    <cfRule type="containsText" dxfId="1615" priority="148" operator="containsText" text="OK">
      <formula>NOT(ISERROR(SEARCH("OK",B88)))</formula>
    </cfRule>
  </conditionalFormatting>
  <conditionalFormatting sqref="B88">
    <cfRule type="containsText" dxfId="1614" priority="147" operator="containsText" text="ok">
      <formula>NOT(ISERROR(SEARCH("ok",B88)))</formula>
    </cfRule>
  </conditionalFormatting>
  <conditionalFormatting sqref="A92">
    <cfRule type="containsText" dxfId="1613" priority="146" operator="containsText" text="OK">
      <formula>NOT(ISERROR(SEARCH("OK",A92)))</formula>
    </cfRule>
  </conditionalFormatting>
  <conditionalFormatting sqref="A92">
    <cfRule type="containsText" dxfId="1612" priority="145" operator="containsText" text="ok">
      <formula>NOT(ISERROR(SEARCH("ok",A92)))</formula>
    </cfRule>
  </conditionalFormatting>
  <conditionalFormatting sqref="B87">
    <cfRule type="containsText" dxfId="1611" priority="144" operator="containsText" text="OK">
      <formula>NOT(ISERROR(SEARCH("OK",B87)))</formula>
    </cfRule>
  </conditionalFormatting>
  <conditionalFormatting sqref="B87">
    <cfRule type="containsText" dxfId="1610" priority="143" operator="containsText" text="ok">
      <formula>NOT(ISERROR(SEARCH("ok",B87)))</formula>
    </cfRule>
  </conditionalFormatting>
  <conditionalFormatting sqref="B83">
    <cfRule type="containsText" dxfId="1609" priority="142" operator="containsText" text="OK">
      <formula>NOT(ISERROR(SEARCH("OK",B83)))</formula>
    </cfRule>
  </conditionalFormatting>
  <conditionalFormatting sqref="B83">
    <cfRule type="containsText" dxfId="1608" priority="141" operator="containsText" text="ok">
      <formula>NOT(ISERROR(SEARCH("ok",B83)))</formula>
    </cfRule>
  </conditionalFormatting>
  <conditionalFormatting sqref="B84">
    <cfRule type="containsText" dxfId="1607" priority="140" operator="containsText" text="OK">
      <formula>NOT(ISERROR(SEARCH("OK",B84)))</formula>
    </cfRule>
  </conditionalFormatting>
  <conditionalFormatting sqref="B84">
    <cfRule type="containsText" dxfId="1606" priority="139" operator="containsText" text="ok">
      <formula>NOT(ISERROR(SEARCH("ok",B84)))</formula>
    </cfRule>
  </conditionalFormatting>
  <conditionalFormatting sqref="A88">
    <cfRule type="containsText" dxfId="1605" priority="138" operator="containsText" text="OK">
      <formula>NOT(ISERROR(SEARCH("OK",A88)))</formula>
    </cfRule>
  </conditionalFormatting>
  <conditionalFormatting sqref="A88">
    <cfRule type="containsText" dxfId="1604" priority="137" operator="containsText" text="ok">
      <formula>NOT(ISERROR(SEARCH("ok",A88)))</formula>
    </cfRule>
  </conditionalFormatting>
  <conditionalFormatting sqref="A81">
    <cfRule type="containsText" dxfId="1603" priority="136" operator="containsText" text="OK">
      <formula>NOT(ISERROR(SEARCH("OK",A81)))</formula>
    </cfRule>
  </conditionalFormatting>
  <conditionalFormatting sqref="A81">
    <cfRule type="containsText" dxfId="1602" priority="135" operator="containsText" text="ok">
      <formula>NOT(ISERROR(SEARCH("ok",A81)))</formula>
    </cfRule>
  </conditionalFormatting>
  <conditionalFormatting sqref="B81">
    <cfRule type="containsText" dxfId="1601" priority="134" operator="containsText" text="OK">
      <formula>NOT(ISERROR(SEARCH("OK",B81)))</formula>
    </cfRule>
  </conditionalFormatting>
  <conditionalFormatting sqref="B81">
    <cfRule type="containsText" dxfId="1600" priority="133" operator="containsText" text="ok">
      <formula>NOT(ISERROR(SEARCH("ok",B81)))</formula>
    </cfRule>
  </conditionalFormatting>
  <conditionalFormatting sqref="A61">
    <cfRule type="containsText" dxfId="1599" priority="132" operator="containsText" text="OK">
      <formula>NOT(ISERROR(SEARCH("OK",A61)))</formula>
    </cfRule>
  </conditionalFormatting>
  <conditionalFormatting sqref="A61">
    <cfRule type="containsText" dxfId="1598" priority="131" operator="containsText" text="ok">
      <formula>NOT(ISERROR(SEARCH("ok",A61)))</formula>
    </cfRule>
  </conditionalFormatting>
  <conditionalFormatting sqref="B66">
    <cfRule type="containsText" dxfId="1597" priority="128" operator="containsText" text="OK">
      <formula>NOT(ISERROR(SEARCH("OK",B66)))</formula>
    </cfRule>
  </conditionalFormatting>
  <conditionalFormatting sqref="B66">
    <cfRule type="containsText" dxfId="1596" priority="127" operator="containsText" text="ok">
      <formula>NOT(ISERROR(SEARCH("ok",B66)))</formula>
    </cfRule>
  </conditionalFormatting>
  <conditionalFormatting sqref="A66">
    <cfRule type="containsText" dxfId="1595" priority="130" operator="containsText" text="OK">
      <formula>NOT(ISERROR(SEARCH("OK",A66)))</formula>
    </cfRule>
  </conditionalFormatting>
  <conditionalFormatting sqref="A66">
    <cfRule type="containsText" dxfId="1594" priority="129" operator="containsText" text="ok">
      <formula>NOT(ISERROR(SEARCH("ok",A66)))</formula>
    </cfRule>
  </conditionalFormatting>
  <conditionalFormatting sqref="B75">
    <cfRule type="containsText" dxfId="1593" priority="124" operator="containsText" text="OK">
      <formula>NOT(ISERROR(SEARCH("OK",B75)))</formula>
    </cfRule>
  </conditionalFormatting>
  <conditionalFormatting sqref="B75">
    <cfRule type="containsText" dxfId="1592" priority="123" operator="containsText" text="ok">
      <formula>NOT(ISERROR(SEARCH("ok",B75)))</formula>
    </cfRule>
  </conditionalFormatting>
  <conditionalFormatting sqref="B74">
    <cfRule type="containsText" dxfId="1591" priority="126" operator="containsText" text="OK">
      <formula>NOT(ISERROR(SEARCH("OK",B74)))</formula>
    </cfRule>
  </conditionalFormatting>
  <conditionalFormatting sqref="B74">
    <cfRule type="containsText" dxfId="1590" priority="125" operator="containsText" text="ok">
      <formula>NOT(ISERROR(SEARCH("ok",B74)))</formula>
    </cfRule>
  </conditionalFormatting>
  <conditionalFormatting sqref="B76">
    <cfRule type="containsText" dxfId="1589" priority="122" operator="containsText" text="OK">
      <formula>NOT(ISERROR(SEARCH("OK",B76)))</formula>
    </cfRule>
  </conditionalFormatting>
  <conditionalFormatting sqref="B76">
    <cfRule type="containsText" dxfId="1588" priority="121" operator="containsText" text="ok">
      <formula>NOT(ISERROR(SEARCH("ok",B76)))</formula>
    </cfRule>
  </conditionalFormatting>
  <conditionalFormatting sqref="B77">
    <cfRule type="containsText" dxfId="1587" priority="120" operator="containsText" text="OK">
      <formula>NOT(ISERROR(SEARCH("OK",B77)))</formula>
    </cfRule>
  </conditionalFormatting>
  <conditionalFormatting sqref="B77">
    <cfRule type="containsText" dxfId="1586" priority="119" operator="containsText" text="ok">
      <formula>NOT(ISERROR(SEARCH("ok",B77)))</formula>
    </cfRule>
  </conditionalFormatting>
  <conditionalFormatting sqref="B78">
    <cfRule type="containsText" dxfId="1585" priority="118" operator="containsText" text="OK">
      <formula>NOT(ISERROR(SEARCH("OK",B78)))</formula>
    </cfRule>
  </conditionalFormatting>
  <conditionalFormatting sqref="B78">
    <cfRule type="containsText" dxfId="1584" priority="117" operator="containsText" text="ok">
      <formula>NOT(ISERROR(SEARCH("ok",B78)))</formula>
    </cfRule>
  </conditionalFormatting>
  <conditionalFormatting sqref="A77">
    <cfRule type="containsText" dxfId="1583" priority="116" operator="containsText" text="OK">
      <formula>NOT(ISERROR(SEARCH("OK",A77)))</formula>
    </cfRule>
  </conditionalFormatting>
  <conditionalFormatting sqref="A77">
    <cfRule type="containsText" dxfId="1582" priority="115" operator="containsText" text="ok">
      <formula>NOT(ISERROR(SEARCH("ok",A77)))</formula>
    </cfRule>
  </conditionalFormatting>
  <conditionalFormatting sqref="A48">
    <cfRule type="containsText" dxfId="1581" priority="114" operator="containsText" text="OK">
      <formula>NOT(ISERROR(SEARCH("OK",A48)))</formula>
    </cfRule>
  </conditionalFormatting>
  <conditionalFormatting sqref="A48">
    <cfRule type="containsText" dxfId="1580" priority="113" operator="containsText" text="ok">
      <formula>NOT(ISERROR(SEARCH("ok",A48)))</formula>
    </cfRule>
  </conditionalFormatting>
  <conditionalFormatting sqref="A74">
    <cfRule type="containsText" dxfId="1579" priority="112" operator="containsText" text="OK">
      <formula>NOT(ISERROR(SEARCH("OK",A74)))</formula>
    </cfRule>
  </conditionalFormatting>
  <conditionalFormatting sqref="A74">
    <cfRule type="containsText" dxfId="1578" priority="111" operator="containsText" text="ok">
      <formula>NOT(ISERROR(SEARCH("ok",A74)))</formula>
    </cfRule>
  </conditionalFormatting>
  <conditionalFormatting sqref="A38">
    <cfRule type="containsText" dxfId="1577" priority="106" operator="containsText" text="OK">
      <formula>NOT(ISERROR(SEARCH("OK",A38)))</formula>
    </cfRule>
  </conditionalFormatting>
  <conditionalFormatting sqref="A38">
    <cfRule type="containsText" dxfId="1576" priority="105" operator="containsText" text="ok">
      <formula>NOT(ISERROR(SEARCH("ok",A38)))</formula>
    </cfRule>
  </conditionalFormatting>
  <conditionalFormatting sqref="A46">
    <cfRule type="containsText" dxfId="1575" priority="104" operator="containsText" text="OK">
      <formula>NOT(ISERROR(SEARCH("OK",A46)))</formula>
    </cfRule>
  </conditionalFormatting>
  <conditionalFormatting sqref="A46">
    <cfRule type="containsText" dxfId="1574" priority="103" operator="containsText" text="ok">
      <formula>NOT(ISERROR(SEARCH("ok",A46)))</formula>
    </cfRule>
  </conditionalFormatting>
  <conditionalFormatting sqref="A47">
    <cfRule type="containsText" dxfId="1573" priority="102" operator="containsText" text="OK">
      <formula>NOT(ISERROR(SEARCH("OK",A47)))</formula>
    </cfRule>
  </conditionalFormatting>
  <conditionalFormatting sqref="A47">
    <cfRule type="containsText" dxfId="1572" priority="101" operator="containsText" text="ok">
      <formula>NOT(ISERROR(SEARCH("ok",A47)))</formula>
    </cfRule>
  </conditionalFormatting>
  <conditionalFormatting sqref="A68">
    <cfRule type="containsText" dxfId="1571" priority="100" operator="containsText" text="OK">
      <formula>NOT(ISERROR(SEARCH("OK",A68)))</formula>
    </cfRule>
  </conditionalFormatting>
  <conditionalFormatting sqref="A68">
    <cfRule type="containsText" dxfId="1570" priority="99" operator="containsText" text="ok">
      <formula>NOT(ISERROR(SEARCH("ok",A68)))</formula>
    </cfRule>
  </conditionalFormatting>
  <conditionalFormatting sqref="B68">
    <cfRule type="containsText" dxfId="1569" priority="98" operator="containsText" text="OK">
      <formula>NOT(ISERROR(SEARCH("OK",B68)))</formula>
    </cfRule>
  </conditionalFormatting>
  <conditionalFormatting sqref="B68">
    <cfRule type="containsText" dxfId="1568" priority="97" operator="containsText" text="ok">
      <formula>NOT(ISERROR(SEARCH("ok",B68)))</formula>
    </cfRule>
  </conditionalFormatting>
  <conditionalFormatting sqref="A66">
    <cfRule type="containsText" dxfId="1567" priority="96" operator="containsText" text="OK">
      <formula>NOT(ISERROR(SEARCH("OK",A66)))</formula>
    </cfRule>
  </conditionalFormatting>
  <conditionalFormatting sqref="A66">
    <cfRule type="containsText" dxfId="1566" priority="95" operator="containsText" text="ok">
      <formula>NOT(ISERROR(SEARCH("ok",A66)))</formula>
    </cfRule>
  </conditionalFormatting>
  <conditionalFormatting sqref="B66">
    <cfRule type="containsText" dxfId="1565" priority="94" operator="containsText" text="OK">
      <formula>NOT(ISERROR(SEARCH("OK",B66)))</formula>
    </cfRule>
  </conditionalFormatting>
  <conditionalFormatting sqref="B66">
    <cfRule type="containsText" dxfId="1564" priority="93" operator="containsText" text="ok">
      <formula>NOT(ISERROR(SEARCH("ok",B66)))</formula>
    </cfRule>
  </conditionalFormatting>
  <conditionalFormatting sqref="B65">
    <cfRule type="containsText" dxfId="1563" priority="90" operator="containsText" text="OK">
      <formula>NOT(ISERROR(SEARCH("OK",B65)))</formula>
    </cfRule>
  </conditionalFormatting>
  <conditionalFormatting sqref="B65">
    <cfRule type="containsText" dxfId="1562" priority="89" operator="containsText" text="ok">
      <formula>NOT(ISERROR(SEARCH("ok",B65)))</formula>
    </cfRule>
  </conditionalFormatting>
  <conditionalFormatting sqref="A65">
    <cfRule type="containsText" dxfId="1561" priority="92" operator="containsText" text="OK">
      <formula>NOT(ISERROR(SEARCH("OK",A65)))</formula>
    </cfRule>
  </conditionalFormatting>
  <conditionalFormatting sqref="A65">
    <cfRule type="containsText" dxfId="1560" priority="91" operator="containsText" text="ok">
      <formula>NOT(ISERROR(SEARCH("ok",A65)))</formula>
    </cfRule>
  </conditionalFormatting>
  <conditionalFormatting sqref="B67">
    <cfRule type="containsText" dxfId="1559" priority="86" operator="containsText" text="OK">
      <formula>NOT(ISERROR(SEARCH("OK",B67)))</formula>
    </cfRule>
  </conditionalFormatting>
  <conditionalFormatting sqref="B67">
    <cfRule type="containsText" dxfId="1558" priority="85" operator="containsText" text="ok">
      <formula>NOT(ISERROR(SEARCH("ok",B67)))</formula>
    </cfRule>
  </conditionalFormatting>
  <conditionalFormatting sqref="B70">
    <cfRule type="containsText" dxfId="1557" priority="84" operator="containsText" text="OK">
      <formula>NOT(ISERROR(SEARCH("OK",B70)))</formula>
    </cfRule>
  </conditionalFormatting>
  <conditionalFormatting sqref="B70">
    <cfRule type="containsText" dxfId="1556" priority="83" operator="containsText" text="ok">
      <formula>NOT(ISERROR(SEARCH("ok",B70)))</formula>
    </cfRule>
  </conditionalFormatting>
  <conditionalFormatting sqref="A70">
    <cfRule type="containsText" dxfId="1555" priority="82" operator="containsText" text="OK">
      <formula>NOT(ISERROR(SEARCH("OK",A70)))</formula>
    </cfRule>
  </conditionalFormatting>
  <conditionalFormatting sqref="A70">
    <cfRule type="containsText" dxfId="1554" priority="81" operator="containsText" text="ok">
      <formula>NOT(ISERROR(SEARCH("ok",A70)))</formula>
    </cfRule>
  </conditionalFormatting>
  <conditionalFormatting sqref="A71">
    <cfRule type="containsText" dxfId="1553" priority="80" operator="containsText" text="OK">
      <formula>NOT(ISERROR(SEARCH("OK",A71)))</formula>
    </cfRule>
  </conditionalFormatting>
  <conditionalFormatting sqref="A71">
    <cfRule type="containsText" dxfId="1552" priority="79" operator="containsText" text="ok">
      <formula>NOT(ISERROR(SEARCH("ok",A71)))</formula>
    </cfRule>
  </conditionalFormatting>
  <conditionalFormatting sqref="B71">
    <cfRule type="containsText" dxfId="1551" priority="78" operator="containsText" text="OK">
      <formula>NOT(ISERROR(SEARCH("OK",B71)))</formula>
    </cfRule>
  </conditionalFormatting>
  <conditionalFormatting sqref="B71">
    <cfRule type="containsText" dxfId="1550" priority="77" operator="containsText" text="ok">
      <formula>NOT(ISERROR(SEARCH("ok",B71)))</formula>
    </cfRule>
  </conditionalFormatting>
  <conditionalFormatting sqref="A71">
    <cfRule type="containsText" dxfId="1549" priority="76" operator="containsText" text="OK">
      <formula>NOT(ISERROR(SEARCH("OK",A71)))</formula>
    </cfRule>
  </conditionalFormatting>
  <conditionalFormatting sqref="A71">
    <cfRule type="containsText" dxfId="1548" priority="75" operator="containsText" text="ok">
      <formula>NOT(ISERROR(SEARCH("ok",A71)))</formula>
    </cfRule>
  </conditionalFormatting>
  <conditionalFormatting sqref="B71">
    <cfRule type="containsText" dxfId="1547" priority="74" operator="containsText" text="OK">
      <formula>NOT(ISERROR(SEARCH("OK",B71)))</formula>
    </cfRule>
  </conditionalFormatting>
  <conditionalFormatting sqref="B71">
    <cfRule type="containsText" dxfId="1546" priority="73" operator="containsText" text="ok">
      <formula>NOT(ISERROR(SEARCH("ok",B71)))</formula>
    </cfRule>
  </conditionalFormatting>
  <conditionalFormatting sqref="A72">
    <cfRule type="containsText" dxfId="1545" priority="72" operator="containsText" text="OK">
      <formula>NOT(ISERROR(SEARCH("OK",A72)))</formula>
    </cfRule>
  </conditionalFormatting>
  <conditionalFormatting sqref="A72">
    <cfRule type="containsText" dxfId="1544" priority="71" operator="containsText" text="ok">
      <formula>NOT(ISERROR(SEARCH("ok",A72)))</formula>
    </cfRule>
  </conditionalFormatting>
  <conditionalFormatting sqref="B72">
    <cfRule type="containsText" dxfId="1543" priority="70" operator="containsText" text="OK">
      <formula>NOT(ISERROR(SEARCH("OK",B72)))</formula>
    </cfRule>
  </conditionalFormatting>
  <conditionalFormatting sqref="B72">
    <cfRule type="containsText" dxfId="1542" priority="69" operator="containsText" text="ok">
      <formula>NOT(ISERROR(SEARCH("ok",B72)))</formula>
    </cfRule>
  </conditionalFormatting>
  <conditionalFormatting sqref="B73">
    <cfRule type="containsText" dxfId="1541" priority="66" operator="containsText" text="OK">
      <formula>NOT(ISERROR(SEARCH("OK",B73)))</formula>
    </cfRule>
  </conditionalFormatting>
  <conditionalFormatting sqref="B73">
    <cfRule type="containsText" dxfId="1540" priority="65" operator="containsText" text="ok">
      <formula>NOT(ISERROR(SEARCH("ok",B73)))</formula>
    </cfRule>
  </conditionalFormatting>
  <conditionalFormatting sqref="A73">
    <cfRule type="containsText" dxfId="1539" priority="68" operator="containsText" text="OK">
      <formula>NOT(ISERROR(SEARCH("OK",A73)))</formula>
    </cfRule>
  </conditionalFormatting>
  <conditionalFormatting sqref="A73">
    <cfRule type="containsText" dxfId="1538" priority="67" operator="containsText" text="ok">
      <formula>NOT(ISERROR(SEARCH("ok",A73)))</formula>
    </cfRule>
  </conditionalFormatting>
  <conditionalFormatting sqref="A73">
    <cfRule type="containsText" dxfId="1537" priority="64" operator="containsText" text="OK">
      <formula>NOT(ISERROR(SEARCH("OK",A73)))</formula>
    </cfRule>
  </conditionalFormatting>
  <conditionalFormatting sqref="A73">
    <cfRule type="containsText" dxfId="1536" priority="63" operator="containsText" text="ok">
      <formula>NOT(ISERROR(SEARCH("ok",A73)))</formula>
    </cfRule>
  </conditionalFormatting>
  <conditionalFormatting sqref="B73">
    <cfRule type="containsText" dxfId="1535" priority="62" operator="containsText" text="OK">
      <formula>NOT(ISERROR(SEARCH("OK",B73)))</formula>
    </cfRule>
  </conditionalFormatting>
  <conditionalFormatting sqref="B73">
    <cfRule type="containsText" dxfId="1534" priority="61" operator="containsText" text="ok">
      <formula>NOT(ISERROR(SEARCH("ok",B73)))</formula>
    </cfRule>
  </conditionalFormatting>
  <conditionalFormatting sqref="B72">
    <cfRule type="containsText" dxfId="1533" priority="58" operator="containsText" text="OK">
      <formula>NOT(ISERROR(SEARCH("OK",B72)))</formula>
    </cfRule>
  </conditionalFormatting>
  <conditionalFormatting sqref="B72">
    <cfRule type="containsText" dxfId="1532" priority="57" operator="containsText" text="ok">
      <formula>NOT(ISERROR(SEARCH("ok",B72)))</formula>
    </cfRule>
  </conditionalFormatting>
  <conditionalFormatting sqref="A72">
    <cfRule type="containsText" dxfId="1531" priority="60" operator="containsText" text="OK">
      <formula>NOT(ISERROR(SEARCH("OK",A72)))</formula>
    </cfRule>
  </conditionalFormatting>
  <conditionalFormatting sqref="A72">
    <cfRule type="containsText" dxfId="1530" priority="59" operator="containsText" text="ok">
      <formula>NOT(ISERROR(SEARCH("ok",A72)))</formula>
    </cfRule>
  </conditionalFormatting>
  <conditionalFormatting sqref="B4">
    <cfRule type="containsText" dxfId="1529" priority="56" operator="containsText" text="OK">
      <formula>NOT(ISERROR(SEARCH("OK",B4)))</formula>
    </cfRule>
  </conditionalFormatting>
  <conditionalFormatting sqref="B4">
    <cfRule type="containsText" dxfId="1528" priority="55" operator="containsText" text="ok">
      <formula>NOT(ISERROR(SEARCH("ok",B4)))</formula>
    </cfRule>
  </conditionalFormatting>
  <conditionalFormatting sqref="A4 A6 A8 A10 A12 A14">
    <cfRule type="containsText" dxfId="1527" priority="54" operator="containsText" text="OK">
      <formula>NOT(ISERROR(SEARCH("OK",A4)))</formula>
    </cfRule>
  </conditionalFormatting>
  <conditionalFormatting sqref="A4 A6 A8 A10 A12 A14">
    <cfRule type="containsText" dxfId="1526" priority="53" operator="containsText" text="ok">
      <formula>NOT(ISERROR(SEARCH("ok",A4)))</formula>
    </cfRule>
  </conditionalFormatting>
  <conditionalFormatting sqref="A5 A7 A9 A11 A13">
    <cfRule type="containsText" dxfId="1525" priority="52" operator="containsText" text="OK">
      <formula>NOT(ISERROR(SEARCH("OK",A5)))</formula>
    </cfRule>
  </conditionalFormatting>
  <conditionalFormatting sqref="A5 A7 A9 A11 A13">
    <cfRule type="containsText" dxfId="1524" priority="51" operator="containsText" text="ok">
      <formula>NOT(ISERROR(SEARCH("ok",A5)))</formula>
    </cfRule>
  </conditionalFormatting>
  <conditionalFormatting sqref="B5">
    <cfRule type="containsText" dxfId="1523" priority="50" operator="containsText" text="OK">
      <formula>NOT(ISERROR(SEARCH("OK",B5)))</formula>
    </cfRule>
  </conditionalFormatting>
  <conditionalFormatting sqref="B5">
    <cfRule type="containsText" dxfId="1522" priority="49" operator="containsText" text="ok">
      <formula>NOT(ISERROR(SEARCH("ok",B5)))</formula>
    </cfRule>
  </conditionalFormatting>
  <conditionalFormatting sqref="B6">
    <cfRule type="containsText" dxfId="1521" priority="46" operator="containsText" text="OK">
      <formula>NOT(ISERROR(SEARCH("OK",B6)))</formula>
    </cfRule>
  </conditionalFormatting>
  <conditionalFormatting sqref="B6">
    <cfRule type="containsText" dxfId="1520" priority="45" operator="containsText" text="ok">
      <formula>NOT(ISERROR(SEARCH("ok",B6)))</formula>
    </cfRule>
  </conditionalFormatting>
  <conditionalFormatting sqref="B6">
    <cfRule type="containsText" dxfId="1519" priority="42" operator="containsText" text="OK">
      <formula>NOT(ISERROR(SEARCH("OK",B6)))</formula>
    </cfRule>
  </conditionalFormatting>
  <conditionalFormatting sqref="B6">
    <cfRule type="containsText" dxfId="1518" priority="41" operator="containsText" text="ok">
      <formula>NOT(ISERROR(SEARCH("ok",B6)))</formula>
    </cfRule>
  </conditionalFormatting>
  <conditionalFormatting sqref="B5">
    <cfRule type="containsText" dxfId="1517" priority="38" operator="containsText" text="OK">
      <formula>NOT(ISERROR(SEARCH("OK",B5)))</formula>
    </cfRule>
  </conditionalFormatting>
  <conditionalFormatting sqref="B5">
    <cfRule type="containsText" dxfId="1516" priority="37" operator="containsText" text="ok">
      <formula>NOT(ISERROR(SEARCH("ok",B5)))</formula>
    </cfRule>
  </conditionalFormatting>
  <conditionalFormatting sqref="A5 A7 A9 A11 A13">
    <cfRule type="containsText" dxfId="1515" priority="40" operator="containsText" text="OK">
      <formula>NOT(ISERROR(SEARCH("OK",A5)))</formula>
    </cfRule>
  </conditionalFormatting>
  <conditionalFormatting sqref="A5 A7 A9 A11 A13">
    <cfRule type="containsText" dxfId="1514" priority="39" operator="containsText" text="ok">
      <formula>NOT(ISERROR(SEARCH("ok",A5)))</formula>
    </cfRule>
  </conditionalFormatting>
  <conditionalFormatting sqref="A32">
    <cfRule type="containsText" dxfId="1513" priority="34" operator="containsText" text="OK">
      <formula>NOT(ISERROR(SEARCH("OK",A32)))</formula>
    </cfRule>
  </conditionalFormatting>
  <conditionalFormatting sqref="A32">
    <cfRule type="containsText" dxfId="1512" priority="33" operator="containsText" text="ok">
      <formula>NOT(ISERROR(SEARCH("ok",A32)))</formula>
    </cfRule>
  </conditionalFormatting>
  <conditionalFormatting sqref="A33">
    <cfRule type="containsText" dxfId="1511" priority="32" operator="containsText" text="OK">
      <formula>NOT(ISERROR(SEARCH("OK",A33)))</formula>
    </cfRule>
  </conditionalFormatting>
  <conditionalFormatting sqref="A33">
    <cfRule type="containsText" dxfId="1510" priority="31" operator="containsText" text="ok">
      <formula>NOT(ISERROR(SEARCH("ok",A33)))</formula>
    </cfRule>
  </conditionalFormatting>
  <conditionalFormatting sqref="A34">
    <cfRule type="containsText" dxfId="1509" priority="30" operator="containsText" text="OK">
      <formula>NOT(ISERROR(SEARCH("OK",A34)))</formula>
    </cfRule>
  </conditionalFormatting>
  <conditionalFormatting sqref="A34">
    <cfRule type="containsText" dxfId="1508" priority="29" operator="containsText" text="ok">
      <formula>NOT(ISERROR(SEARCH("ok",A34)))</formula>
    </cfRule>
  </conditionalFormatting>
  <conditionalFormatting sqref="A35">
    <cfRule type="containsText" dxfId="1507" priority="28" operator="containsText" text="OK">
      <formula>NOT(ISERROR(SEARCH("OK",A35)))</formula>
    </cfRule>
  </conditionalFormatting>
  <conditionalFormatting sqref="A35">
    <cfRule type="containsText" dxfId="1506" priority="27" operator="containsText" text="ok">
      <formula>NOT(ISERROR(SEARCH("ok",A35)))</formula>
    </cfRule>
  </conditionalFormatting>
  <conditionalFormatting sqref="A36">
    <cfRule type="containsText" dxfId="1505" priority="26" operator="containsText" text="OK">
      <formula>NOT(ISERROR(SEARCH("OK",A36)))</formula>
    </cfRule>
  </conditionalFormatting>
  <conditionalFormatting sqref="A36">
    <cfRule type="containsText" dxfId="1504" priority="25" operator="containsText" text="ok">
      <formula>NOT(ISERROR(SEARCH("ok",A36)))</formula>
    </cfRule>
  </conditionalFormatting>
  <conditionalFormatting sqref="A37">
    <cfRule type="containsText" dxfId="1503" priority="24" operator="containsText" text="OK">
      <formula>NOT(ISERROR(SEARCH("OK",A37)))</formula>
    </cfRule>
  </conditionalFormatting>
  <conditionalFormatting sqref="A37">
    <cfRule type="containsText" dxfId="1502" priority="23" operator="containsText" text="ok">
      <formula>NOT(ISERROR(SEARCH("ok",A37)))</formula>
    </cfRule>
  </conditionalFormatting>
  <conditionalFormatting sqref="A24">
    <cfRule type="containsText" dxfId="1501" priority="22" operator="containsText" text="OK">
      <formula>NOT(ISERROR(SEARCH("OK",A24)))</formula>
    </cfRule>
  </conditionalFormatting>
  <conditionalFormatting sqref="A24">
    <cfRule type="containsText" dxfId="1500" priority="21" operator="containsText" text="ok">
      <formula>NOT(ISERROR(SEARCH("ok",A24)))</formula>
    </cfRule>
  </conditionalFormatting>
  <conditionalFormatting sqref="A31">
    <cfRule type="containsText" dxfId="1499" priority="20" operator="containsText" text="OK">
      <formula>NOT(ISERROR(SEARCH("OK",A31)))</formula>
    </cfRule>
  </conditionalFormatting>
  <conditionalFormatting sqref="A31">
    <cfRule type="containsText" dxfId="1498" priority="19" operator="containsText" text="ok">
      <formula>NOT(ISERROR(SEARCH("ok",A31)))</formula>
    </cfRule>
  </conditionalFormatting>
  <conditionalFormatting sqref="A44">
    <cfRule type="containsText" dxfId="1497" priority="18" operator="containsText" text="OK">
      <formula>NOT(ISERROR(SEARCH("OK",A44)))</formula>
    </cfRule>
  </conditionalFormatting>
  <conditionalFormatting sqref="A44">
    <cfRule type="containsText" dxfId="1496" priority="17" operator="containsText" text="ok">
      <formula>NOT(ISERROR(SEARCH("ok",A44)))</formula>
    </cfRule>
  </conditionalFormatting>
  <conditionalFormatting sqref="A49">
    <cfRule type="containsText" dxfId="1495" priority="16" operator="containsText" text="OK">
      <formula>NOT(ISERROR(SEARCH("OK",A49)))</formula>
    </cfRule>
  </conditionalFormatting>
  <conditionalFormatting sqref="A49">
    <cfRule type="containsText" dxfId="1494" priority="15" operator="containsText" text="ok">
      <formula>NOT(ISERROR(SEARCH("ok",A49)))</formula>
    </cfRule>
  </conditionalFormatting>
  <conditionalFormatting sqref="A52">
    <cfRule type="containsText" dxfId="1493" priority="14" operator="containsText" text="OK">
      <formula>NOT(ISERROR(SEARCH("OK",A52)))</formula>
    </cfRule>
  </conditionalFormatting>
  <conditionalFormatting sqref="A52">
    <cfRule type="containsText" dxfId="1492" priority="13" operator="containsText" text="ok">
      <formula>NOT(ISERROR(SEARCH("ok",A52)))</formula>
    </cfRule>
  </conditionalFormatting>
  <conditionalFormatting sqref="A62">
    <cfRule type="containsText" dxfId="1491" priority="10" operator="containsText" text="OK">
      <formula>NOT(ISERROR(SEARCH("OK",A62)))</formula>
    </cfRule>
  </conditionalFormatting>
  <conditionalFormatting sqref="A62">
    <cfRule type="containsText" dxfId="1490" priority="9" operator="containsText" text="ok">
      <formula>NOT(ISERROR(SEARCH("ok",A62)))</formula>
    </cfRule>
  </conditionalFormatting>
  <conditionalFormatting sqref="A63">
    <cfRule type="containsText" dxfId="1489" priority="8" operator="containsText" text="OK">
      <formula>NOT(ISERROR(SEARCH("OK",A63)))</formula>
    </cfRule>
  </conditionalFormatting>
  <conditionalFormatting sqref="A63">
    <cfRule type="containsText" dxfId="1488" priority="7" operator="containsText" text="ok">
      <formula>NOT(ISERROR(SEARCH("ok",A63)))</formula>
    </cfRule>
  </conditionalFormatting>
  <conditionalFormatting sqref="A64">
    <cfRule type="containsText" dxfId="1487" priority="6" operator="containsText" text="OK">
      <formula>NOT(ISERROR(SEARCH("OK",A64)))</formula>
    </cfRule>
  </conditionalFormatting>
  <conditionalFormatting sqref="A64">
    <cfRule type="containsText" dxfId="1486" priority="5" operator="containsText" text="ok">
      <formula>NOT(ISERROR(SEARCH("ok",A64)))</formula>
    </cfRule>
  </conditionalFormatting>
  <conditionalFormatting sqref="A67">
    <cfRule type="containsText" dxfId="1485" priority="4" operator="containsText" text="OK">
      <formula>NOT(ISERROR(SEARCH("OK",A67)))</formula>
    </cfRule>
  </conditionalFormatting>
  <conditionalFormatting sqref="A67">
    <cfRule type="containsText" dxfId="1484" priority="3" operator="containsText" text="ok">
      <formula>NOT(ISERROR(SEARCH("ok",A67)))</formula>
    </cfRule>
  </conditionalFormatting>
  <conditionalFormatting sqref="A67">
    <cfRule type="containsText" dxfId="1483" priority="2" operator="containsText" text="OK">
      <formula>NOT(ISERROR(SEARCH("OK",A67)))</formula>
    </cfRule>
  </conditionalFormatting>
  <conditionalFormatting sqref="A67">
    <cfRule type="containsText" dxfId="1482" priority="1" operator="containsText" text="ok">
      <formula>NOT(ISERROR(SEARCH("ok",A67)))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33" max="16383" man="1"/>
  </rowBreaks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48434"/>
  <sheetViews>
    <sheetView zoomScale="86" zoomScaleNormal="86" workbookViewId="0">
      <pane xSplit="3" ySplit="3" topLeftCell="D64" activePane="bottomRight" state="frozen"/>
      <selection activeCell="C83" sqref="C83"/>
      <selection pane="topRight" activeCell="C83" sqref="C83"/>
      <selection pane="bottomLeft" activeCell="C83" sqref="C83"/>
      <selection pane="bottomRight" activeCell="E83" sqref="E83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187" customWidth="1"/>
    <col min="4" max="4" width="14.54296875" style="187" bestFit="1" customWidth="1"/>
    <col min="5" max="5" width="13.1796875" style="187" bestFit="1" customWidth="1"/>
    <col min="6" max="6" width="11.54296875" style="5" bestFit="1" customWidth="1"/>
    <col min="7" max="7" width="15.7265625" style="6" bestFit="1" customWidth="1"/>
    <col min="8" max="8" width="8.81640625" style="187" hidden="1" customWidth="1"/>
    <col min="9" max="9" width="13.26953125" style="187" hidden="1" customWidth="1"/>
    <col min="10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187" hidden="1" customWidth="1"/>
    <col min="21" max="21" width="10.26953125" style="7" hidden="1" customWidth="1"/>
    <col min="22" max="22" width="9.81640625" style="187" hidden="1" customWidth="1"/>
    <col min="23" max="23" width="18.81640625" style="187" hidden="1" customWidth="1"/>
    <col min="24" max="24" width="30.26953125" style="187" customWidth="1"/>
    <col min="25" max="25" width="14.7265625" style="187" bestFit="1" customWidth="1"/>
    <col min="26" max="26" width="5" style="187" bestFit="1" customWidth="1"/>
    <col min="27" max="27" width="15.7265625" style="187" bestFit="1" customWidth="1"/>
    <col min="28" max="28" width="14" style="187" bestFit="1" customWidth="1"/>
    <col min="29" max="16384" width="9.1796875" style="187"/>
  </cols>
  <sheetData>
    <row r="1" spans="1:27" x14ac:dyDescent="0.35">
      <c r="A1" s="226" t="s">
        <v>2</v>
      </c>
      <c r="B1" s="192" t="s">
        <v>2</v>
      </c>
      <c r="C1" s="193"/>
      <c r="D1" s="320">
        <f>D102</f>
        <v>185</v>
      </c>
      <c r="E1" s="193"/>
      <c r="F1" s="193"/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19" t="s">
        <v>3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2" t="s">
        <v>16</v>
      </c>
      <c r="X2" s="718" t="s">
        <v>16</v>
      </c>
    </row>
    <row r="3" spans="1:27" ht="29.5" thickBot="1" x14ac:dyDescent="0.4">
      <c r="A3" s="717"/>
      <c r="B3" s="719"/>
      <c r="C3" s="719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2"/>
      <c r="X3" s="718"/>
      <c r="Y3" s="8"/>
    </row>
    <row r="4" spans="1:27" ht="15" customHeight="1" x14ac:dyDescent="0.35">
      <c r="A4" s="245"/>
      <c r="B4" s="246"/>
      <c r="C4" s="212"/>
      <c r="D4" s="15"/>
      <c r="E4" s="15"/>
      <c r="F4" s="9">
        <v>850</v>
      </c>
      <c r="G4" s="29">
        <f t="shared" ref="G4:G69" si="0">(F4*D4)+(E4*F4)</f>
        <v>0</v>
      </c>
      <c r="H4" s="11"/>
      <c r="I4" s="10"/>
      <c r="J4" s="29">
        <f t="shared" ref="J4:J69" si="1">H4*I4</f>
        <v>0</v>
      </c>
      <c r="K4" s="29"/>
      <c r="L4" s="223">
        <f>(J4+G4)-K4</f>
        <v>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>IF(O4&gt;0,SUM(O4-(L4+P4))," ")</f>
        <v xml:space="preserve"> </v>
      </c>
      <c r="S4" s="189"/>
      <c r="T4" s="253" t="s">
        <v>1</v>
      </c>
      <c r="U4" s="13">
        <v>0</v>
      </c>
      <c r="V4" s="253" t="s">
        <v>10</v>
      </c>
      <c r="W4" s="253"/>
      <c r="X4" s="14"/>
    </row>
    <row r="5" spans="1:27" ht="15" customHeight="1" x14ac:dyDescent="0.35">
      <c r="A5" s="245"/>
      <c r="B5" s="246"/>
      <c r="C5" s="212"/>
      <c r="D5" s="15"/>
      <c r="E5" s="15"/>
      <c r="F5" s="9">
        <v>850</v>
      </c>
      <c r="G5" s="29">
        <f t="shared" si="0"/>
        <v>0</v>
      </c>
      <c r="H5" s="11"/>
      <c r="I5" s="10"/>
      <c r="J5" s="29">
        <f t="shared" si="1"/>
        <v>0</v>
      </c>
      <c r="K5" s="29"/>
      <c r="L5" s="223">
        <f t="shared" ref="L5:L70" si="2">(J5+G5)-K5</f>
        <v>0</v>
      </c>
      <c r="M5" s="12"/>
      <c r="N5" s="218" t="str">
        <f t="shared" ref="N5:N63" si="3">IF(M5&gt;0,SUM(L5-M5)," ")</f>
        <v xml:space="preserve"> </v>
      </c>
      <c r="O5" s="189"/>
      <c r="P5" s="189"/>
      <c r="Q5" s="189"/>
      <c r="R5" s="189" t="str">
        <f t="shared" ref="R5:R100" si="4">IF(O5&gt;0,SUM(O5-(L5+P5))," ")</f>
        <v xml:space="preserve"> </v>
      </c>
      <c r="S5" s="189"/>
      <c r="T5" s="253" t="s">
        <v>1</v>
      </c>
      <c r="U5" s="13">
        <v>0</v>
      </c>
      <c r="V5" s="253" t="s">
        <v>10</v>
      </c>
      <c r="W5" s="253"/>
      <c r="X5" s="14"/>
    </row>
    <row r="6" spans="1:27" ht="15" customHeight="1" x14ac:dyDescent="0.35">
      <c r="A6" s="245"/>
      <c r="B6" s="246"/>
      <c r="C6" s="211"/>
      <c r="D6" s="15"/>
      <c r="E6" s="15"/>
      <c r="F6" s="9">
        <v>880</v>
      </c>
      <c r="G6" s="29">
        <f t="shared" si="0"/>
        <v>0</v>
      </c>
      <c r="H6" s="11"/>
      <c r="I6" s="10"/>
      <c r="J6" s="29">
        <f t="shared" si="1"/>
        <v>0</v>
      </c>
      <c r="K6" s="29"/>
      <c r="L6" s="223">
        <f t="shared" si="2"/>
        <v>0</v>
      </c>
      <c r="M6" s="213"/>
      <c r="N6" s="218" t="str">
        <f t="shared" si="3"/>
        <v xml:space="preserve"> </v>
      </c>
      <c r="O6" s="189"/>
      <c r="P6" s="189"/>
      <c r="Q6" s="189"/>
      <c r="R6" s="189" t="str">
        <f t="shared" si="4"/>
        <v xml:space="preserve"> </v>
      </c>
      <c r="S6" s="189"/>
      <c r="T6" s="253" t="s">
        <v>1</v>
      </c>
      <c r="U6" s="13">
        <v>0</v>
      </c>
      <c r="V6" s="253" t="s">
        <v>10</v>
      </c>
      <c r="W6" s="253"/>
      <c r="X6" s="17"/>
    </row>
    <row r="7" spans="1:27" ht="15" customHeight="1" x14ac:dyDescent="0.35">
      <c r="A7" s="245"/>
      <c r="B7" s="245"/>
      <c r="C7" s="211"/>
      <c r="D7" s="15"/>
      <c r="E7" s="15"/>
      <c r="F7" s="9">
        <v>880</v>
      </c>
      <c r="G7" s="29">
        <f t="shared" si="0"/>
        <v>0</v>
      </c>
      <c r="H7" s="11"/>
      <c r="I7" s="10"/>
      <c r="J7" s="29">
        <f t="shared" si="1"/>
        <v>0</v>
      </c>
      <c r="K7" s="29"/>
      <c r="L7" s="223">
        <f t="shared" si="2"/>
        <v>0</v>
      </c>
      <c r="M7" s="12"/>
      <c r="N7" s="218" t="str">
        <f t="shared" si="3"/>
        <v xml:space="preserve"> </v>
      </c>
      <c r="O7" s="189"/>
      <c r="P7" s="189"/>
      <c r="Q7" s="189"/>
      <c r="R7" s="189" t="str">
        <f t="shared" si="4"/>
        <v xml:space="preserve"> </v>
      </c>
      <c r="S7" s="189"/>
      <c r="T7" s="253" t="s">
        <v>1</v>
      </c>
      <c r="U7" s="13">
        <v>0</v>
      </c>
      <c r="V7" s="253" t="s">
        <v>10</v>
      </c>
      <c r="W7" s="253"/>
      <c r="X7" s="16"/>
    </row>
    <row r="8" spans="1:27" ht="15" customHeight="1" x14ac:dyDescent="0.35">
      <c r="A8" s="245"/>
      <c r="B8" s="245"/>
      <c r="C8" s="211"/>
      <c r="D8" s="15"/>
      <c r="E8" s="15"/>
      <c r="F8" s="9">
        <v>850</v>
      </c>
      <c r="G8" s="29">
        <f t="shared" si="0"/>
        <v>0</v>
      </c>
      <c r="H8" s="11"/>
      <c r="I8" s="10"/>
      <c r="J8" s="29">
        <f t="shared" si="1"/>
        <v>0</v>
      </c>
      <c r="K8" s="29"/>
      <c r="L8" s="223">
        <f t="shared" si="2"/>
        <v>0</v>
      </c>
      <c r="M8" s="12"/>
      <c r="N8" s="218" t="str">
        <f t="shared" si="3"/>
        <v xml:space="preserve"> </v>
      </c>
      <c r="O8" s="189">
        <v>1400</v>
      </c>
      <c r="P8" s="189"/>
      <c r="Q8" s="189"/>
      <c r="R8" s="189">
        <f t="shared" si="4"/>
        <v>1400</v>
      </c>
      <c r="S8" s="189"/>
      <c r="T8" s="253" t="s">
        <v>83</v>
      </c>
      <c r="U8" s="13">
        <v>0</v>
      </c>
      <c r="V8" s="253" t="s">
        <v>10</v>
      </c>
      <c r="W8" s="253" t="s">
        <v>84</v>
      </c>
      <c r="X8" s="16"/>
      <c r="Y8" s="187" t="s">
        <v>0</v>
      </c>
      <c r="Z8" s="187" t="s">
        <v>8</v>
      </c>
      <c r="AA8" s="249">
        <f>G101</f>
        <v>154510</v>
      </c>
    </row>
    <row r="9" spans="1:27" ht="15" customHeight="1" x14ac:dyDescent="0.35">
      <c r="A9" s="245"/>
      <c r="B9" s="245"/>
      <c r="C9" s="212"/>
      <c r="D9" s="15"/>
      <c r="E9" s="15"/>
      <c r="F9" s="9">
        <v>860</v>
      </c>
      <c r="G9" s="29">
        <f t="shared" si="0"/>
        <v>0</v>
      </c>
      <c r="H9" s="11"/>
      <c r="I9" s="10"/>
      <c r="J9" s="29">
        <f t="shared" si="1"/>
        <v>0</v>
      </c>
      <c r="K9" s="29"/>
      <c r="L9" s="223">
        <f t="shared" si="2"/>
        <v>0</v>
      </c>
      <c r="M9" s="12"/>
      <c r="N9" s="218" t="str">
        <f t="shared" si="3"/>
        <v xml:space="preserve"> </v>
      </c>
      <c r="O9" s="189"/>
      <c r="P9" s="189"/>
      <c r="Q9" s="189"/>
      <c r="R9" s="189" t="str">
        <f t="shared" si="4"/>
        <v xml:space="preserve"> </v>
      </c>
      <c r="S9" s="189"/>
      <c r="T9" s="18" t="s">
        <v>1</v>
      </c>
      <c r="U9" s="13">
        <v>0</v>
      </c>
      <c r="V9" s="253" t="s">
        <v>10</v>
      </c>
      <c r="W9" s="253"/>
      <c r="X9" s="16"/>
      <c r="Y9" s="187">
        <v>720</v>
      </c>
      <c r="AA9" s="191">
        <f>Y9*Z9</f>
        <v>0</v>
      </c>
    </row>
    <row r="10" spans="1:27" ht="15" customHeight="1" x14ac:dyDescent="0.35">
      <c r="A10" s="245"/>
      <c r="B10" s="245"/>
      <c r="C10" s="212"/>
      <c r="D10" s="15"/>
      <c r="E10" s="15"/>
      <c r="F10" s="9">
        <v>880</v>
      </c>
      <c r="G10" s="29">
        <f t="shared" si="0"/>
        <v>0</v>
      </c>
      <c r="H10" s="11"/>
      <c r="I10" s="10"/>
      <c r="J10" s="29">
        <f t="shared" si="1"/>
        <v>0</v>
      </c>
      <c r="K10" s="29"/>
      <c r="L10" s="223">
        <f t="shared" si="2"/>
        <v>0</v>
      </c>
      <c r="M10" s="12"/>
      <c r="N10" s="218" t="str">
        <f t="shared" si="3"/>
        <v xml:space="preserve"> </v>
      </c>
      <c r="O10" s="189"/>
      <c r="P10" s="189"/>
      <c r="Q10" s="189"/>
      <c r="R10" s="189" t="str">
        <f t="shared" si="4"/>
        <v xml:space="preserve"> </v>
      </c>
      <c r="S10" s="189"/>
      <c r="T10" s="18" t="s">
        <v>1</v>
      </c>
      <c r="U10" s="13">
        <v>0</v>
      </c>
      <c r="V10" s="253" t="s">
        <v>10</v>
      </c>
      <c r="W10" s="253"/>
      <c r="X10" s="16"/>
      <c r="Y10" s="187">
        <v>750</v>
      </c>
      <c r="AA10" s="191">
        <f>Y10*Z10</f>
        <v>0</v>
      </c>
    </row>
    <row r="11" spans="1:27" ht="15" customHeight="1" x14ac:dyDescent="0.35">
      <c r="A11" s="245">
        <v>45078</v>
      </c>
      <c r="B11" s="245"/>
      <c r="C11" s="212" t="s">
        <v>416</v>
      </c>
      <c r="D11" s="15"/>
      <c r="E11" s="15">
        <v>1</v>
      </c>
      <c r="F11" s="9">
        <v>850</v>
      </c>
      <c r="G11" s="29">
        <f t="shared" si="0"/>
        <v>850</v>
      </c>
      <c r="H11" s="11"/>
      <c r="I11" s="10"/>
      <c r="J11" s="29">
        <f t="shared" si="1"/>
        <v>0</v>
      </c>
      <c r="K11" s="29"/>
      <c r="L11" s="223">
        <f t="shared" si="2"/>
        <v>850</v>
      </c>
      <c r="M11" s="213"/>
      <c r="N11" s="218" t="str">
        <f t="shared" si="3"/>
        <v xml:space="preserve"> </v>
      </c>
      <c r="O11" s="189"/>
      <c r="P11" s="189"/>
      <c r="Q11" s="189"/>
      <c r="R11" s="189" t="str">
        <f t="shared" si="4"/>
        <v xml:space="preserve"> </v>
      </c>
      <c r="S11" s="189"/>
      <c r="T11" s="18" t="s">
        <v>1</v>
      </c>
      <c r="U11" s="13">
        <v>0</v>
      </c>
      <c r="V11" s="253" t="s">
        <v>10</v>
      </c>
      <c r="W11" s="253"/>
      <c r="X11" s="16"/>
      <c r="Y11" s="187">
        <v>780</v>
      </c>
      <c r="AA11" s="191">
        <f>Y11*Z11</f>
        <v>0</v>
      </c>
    </row>
    <row r="12" spans="1:27" ht="15" customHeight="1" x14ac:dyDescent="0.35">
      <c r="A12" s="246">
        <v>45078</v>
      </c>
      <c r="B12" s="245"/>
      <c r="C12" s="212" t="s">
        <v>330</v>
      </c>
      <c r="D12" s="15"/>
      <c r="E12" s="15">
        <v>2</v>
      </c>
      <c r="F12" s="9">
        <v>860</v>
      </c>
      <c r="G12" s="29">
        <f t="shared" si="0"/>
        <v>1720</v>
      </c>
      <c r="H12" s="11"/>
      <c r="I12" s="10"/>
      <c r="J12" s="29">
        <f t="shared" si="1"/>
        <v>0</v>
      </c>
      <c r="K12" s="29"/>
      <c r="L12" s="223">
        <f t="shared" si="2"/>
        <v>1720</v>
      </c>
      <c r="M12" s="12"/>
      <c r="N12" s="218" t="str">
        <f t="shared" si="3"/>
        <v xml:space="preserve"> </v>
      </c>
      <c r="O12" s="189"/>
      <c r="P12" s="189"/>
      <c r="Q12" s="189"/>
      <c r="R12" s="189" t="str">
        <f t="shared" si="4"/>
        <v xml:space="preserve"> </v>
      </c>
      <c r="S12" s="189"/>
      <c r="T12" s="253" t="s">
        <v>1</v>
      </c>
      <c r="U12" s="13">
        <v>0</v>
      </c>
      <c r="V12" s="253" t="s">
        <v>10</v>
      </c>
      <c r="W12" s="253"/>
      <c r="X12" s="17"/>
      <c r="Y12" s="187">
        <v>800</v>
      </c>
      <c r="AA12" s="191">
        <f>Y12*Z12</f>
        <v>0</v>
      </c>
    </row>
    <row r="13" spans="1:27" ht="15" customHeight="1" x14ac:dyDescent="0.35">
      <c r="A13" s="246">
        <v>45078</v>
      </c>
      <c r="B13" s="245"/>
      <c r="C13" s="212" t="s">
        <v>296</v>
      </c>
      <c r="D13" s="15">
        <v>4</v>
      </c>
      <c r="E13" s="15"/>
      <c r="F13" s="9">
        <v>880</v>
      </c>
      <c r="G13" s="29">
        <f t="shared" si="0"/>
        <v>3520</v>
      </c>
      <c r="H13" s="11"/>
      <c r="I13" s="10"/>
      <c r="J13" s="29">
        <f t="shared" si="1"/>
        <v>0</v>
      </c>
      <c r="K13" s="29"/>
      <c r="L13" s="223">
        <f t="shared" si="2"/>
        <v>3520</v>
      </c>
      <c r="M13" s="213"/>
      <c r="N13" s="218" t="str">
        <f t="shared" si="3"/>
        <v xml:space="preserve"> </v>
      </c>
      <c r="O13" s="189">
        <v>440</v>
      </c>
      <c r="P13" s="189"/>
      <c r="Q13" s="189"/>
      <c r="R13" s="189">
        <f t="shared" si="4"/>
        <v>-3080</v>
      </c>
      <c r="S13" s="189">
        <f>P13-Q13</f>
        <v>0</v>
      </c>
      <c r="T13" s="253" t="s">
        <v>1</v>
      </c>
      <c r="U13" s="13">
        <v>30</v>
      </c>
      <c r="V13" s="253" t="s">
        <v>10</v>
      </c>
      <c r="W13" s="253" t="s">
        <v>92</v>
      </c>
      <c r="X13" s="16"/>
      <c r="AA13" s="251">
        <f>AA8-(SUM(AA9:AA12))</f>
        <v>154510</v>
      </c>
    </row>
    <row r="14" spans="1:27" ht="15" customHeight="1" x14ac:dyDescent="0.35">
      <c r="A14" s="246">
        <v>45078</v>
      </c>
      <c r="B14" s="245"/>
      <c r="C14" s="212" t="s">
        <v>337</v>
      </c>
      <c r="D14" s="15">
        <v>10</v>
      </c>
      <c r="E14" s="15"/>
      <c r="F14" s="9">
        <v>830</v>
      </c>
      <c r="G14" s="29">
        <f t="shared" si="0"/>
        <v>8300</v>
      </c>
      <c r="H14" s="11"/>
      <c r="I14" s="10"/>
      <c r="J14" s="29">
        <f t="shared" si="1"/>
        <v>0</v>
      </c>
      <c r="K14" s="29"/>
      <c r="L14" s="223">
        <f t="shared" si="2"/>
        <v>8300</v>
      </c>
      <c r="M14" s="12"/>
      <c r="N14" s="218" t="str">
        <f t="shared" si="3"/>
        <v xml:space="preserve"> </v>
      </c>
      <c r="O14" s="190"/>
      <c r="P14" s="190"/>
      <c r="Q14" s="190"/>
      <c r="R14" s="189" t="str">
        <f t="shared" si="4"/>
        <v xml:space="preserve"> </v>
      </c>
      <c r="S14" s="190"/>
      <c r="T14" s="253"/>
      <c r="U14" s="19"/>
      <c r="V14" s="253"/>
      <c r="W14" s="253"/>
      <c r="X14" s="16"/>
    </row>
    <row r="15" spans="1:27" ht="15" customHeight="1" x14ac:dyDescent="0.35">
      <c r="A15" s="246">
        <v>45079</v>
      </c>
      <c r="B15" s="245"/>
      <c r="C15" s="212" t="s">
        <v>415</v>
      </c>
      <c r="D15" s="15">
        <v>3</v>
      </c>
      <c r="E15" s="15"/>
      <c r="F15" s="9">
        <v>850</v>
      </c>
      <c r="G15" s="29">
        <f t="shared" si="0"/>
        <v>2550</v>
      </c>
      <c r="H15" s="11"/>
      <c r="I15" s="10"/>
      <c r="J15" s="29">
        <f t="shared" si="1"/>
        <v>0</v>
      </c>
      <c r="K15" s="29"/>
      <c r="L15" s="223">
        <f t="shared" si="2"/>
        <v>2550</v>
      </c>
      <c r="M15" s="12"/>
      <c r="N15" s="218" t="str">
        <f t="shared" si="3"/>
        <v xml:space="preserve"> </v>
      </c>
      <c r="O15" s="190"/>
      <c r="P15" s="190"/>
      <c r="Q15" s="190"/>
      <c r="R15" s="189" t="str">
        <f t="shared" si="4"/>
        <v xml:space="preserve"> </v>
      </c>
      <c r="S15" s="190"/>
      <c r="T15" s="253"/>
      <c r="U15" s="19"/>
      <c r="V15" s="253"/>
      <c r="W15" s="253"/>
      <c r="X15" s="16"/>
    </row>
    <row r="16" spans="1:27" ht="15" customHeight="1" x14ac:dyDescent="0.35">
      <c r="A16" s="246">
        <v>45079</v>
      </c>
      <c r="B16" s="245"/>
      <c r="C16" s="212" t="s">
        <v>153</v>
      </c>
      <c r="D16" s="15">
        <v>1</v>
      </c>
      <c r="E16" s="15"/>
      <c r="F16" s="9">
        <v>880</v>
      </c>
      <c r="G16" s="29">
        <f t="shared" si="0"/>
        <v>880</v>
      </c>
      <c r="H16" s="11"/>
      <c r="I16" s="10"/>
      <c r="J16" s="29">
        <f t="shared" si="1"/>
        <v>0</v>
      </c>
      <c r="K16" s="29"/>
      <c r="L16" s="223">
        <f t="shared" si="2"/>
        <v>880</v>
      </c>
      <c r="M16" s="12"/>
      <c r="N16" s="218" t="str">
        <f t="shared" si="3"/>
        <v xml:space="preserve"> </v>
      </c>
      <c r="O16" s="189"/>
      <c r="P16" s="189"/>
      <c r="Q16" s="189"/>
      <c r="R16" s="189" t="str">
        <f t="shared" si="4"/>
        <v xml:space="preserve"> </v>
      </c>
      <c r="S16" s="189"/>
      <c r="T16" s="253"/>
      <c r="U16" s="13"/>
      <c r="V16" s="253"/>
      <c r="W16" s="253"/>
      <c r="X16" s="16"/>
    </row>
    <row r="17" spans="1:24" ht="15" customHeight="1" x14ac:dyDescent="0.35">
      <c r="A17" s="246">
        <v>45079</v>
      </c>
      <c r="B17" s="245"/>
      <c r="C17" s="212" t="s">
        <v>323</v>
      </c>
      <c r="D17" s="15">
        <v>1</v>
      </c>
      <c r="E17" s="15"/>
      <c r="F17" s="9">
        <v>880</v>
      </c>
      <c r="G17" s="29">
        <f>(F17*D17)+(E17*F17)</f>
        <v>880</v>
      </c>
      <c r="H17" s="11"/>
      <c r="I17" s="10"/>
      <c r="J17" s="29">
        <f>H17*I17</f>
        <v>0</v>
      </c>
      <c r="K17" s="29"/>
      <c r="L17" s="223">
        <f>(J17+G17)-K17</f>
        <v>880</v>
      </c>
      <c r="M17" s="12"/>
      <c r="N17" s="218"/>
      <c r="O17" s="189"/>
      <c r="P17" s="189"/>
      <c r="Q17" s="189"/>
      <c r="R17" s="189"/>
      <c r="S17" s="189"/>
      <c r="T17" s="297"/>
      <c r="U17" s="13"/>
      <c r="V17" s="297"/>
      <c r="W17" s="297"/>
      <c r="X17" s="16"/>
    </row>
    <row r="18" spans="1:24" ht="15" customHeight="1" x14ac:dyDescent="0.35">
      <c r="A18" s="246">
        <v>45079</v>
      </c>
      <c r="B18" s="245"/>
      <c r="C18" s="212" t="s">
        <v>322</v>
      </c>
      <c r="D18" s="15">
        <v>2</v>
      </c>
      <c r="E18" s="15"/>
      <c r="F18" s="9">
        <v>900</v>
      </c>
      <c r="G18" s="29">
        <f t="shared" si="0"/>
        <v>1800</v>
      </c>
      <c r="H18" s="11"/>
      <c r="I18" s="10"/>
      <c r="J18" s="29">
        <f t="shared" si="1"/>
        <v>0</v>
      </c>
      <c r="K18" s="29"/>
      <c r="L18" s="223">
        <f t="shared" si="2"/>
        <v>1800</v>
      </c>
      <c r="M18" s="223"/>
      <c r="N18" s="218" t="str">
        <f t="shared" si="3"/>
        <v xml:space="preserve"> </v>
      </c>
      <c r="O18" s="189"/>
      <c r="P18" s="189"/>
      <c r="Q18" s="189"/>
      <c r="R18" s="189" t="str">
        <f t="shared" si="4"/>
        <v xml:space="preserve"> </v>
      </c>
      <c r="S18" s="189"/>
      <c r="T18" s="253"/>
      <c r="U18" s="13"/>
      <c r="V18" s="253"/>
      <c r="W18" s="253"/>
      <c r="X18" s="16"/>
    </row>
    <row r="19" spans="1:24" ht="15" customHeight="1" x14ac:dyDescent="0.35">
      <c r="A19" s="245">
        <v>45080</v>
      </c>
      <c r="B19" s="245"/>
      <c r="C19" s="212" t="s">
        <v>321</v>
      </c>
      <c r="D19" s="15">
        <v>2</v>
      </c>
      <c r="E19" s="15"/>
      <c r="F19" s="9">
        <v>880</v>
      </c>
      <c r="G19" s="29">
        <f t="shared" si="0"/>
        <v>1760</v>
      </c>
      <c r="H19" s="11"/>
      <c r="I19" s="10"/>
      <c r="J19" s="29">
        <f t="shared" si="1"/>
        <v>0</v>
      </c>
      <c r="K19" s="29"/>
      <c r="L19" s="223">
        <f t="shared" si="2"/>
        <v>1760</v>
      </c>
      <c r="M19" s="213"/>
      <c r="N19" s="218" t="str">
        <f t="shared" si="3"/>
        <v xml:space="preserve"> </v>
      </c>
      <c r="O19" s="189"/>
      <c r="P19" s="189"/>
      <c r="Q19" s="189"/>
      <c r="R19" s="189" t="str">
        <f t="shared" si="4"/>
        <v xml:space="preserve"> </v>
      </c>
      <c r="S19" s="189"/>
      <c r="T19" s="253"/>
      <c r="U19" s="13"/>
      <c r="V19" s="253"/>
      <c r="W19" s="253"/>
      <c r="X19" s="16"/>
    </row>
    <row r="20" spans="1:24" ht="15" customHeight="1" x14ac:dyDescent="0.35">
      <c r="A20" s="245">
        <v>45082</v>
      </c>
      <c r="B20" s="245"/>
      <c r="C20" s="212" t="s">
        <v>279</v>
      </c>
      <c r="D20" s="15">
        <v>2</v>
      </c>
      <c r="E20" s="15"/>
      <c r="F20" s="9">
        <v>800</v>
      </c>
      <c r="G20" s="29">
        <f t="shared" si="0"/>
        <v>1600</v>
      </c>
      <c r="H20" s="11"/>
      <c r="I20" s="10"/>
      <c r="J20" s="29">
        <f t="shared" si="1"/>
        <v>0</v>
      </c>
      <c r="K20" s="29"/>
      <c r="L20" s="223">
        <f t="shared" si="2"/>
        <v>1600</v>
      </c>
      <c r="M20" s="223"/>
      <c r="N20" s="218" t="str">
        <f t="shared" si="3"/>
        <v xml:space="preserve"> </v>
      </c>
      <c r="O20" s="189"/>
      <c r="P20" s="189"/>
      <c r="Q20" s="189"/>
      <c r="R20" s="189" t="str">
        <f t="shared" si="4"/>
        <v xml:space="preserve"> </v>
      </c>
      <c r="S20" s="189"/>
      <c r="T20" s="253"/>
      <c r="U20" s="13"/>
      <c r="V20" s="253"/>
      <c r="W20" s="253"/>
      <c r="X20" s="16"/>
    </row>
    <row r="21" spans="1:24" ht="15" customHeight="1" x14ac:dyDescent="0.35">
      <c r="A21" s="245">
        <v>45082</v>
      </c>
      <c r="B21" s="245"/>
      <c r="C21" s="212" t="s">
        <v>153</v>
      </c>
      <c r="D21" s="15">
        <v>1</v>
      </c>
      <c r="E21" s="15"/>
      <c r="F21" s="9">
        <v>880</v>
      </c>
      <c r="G21" s="29">
        <f>(F21*D21)+(E21*F21)</f>
        <v>880</v>
      </c>
      <c r="H21" s="11"/>
      <c r="I21" s="10"/>
      <c r="J21" s="29">
        <f>H21*I21</f>
        <v>0</v>
      </c>
      <c r="K21" s="29"/>
      <c r="L21" s="223">
        <f>(J21+G21)-K21</f>
        <v>880</v>
      </c>
      <c r="M21" s="12"/>
      <c r="N21" s="218" t="str">
        <f>IF(M21&gt;0,SUM(L21-M21)," ")</f>
        <v xml:space="preserve"> </v>
      </c>
      <c r="O21" s="189"/>
      <c r="P21" s="189"/>
      <c r="Q21" s="189"/>
      <c r="R21" s="189" t="str">
        <f>IF(O21&gt;0,SUM(O21-(L21+P21))," ")</f>
        <v xml:space="preserve"> </v>
      </c>
      <c r="S21" s="189"/>
      <c r="T21" s="297"/>
      <c r="U21" s="13"/>
      <c r="V21" s="297"/>
      <c r="W21" s="297"/>
      <c r="X21" s="16"/>
    </row>
    <row r="22" spans="1:24" ht="15" customHeight="1" x14ac:dyDescent="0.35">
      <c r="A22" s="245">
        <v>45083</v>
      </c>
      <c r="B22" s="245"/>
      <c r="C22" s="212" t="s">
        <v>321</v>
      </c>
      <c r="D22" s="15">
        <v>1</v>
      </c>
      <c r="E22" s="15"/>
      <c r="F22" s="9">
        <v>880</v>
      </c>
      <c r="G22" s="29">
        <f t="shared" si="0"/>
        <v>880</v>
      </c>
      <c r="H22" s="11"/>
      <c r="I22" s="10"/>
      <c r="J22" s="29">
        <f t="shared" si="1"/>
        <v>0</v>
      </c>
      <c r="K22" s="29"/>
      <c r="L22" s="223">
        <f t="shared" si="2"/>
        <v>880</v>
      </c>
      <c r="M22" s="12"/>
      <c r="N22" s="218" t="str">
        <f t="shared" si="3"/>
        <v xml:space="preserve"> </v>
      </c>
      <c r="O22" s="189"/>
      <c r="P22" s="189"/>
      <c r="Q22" s="189"/>
      <c r="R22" s="189" t="str">
        <f t="shared" si="4"/>
        <v xml:space="preserve"> </v>
      </c>
      <c r="S22" s="189"/>
      <c r="T22" s="253"/>
      <c r="U22" s="13"/>
      <c r="V22" s="253"/>
      <c r="W22" s="253"/>
      <c r="X22" s="16"/>
    </row>
    <row r="23" spans="1:24" ht="15" customHeight="1" x14ac:dyDescent="0.35">
      <c r="A23" s="245">
        <v>45084</v>
      </c>
      <c r="B23" s="245"/>
      <c r="C23" s="212" t="s">
        <v>323</v>
      </c>
      <c r="D23" s="15">
        <v>1</v>
      </c>
      <c r="E23" s="15"/>
      <c r="F23" s="9">
        <v>880</v>
      </c>
      <c r="G23" s="29">
        <f t="shared" si="0"/>
        <v>880</v>
      </c>
      <c r="H23" s="11"/>
      <c r="I23" s="10"/>
      <c r="J23" s="29">
        <f t="shared" si="1"/>
        <v>0</v>
      </c>
      <c r="K23" s="29"/>
      <c r="L23" s="223">
        <f t="shared" si="2"/>
        <v>880</v>
      </c>
      <c r="M23" s="12"/>
      <c r="N23" s="218" t="str">
        <f t="shared" si="3"/>
        <v xml:space="preserve"> </v>
      </c>
      <c r="O23" s="189"/>
      <c r="P23" s="189"/>
      <c r="Q23" s="189"/>
      <c r="R23" s="189" t="str">
        <f t="shared" si="4"/>
        <v xml:space="preserve"> </v>
      </c>
      <c r="S23" s="189"/>
      <c r="T23" s="253"/>
      <c r="U23" s="13"/>
      <c r="V23" s="253"/>
      <c r="W23" s="253"/>
      <c r="X23" s="16"/>
    </row>
    <row r="24" spans="1:24" ht="15" customHeight="1" x14ac:dyDescent="0.35">
      <c r="A24" s="245">
        <v>45084</v>
      </c>
      <c r="B24" s="245"/>
      <c r="C24" s="212" t="s">
        <v>152</v>
      </c>
      <c r="D24" s="15">
        <v>8</v>
      </c>
      <c r="E24" s="15"/>
      <c r="F24" s="9">
        <v>830</v>
      </c>
      <c r="G24" s="29">
        <f t="shared" si="0"/>
        <v>6640</v>
      </c>
      <c r="H24" s="11"/>
      <c r="I24" s="10"/>
      <c r="J24" s="29">
        <f t="shared" si="1"/>
        <v>0</v>
      </c>
      <c r="K24" s="29"/>
      <c r="L24" s="223">
        <f t="shared" si="2"/>
        <v>6640</v>
      </c>
      <c r="M24" s="12"/>
      <c r="N24" s="218" t="str">
        <f t="shared" si="3"/>
        <v xml:space="preserve"> </v>
      </c>
      <c r="O24" s="189"/>
      <c r="P24" s="189"/>
      <c r="Q24" s="189"/>
      <c r="R24" s="189" t="str">
        <f t="shared" si="4"/>
        <v xml:space="preserve"> </v>
      </c>
      <c r="S24" s="189"/>
      <c r="T24" s="253"/>
      <c r="U24" s="13"/>
      <c r="V24" s="253"/>
      <c r="W24" s="253"/>
      <c r="X24" s="16"/>
    </row>
    <row r="25" spans="1:24" ht="15" customHeight="1" x14ac:dyDescent="0.35">
      <c r="A25" s="245">
        <v>45084</v>
      </c>
      <c r="B25" s="245"/>
      <c r="C25" s="212" t="s">
        <v>296</v>
      </c>
      <c r="D25" s="15"/>
      <c r="E25" s="15">
        <v>4</v>
      </c>
      <c r="F25" s="9">
        <v>880</v>
      </c>
      <c r="G25" s="29">
        <f t="shared" si="0"/>
        <v>3520</v>
      </c>
      <c r="H25" s="11"/>
      <c r="I25" s="10"/>
      <c r="J25" s="29">
        <f t="shared" si="1"/>
        <v>0</v>
      </c>
      <c r="K25" s="29"/>
      <c r="L25" s="223">
        <f t="shared" si="2"/>
        <v>3520</v>
      </c>
      <c r="M25" s="12"/>
      <c r="N25" s="218" t="str">
        <f t="shared" si="3"/>
        <v xml:space="preserve"> </v>
      </c>
      <c r="O25" s="189"/>
      <c r="P25" s="189"/>
      <c r="Q25" s="189"/>
      <c r="R25" s="189" t="str">
        <f t="shared" si="4"/>
        <v xml:space="preserve"> </v>
      </c>
      <c r="S25" s="189"/>
      <c r="T25" s="253"/>
      <c r="U25" s="13"/>
      <c r="V25" s="253"/>
      <c r="W25" s="253"/>
      <c r="X25" s="16"/>
    </row>
    <row r="26" spans="1:24" ht="15" customHeight="1" x14ac:dyDescent="0.35">
      <c r="A26" s="250">
        <v>45084</v>
      </c>
      <c r="B26" s="250"/>
      <c r="C26" s="212" t="s">
        <v>325</v>
      </c>
      <c r="D26" s="15"/>
      <c r="E26" s="15">
        <v>1</v>
      </c>
      <c r="F26" s="9">
        <v>900</v>
      </c>
      <c r="G26" s="29">
        <f t="shared" si="0"/>
        <v>900</v>
      </c>
      <c r="H26" s="11"/>
      <c r="I26" s="10"/>
      <c r="J26" s="29">
        <f t="shared" si="1"/>
        <v>0</v>
      </c>
      <c r="K26" s="29"/>
      <c r="L26" s="223">
        <f t="shared" si="2"/>
        <v>900</v>
      </c>
      <c r="M26" s="12"/>
      <c r="N26" s="218" t="str">
        <f t="shared" si="3"/>
        <v xml:space="preserve"> </v>
      </c>
      <c r="O26" s="189"/>
      <c r="P26" s="189"/>
      <c r="Q26" s="189"/>
      <c r="R26" s="189" t="str">
        <f t="shared" si="4"/>
        <v xml:space="preserve"> </v>
      </c>
      <c r="S26" s="189"/>
      <c r="T26" s="253"/>
      <c r="U26" s="13"/>
      <c r="V26" s="253"/>
      <c r="W26" s="253"/>
      <c r="X26" s="16"/>
    </row>
    <row r="27" spans="1:24" ht="15" customHeight="1" x14ac:dyDescent="0.35">
      <c r="A27" s="245">
        <v>45084</v>
      </c>
      <c r="B27" s="245"/>
      <c r="C27" s="212" t="s">
        <v>279</v>
      </c>
      <c r="D27" s="15"/>
      <c r="E27" s="15">
        <v>5</v>
      </c>
      <c r="F27" s="9">
        <v>800</v>
      </c>
      <c r="G27" s="29">
        <f t="shared" si="0"/>
        <v>4000</v>
      </c>
      <c r="H27" s="11"/>
      <c r="I27" s="10"/>
      <c r="J27" s="29">
        <f t="shared" si="1"/>
        <v>0</v>
      </c>
      <c r="K27" s="29"/>
      <c r="L27" s="223">
        <f t="shared" si="2"/>
        <v>4000</v>
      </c>
      <c r="M27" s="12"/>
      <c r="N27" s="218" t="str">
        <f t="shared" si="3"/>
        <v xml:space="preserve"> </v>
      </c>
      <c r="O27" s="189"/>
      <c r="P27" s="189"/>
      <c r="Q27" s="189"/>
      <c r="R27" s="189" t="str">
        <f t="shared" si="4"/>
        <v xml:space="preserve"> </v>
      </c>
      <c r="S27" s="189"/>
      <c r="T27" s="253"/>
      <c r="U27" s="13"/>
      <c r="V27" s="253"/>
      <c r="W27" s="253"/>
      <c r="X27" s="16"/>
    </row>
    <row r="28" spans="1:24" ht="15" customHeight="1" x14ac:dyDescent="0.35">
      <c r="A28" s="245">
        <v>45084</v>
      </c>
      <c r="B28" s="245"/>
      <c r="C28" s="211" t="s">
        <v>330</v>
      </c>
      <c r="D28" s="15"/>
      <c r="E28" s="15">
        <v>6</v>
      </c>
      <c r="F28" s="9">
        <v>860</v>
      </c>
      <c r="G28" s="29">
        <f t="shared" si="0"/>
        <v>5160</v>
      </c>
      <c r="H28" s="11"/>
      <c r="I28" s="10"/>
      <c r="J28" s="29">
        <f t="shared" si="1"/>
        <v>0</v>
      </c>
      <c r="K28" s="29"/>
      <c r="L28" s="223">
        <f t="shared" si="2"/>
        <v>5160</v>
      </c>
      <c r="M28" s="12"/>
      <c r="N28" s="218" t="str">
        <f t="shared" si="3"/>
        <v xml:space="preserve"> </v>
      </c>
      <c r="O28" s="189"/>
      <c r="P28" s="189"/>
      <c r="Q28" s="189"/>
      <c r="R28" s="189" t="str">
        <f t="shared" si="4"/>
        <v xml:space="preserve"> </v>
      </c>
      <c r="S28" s="189"/>
      <c r="T28" s="253"/>
      <c r="U28" s="13"/>
      <c r="V28" s="253"/>
      <c r="W28" s="253"/>
      <c r="X28" s="16"/>
    </row>
    <row r="29" spans="1:24" ht="15" customHeight="1" x14ac:dyDescent="0.35">
      <c r="A29" s="245">
        <v>45086</v>
      </c>
      <c r="B29" s="245"/>
      <c r="C29" s="212" t="s">
        <v>338</v>
      </c>
      <c r="D29" s="15">
        <v>1</v>
      </c>
      <c r="E29" s="15"/>
      <c r="F29" s="9">
        <v>850</v>
      </c>
      <c r="G29" s="29">
        <f t="shared" si="0"/>
        <v>850</v>
      </c>
      <c r="H29" s="11"/>
      <c r="I29" s="10"/>
      <c r="J29" s="29">
        <f t="shared" si="1"/>
        <v>0</v>
      </c>
      <c r="K29" s="29"/>
      <c r="L29" s="223">
        <f t="shared" si="2"/>
        <v>850</v>
      </c>
      <c r="M29" s="12"/>
      <c r="N29" s="218" t="str">
        <f t="shared" si="3"/>
        <v xml:space="preserve"> </v>
      </c>
      <c r="O29" s="189"/>
      <c r="P29" s="189"/>
      <c r="Q29" s="189"/>
      <c r="R29" s="189" t="str">
        <f t="shared" si="4"/>
        <v xml:space="preserve"> </v>
      </c>
      <c r="S29" s="189"/>
      <c r="T29" s="253"/>
      <c r="U29" s="13"/>
      <c r="V29" s="253"/>
      <c r="W29" s="253"/>
      <c r="X29" s="16"/>
    </row>
    <row r="30" spans="1:24" ht="15" customHeight="1" x14ac:dyDescent="0.35">
      <c r="A30" s="245"/>
      <c r="B30" s="245"/>
      <c r="C30" s="212"/>
      <c r="D30" s="15"/>
      <c r="E30" s="15"/>
      <c r="F30" s="9"/>
      <c r="G30" s="29">
        <f t="shared" si="0"/>
        <v>0</v>
      </c>
      <c r="H30" s="11"/>
      <c r="I30" s="10"/>
      <c r="J30" s="29">
        <f t="shared" si="1"/>
        <v>0</v>
      </c>
      <c r="K30" s="29"/>
      <c r="L30" s="223">
        <f t="shared" si="2"/>
        <v>0</v>
      </c>
      <c r="M30" s="12"/>
      <c r="N30" s="218" t="str">
        <f t="shared" si="3"/>
        <v xml:space="preserve"> </v>
      </c>
      <c r="O30" s="189"/>
      <c r="P30" s="189"/>
      <c r="Q30" s="189"/>
      <c r="R30" s="189" t="str">
        <f t="shared" si="4"/>
        <v xml:space="preserve"> </v>
      </c>
      <c r="S30" s="189"/>
      <c r="T30" s="253"/>
      <c r="U30" s="13"/>
      <c r="V30" s="253"/>
      <c r="W30" s="253"/>
      <c r="X30" s="16"/>
    </row>
    <row r="31" spans="1:24" ht="15" customHeight="1" x14ac:dyDescent="0.35">
      <c r="A31" s="245">
        <v>45087</v>
      </c>
      <c r="B31" s="245"/>
      <c r="C31" s="248" t="s">
        <v>321</v>
      </c>
      <c r="D31" s="15">
        <v>2</v>
      </c>
      <c r="E31" s="15"/>
      <c r="F31" s="9">
        <v>880</v>
      </c>
      <c r="G31" s="29">
        <f t="shared" si="0"/>
        <v>1760</v>
      </c>
      <c r="H31" s="11"/>
      <c r="I31" s="10"/>
      <c r="J31" s="29">
        <f t="shared" si="1"/>
        <v>0</v>
      </c>
      <c r="K31" s="29"/>
      <c r="L31" s="223">
        <f t="shared" si="2"/>
        <v>1760</v>
      </c>
      <c r="M31" s="12"/>
      <c r="N31" s="239" t="str">
        <f t="shared" si="3"/>
        <v xml:space="preserve"> </v>
      </c>
      <c r="O31" s="189"/>
      <c r="P31" s="189"/>
      <c r="Q31" s="189"/>
      <c r="R31" s="189" t="str">
        <f t="shared" si="4"/>
        <v xml:space="preserve"> </v>
      </c>
      <c r="S31" s="189"/>
      <c r="T31" s="253"/>
      <c r="U31" s="13"/>
      <c r="V31" s="253"/>
      <c r="W31" s="253"/>
      <c r="X31" s="16"/>
    </row>
    <row r="32" spans="1:24" ht="15" customHeight="1" x14ac:dyDescent="0.35">
      <c r="A32" s="245">
        <v>45090</v>
      </c>
      <c r="B32" s="245"/>
      <c r="C32" s="248" t="s">
        <v>323</v>
      </c>
      <c r="D32" s="15">
        <v>1</v>
      </c>
      <c r="E32" s="15"/>
      <c r="F32" s="9">
        <v>880</v>
      </c>
      <c r="G32" s="29">
        <f t="shared" si="0"/>
        <v>880</v>
      </c>
      <c r="H32" s="11"/>
      <c r="I32" s="10"/>
      <c r="J32" s="29">
        <f t="shared" si="1"/>
        <v>0</v>
      </c>
      <c r="K32" s="29"/>
      <c r="L32" s="223">
        <f t="shared" si="2"/>
        <v>880</v>
      </c>
      <c r="M32" s="207"/>
      <c r="N32" s="218" t="str">
        <f t="shared" si="3"/>
        <v xml:space="preserve"> </v>
      </c>
      <c r="O32" s="189"/>
      <c r="P32" s="189"/>
      <c r="Q32" s="189"/>
      <c r="R32" s="189" t="str">
        <f t="shared" si="4"/>
        <v xml:space="preserve"> </v>
      </c>
      <c r="S32" s="189"/>
      <c r="T32" s="253"/>
      <c r="U32" s="13"/>
      <c r="V32" s="253"/>
      <c r="W32" s="253"/>
      <c r="X32" s="16"/>
    </row>
    <row r="33" spans="1:24" ht="15" customHeight="1" x14ac:dyDescent="0.35">
      <c r="A33" s="245">
        <v>45090</v>
      </c>
      <c r="B33" s="245"/>
      <c r="C33" s="212" t="s">
        <v>153</v>
      </c>
      <c r="D33" s="15">
        <v>1</v>
      </c>
      <c r="E33" s="15"/>
      <c r="F33" s="9">
        <v>880</v>
      </c>
      <c r="G33" s="29">
        <f t="shared" si="0"/>
        <v>880</v>
      </c>
      <c r="H33" s="11"/>
      <c r="I33" s="10"/>
      <c r="J33" s="29">
        <f t="shared" si="1"/>
        <v>0</v>
      </c>
      <c r="K33" s="29"/>
      <c r="L33" s="223">
        <f t="shared" si="2"/>
        <v>880</v>
      </c>
      <c r="M33" s="12"/>
      <c r="N33" s="218" t="str">
        <f t="shared" si="3"/>
        <v xml:space="preserve"> </v>
      </c>
      <c r="O33" s="189"/>
      <c r="P33" s="189"/>
      <c r="Q33" s="189"/>
      <c r="R33" s="189" t="str">
        <f t="shared" si="4"/>
        <v xml:space="preserve"> </v>
      </c>
      <c r="S33" s="189"/>
      <c r="T33" s="253"/>
      <c r="U33" s="13"/>
      <c r="V33" s="253"/>
      <c r="W33" s="253"/>
      <c r="X33" s="16"/>
    </row>
    <row r="34" spans="1:24" ht="15" customHeight="1" x14ac:dyDescent="0.35">
      <c r="A34" s="245">
        <v>45090</v>
      </c>
      <c r="B34" s="245"/>
      <c r="C34" s="211" t="s">
        <v>322</v>
      </c>
      <c r="D34" s="15">
        <v>1</v>
      </c>
      <c r="E34" s="15"/>
      <c r="F34" s="9">
        <v>900</v>
      </c>
      <c r="G34" s="29">
        <f t="shared" si="0"/>
        <v>900</v>
      </c>
      <c r="H34" s="11"/>
      <c r="I34" s="10"/>
      <c r="J34" s="29">
        <f t="shared" si="1"/>
        <v>0</v>
      </c>
      <c r="K34" s="29"/>
      <c r="L34" s="223">
        <f t="shared" si="2"/>
        <v>900</v>
      </c>
      <c r="M34" s="213"/>
      <c r="N34" s="218" t="str">
        <f t="shared" si="3"/>
        <v xml:space="preserve"> </v>
      </c>
      <c r="O34" s="189"/>
      <c r="P34" s="189"/>
      <c r="Q34" s="189"/>
      <c r="R34" s="189" t="str">
        <f t="shared" si="4"/>
        <v xml:space="preserve"> </v>
      </c>
      <c r="S34" s="189"/>
      <c r="T34" s="253"/>
      <c r="U34" s="13"/>
      <c r="V34" s="253"/>
      <c r="W34" s="253"/>
      <c r="X34" s="16"/>
    </row>
    <row r="35" spans="1:24" ht="15" customHeight="1" x14ac:dyDescent="0.35">
      <c r="A35" s="245">
        <v>45090</v>
      </c>
      <c r="B35" s="245"/>
      <c r="C35" s="211" t="s">
        <v>279</v>
      </c>
      <c r="D35" s="15"/>
      <c r="E35" s="15">
        <v>5</v>
      </c>
      <c r="F35" s="9">
        <v>800</v>
      </c>
      <c r="G35" s="29">
        <f t="shared" si="0"/>
        <v>4000</v>
      </c>
      <c r="H35" s="11"/>
      <c r="I35" s="10"/>
      <c r="J35" s="29">
        <f t="shared" si="1"/>
        <v>0</v>
      </c>
      <c r="K35" s="29"/>
      <c r="L35" s="223">
        <f t="shared" si="2"/>
        <v>4000</v>
      </c>
      <c r="M35" s="12"/>
      <c r="N35" s="218" t="str">
        <f t="shared" si="3"/>
        <v xml:space="preserve"> </v>
      </c>
      <c r="O35" s="189"/>
      <c r="P35" s="189"/>
      <c r="Q35" s="189"/>
      <c r="R35" s="189" t="str">
        <f t="shared" si="4"/>
        <v xml:space="preserve"> </v>
      </c>
      <c r="S35" s="189"/>
      <c r="T35" s="253"/>
      <c r="U35" s="13"/>
      <c r="V35" s="253"/>
      <c r="W35" s="253"/>
      <c r="X35" s="16"/>
    </row>
    <row r="36" spans="1:24" ht="15" customHeight="1" x14ac:dyDescent="0.35">
      <c r="A36" s="245">
        <v>45090</v>
      </c>
      <c r="B36" s="246"/>
      <c r="C36" s="212" t="s">
        <v>280</v>
      </c>
      <c r="D36" s="15"/>
      <c r="E36" s="15">
        <v>2</v>
      </c>
      <c r="F36" s="9">
        <v>840</v>
      </c>
      <c r="G36" s="29">
        <f t="shared" si="0"/>
        <v>1680</v>
      </c>
      <c r="H36" s="11"/>
      <c r="I36" s="10"/>
      <c r="J36" s="29">
        <f t="shared" si="1"/>
        <v>0</v>
      </c>
      <c r="K36" s="29"/>
      <c r="L36" s="223">
        <f t="shared" si="2"/>
        <v>1680</v>
      </c>
      <c r="M36" s="12"/>
      <c r="N36" s="218" t="str">
        <f t="shared" si="3"/>
        <v xml:space="preserve"> </v>
      </c>
      <c r="O36" s="189"/>
      <c r="P36" s="189"/>
      <c r="Q36" s="189"/>
      <c r="R36" s="189" t="str">
        <f t="shared" si="4"/>
        <v xml:space="preserve"> </v>
      </c>
      <c r="S36" s="189"/>
      <c r="T36" s="253"/>
      <c r="U36" s="13"/>
      <c r="V36" s="253"/>
      <c r="W36" s="253"/>
      <c r="X36" s="16"/>
    </row>
    <row r="37" spans="1:24" ht="15" customHeight="1" x14ac:dyDescent="0.35">
      <c r="A37" s="245">
        <v>45090</v>
      </c>
      <c r="B37" s="246"/>
      <c r="C37" s="211" t="s">
        <v>415</v>
      </c>
      <c r="D37" s="15"/>
      <c r="E37" s="15">
        <v>3</v>
      </c>
      <c r="F37" s="9">
        <v>830</v>
      </c>
      <c r="G37" s="29">
        <f t="shared" si="0"/>
        <v>2490</v>
      </c>
      <c r="H37" s="11"/>
      <c r="I37" s="10"/>
      <c r="J37" s="29">
        <f t="shared" si="1"/>
        <v>0</v>
      </c>
      <c r="K37" s="29"/>
      <c r="L37" s="223">
        <f t="shared" si="2"/>
        <v>2490</v>
      </c>
      <c r="M37" s="12"/>
      <c r="N37" s="218" t="str">
        <f t="shared" si="3"/>
        <v xml:space="preserve"> </v>
      </c>
      <c r="O37" s="189"/>
      <c r="P37" s="189"/>
      <c r="Q37" s="189"/>
      <c r="R37" s="189" t="str">
        <f t="shared" si="4"/>
        <v xml:space="preserve"> </v>
      </c>
      <c r="S37" s="189"/>
      <c r="T37" s="253"/>
      <c r="U37" s="13"/>
      <c r="V37" s="253"/>
      <c r="W37" s="253"/>
      <c r="X37" s="16"/>
    </row>
    <row r="38" spans="1:24" ht="15" customHeight="1" x14ac:dyDescent="0.35">
      <c r="A38" s="245">
        <v>45091</v>
      </c>
      <c r="B38" s="246"/>
      <c r="C38" s="212" t="s">
        <v>296</v>
      </c>
      <c r="D38" s="15"/>
      <c r="E38" s="15">
        <v>4</v>
      </c>
      <c r="F38" s="9">
        <v>850</v>
      </c>
      <c r="G38" s="29">
        <f t="shared" si="0"/>
        <v>3400</v>
      </c>
      <c r="H38" s="11"/>
      <c r="I38" s="10"/>
      <c r="J38" s="29">
        <f t="shared" si="1"/>
        <v>0</v>
      </c>
      <c r="K38" s="29"/>
      <c r="L38" s="223">
        <f t="shared" si="2"/>
        <v>3400</v>
      </c>
      <c r="M38" s="12"/>
      <c r="N38" s="218" t="str">
        <f t="shared" si="3"/>
        <v xml:space="preserve"> </v>
      </c>
      <c r="O38" s="189"/>
      <c r="P38" s="189"/>
      <c r="Q38" s="189"/>
      <c r="R38" s="189" t="str">
        <f t="shared" si="4"/>
        <v xml:space="preserve"> </v>
      </c>
      <c r="S38" s="189"/>
      <c r="T38" s="253"/>
      <c r="U38" s="13"/>
      <c r="V38" s="253"/>
      <c r="W38" s="253"/>
      <c r="X38" s="16"/>
    </row>
    <row r="39" spans="1:24" ht="15" customHeight="1" x14ac:dyDescent="0.35">
      <c r="A39" s="245">
        <v>45091</v>
      </c>
      <c r="B39" s="246"/>
      <c r="C39" s="211" t="s">
        <v>153</v>
      </c>
      <c r="D39" s="15">
        <v>1</v>
      </c>
      <c r="E39" s="15"/>
      <c r="F39" s="9">
        <v>850</v>
      </c>
      <c r="G39" s="29">
        <f t="shared" si="0"/>
        <v>850</v>
      </c>
      <c r="H39" s="11"/>
      <c r="I39" s="10"/>
      <c r="J39" s="29">
        <f t="shared" si="1"/>
        <v>0</v>
      </c>
      <c r="K39" s="29"/>
      <c r="L39" s="223">
        <f t="shared" si="2"/>
        <v>850</v>
      </c>
      <c r="M39" s="12"/>
      <c r="N39" s="218" t="str">
        <f t="shared" si="3"/>
        <v xml:space="preserve"> </v>
      </c>
      <c r="O39" s="189"/>
      <c r="P39" s="189"/>
      <c r="Q39" s="189"/>
      <c r="R39" s="189" t="str">
        <f t="shared" si="4"/>
        <v xml:space="preserve"> </v>
      </c>
      <c r="S39" s="189"/>
      <c r="T39" s="253"/>
      <c r="U39" s="13"/>
      <c r="V39" s="253"/>
      <c r="W39" s="253"/>
      <c r="X39" s="16"/>
    </row>
    <row r="40" spans="1:24" ht="15" customHeight="1" x14ac:dyDescent="0.35">
      <c r="A40" s="245">
        <v>45091</v>
      </c>
      <c r="B40" s="246"/>
      <c r="C40" s="211" t="s">
        <v>330</v>
      </c>
      <c r="D40" s="15"/>
      <c r="E40" s="15">
        <v>2</v>
      </c>
      <c r="F40" s="9">
        <v>840</v>
      </c>
      <c r="G40" s="29">
        <f t="shared" si="0"/>
        <v>1680</v>
      </c>
      <c r="H40" s="11"/>
      <c r="I40" s="10"/>
      <c r="J40" s="29">
        <f t="shared" si="1"/>
        <v>0</v>
      </c>
      <c r="K40" s="29"/>
      <c r="L40" s="223">
        <f t="shared" si="2"/>
        <v>1680</v>
      </c>
      <c r="M40" s="12"/>
      <c r="N40" s="218" t="str">
        <f t="shared" si="3"/>
        <v xml:space="preserve"> </v>
      </c>
      <c r="O40" s="189"/>
      <c r="P40" s="189"/>
      <c r="Q40" s="189"/>
      <c r="R40" s="189" t="str">
        <f t="shared" si="4"/>
        <v xml:space="preserve"> </v>
      </c>
      <c r="S40" s="189"/>
      <c r="T40" s="253"/>
      <c r="U40" s="13"/>
      <c r="V40" s="253"/>
      <c r="W40" s="253"/>
      <c r="X40" s="16"/>
    </row>
    <row r="41" spans="1:24" ht="15" customHeight="1" x14ac:dyDescent="0.35">
      <c r="A41" s="245">
        <v>45091</v>
      </c>
      <c r="B41" s="246"/>
      <c r="C41" s="212" t="s">
        <v>321</v>
      </c>
      <c r="D41" s="15">
        <v>2</v>
      </c>
      <c r="E41" s="15"/>
      <c r="F41" s="9">
        <v>880</v>
      </c>
      <c r="G41" s="29">
        <f t="shared" si="0"/>
        <v>1760</v>
      </c>
      <c r="H41" s="11"/>
      <c r="I41" s="10"/>
      <c r="J41" s="29">
        <f t="shared" si="1"/>
        <v>0</v>
      </c>
      <c r="K41" s="29"/>
      <c r="L41" s="223">
        <f t="shared" si="2"/>
        <v>1760</v>
      </c>
      <c r="M41" s="12"/>
      <c r="N41" s="218" t="str">
        <f t="shared" si="3"/>
        <v xml:space="preserve"> </v>
      </c>
      <c r="O41" s="189"/>
      <c r="P41" s="189"/>
      <c r="Q41" s="189"/>
      <c r="R41" s="189" t="str">
        <f t="shared" si="4"/>
        <v xml:space="preserve"> </v>
      </c>
      <c r="S41" s="189"/>
      <c r="T41" s="253"/>
      <c r="U41" s="13"/>
      <c r="V41" s="253"/>
      <c r="W41" s="253"/>
      <c r="X41" s="16"/>
    </row>
    <row r="42" spans="1:24" ht="15" customHeight="1" x14ac:dyDescent="0.35">
      <c r="A42" s="245">
        <v>45092</v>
      </c>
      <c r="B42" s="246"/>
      <c r="C42" s="211" t="s">
        <v>153</v>
      </c>
      <c r="D42" s="15">
        <v>1</v>
      </c>
      <c r="E42" s="15"/>
      <c r="F42" s="9">
        <v>850</v>
      </c>
      <c r="G42" s="29">
        <f t="shared" si="0"/>
        <v>850</v>
      </c>
      <c r="H42" s="11"/>
      <c r="I42" s="10"/>
      <c r="J42" s="29">
        <f t="shared" si="1"/>
        <v>0</v>
      </c>
      <c r="K42" s="29"/>
      <c r="L42" s="223">
        <f t="shared" si="2"/>
        <v>850</v>
      </c>
      <c r="M42" s="12"/>
      <c r="N42" s="218" t="str">
        <f t="shared" si="3"/>
        <v xml:space="preserve"> </v>
      </c>
      <c r="O42" s="189"/>
      <c r="P42" s="189"/>
      <c r="Q42" s="189"/>
      <c r="R42" s="189" t="str">
        <f t="shared" si="4"/>
        <v xml:space="preserve"> </v>
      </c>
      <c r="S42" s="189"/>
      <c r="T42" s="253"/>
      <c r="U42" s="13"/>
      <c r="V42" s="253"/>
      <c r="W42" s="253"/>
      <c r="X42" s="16"/>
    </row>
    <row r="43" spans="1:24" ht="15" customHeight="1" x14ac:dyDescent="0.35">
      <c r="A43" s="245">
        <v>45093</v>
      </c>
      <c r="B43" s="246"/>
      <c r="C43" s="212" t="s">
        <v>336</v>
      </c>
      <c r="D43" s="15">
        <v>1</v>
      </c>
      <c r="E43" s="15"/>
      <c r="F43" s="9">
        <v>900</v>
      </c>
      <c r="G43" s="29">
        <f t="shared" si="0"/>
        <v>900</v>
      </c>
      <c r="H43" s="11"/>
      <c r="I43" s="10"/>
      <c r="J43" s="29">
        <f t="shared" si="1"/>
        <v>0</v>
      </c>
      <c r="K43" s="29"/>
      <c r="L43" s="223">
        <f t="shared" si="2"/>
        <v>900</v>
      </c>
      <c r="M43" s="12"/>
      <c r="N43" s="218" t="str">
        <f t="shared" si="3"/>
        <v xml:space="preserve"> </v>
      </c>
      <c r="O43" s="189"/>
      <c r="P43" s="189"/>
      <c r="Q43" s="189"/>
      <c r="R43" s="189" t="str">
        <f t="shared" si="4"/>
        <v xml:space="preserve"> </v>
      </c>
      <c r="S43" s="189"/>
      <c r="T43" s="253"/>
      <c r="U43" s="13"/>
      <c r="V43" s="253"/>
      <c r="W43" s="253"/>
      <c r="X43" s="16"/>
    </row>
    <row r="44" spans="1:24" ht="15" customHeight="1" x14ac:dyDescent="0.35">
      <c r="A44" s="245">
        <v>45093</v>
      </c>
      <c r="B44" s="246"/>
      <c r="C44" s="212" t="s">
        <v>324</v>
      </c>
      <c r="D44" s="15"/>
      <c r="E44" s="15">
        <v>1</v>
      </c>
      <c r="F44" s="9">
        <v>860</v>
      </c>
      <c r="G44" s="29">
        <f t="shared" si="0"/>
        <v>860</v>
      </c>
      <c r="H44" s="11"/>
      <c r="I44" s="10"/>
      <c r="J44" s="29">
        <f t="shared" si="1"/>
        <v>0</v>
      </c>
      <c r="K44" s="29"/>
      <c r="L44" s="223">
        <f t="shared" si="2"/>
        <v>860</v>
      </c>
      <c r="M44" s="12"/>
      <c r="N44" s="218" t="str">
        <f t="shared" si="3"/>
        <v xml:space="preserve"> </v>
      </c>
      <c r="O44" s="189"/>
      <c r="P44" s="189"/>
      <c r="Q44" s="189"/>
      <c r="R44" s="189" t="str">
        <f t="shared" si="4"/>
        <v xml:space="preserve"> </v>
      </c>
      <c r="S44" s="189"/>
      <c r="T44" s="253"/>
      <c r="U44" s="13"/>
      <c r="V44" s="253"/>
      <c r="W44" s="253"/>
      <c r="X44" s="16"/>
    </row>
    <row r="45" spans="1:24" ht="15" customHeight="1" x14ac:dyDescent="0.35">
      <c r="A45" s="245">
        <v>45093</v>
      </c>
      <c r="B45" s="246"/>
      <c r="C45" s="212" t="s">
        <v>326</v>
      </c>
      <c r="D45" s="15"/>
      <c r="E45" s="15">
        <v>1</v>
      </c>
      <c r="F45" s="9">
        <v>850</v>
      </c>
      <c r="G45" s="29">
        <f t="shared" si="0"/>
        <v>850</v>
      </c>
      <c r="H45" s="11"/>
      <c r="I45" s="10"/>
      <c r="J45" s="29">
        <f t="shared" si="1"/>
        <v>0</v>
      </c>
      <c r="K45" s="29"/>
      <c r="L45" s="223">
        <f t="shared" si="2"/>
        <v>850</v>
      </c>
      <c r="M45" s="12"/>
      <c r="N45" s="218" t="str">
        <f t="shared" si="3"/>
        <v xml:space="preserve"> </v>
      </c>
      <c r="O45" s="189"/>
      <c r="P45" s="189"/>
      <c r="Q45" s="189"/>
      <c r="R45" s="189" t="str">
        <f t="shared" si="4"/>
        <v xml:space="preserve"> </v>
      </c>
      <c r="S45" s="189"/>
      <c r="T45" s="253"/>
      <c r="U45" s="13"/>
      <c r="V45" s="253"/>
      <c r="W45" s="253"/>
      <c r="X45" s="16"/>
    </row>
    <row r="46" spans="1:24" ht="15" customHeight="1" x14ac:dyDescent="0.35">
      <c r="A46" s="245">
        <v>45094</v>
      </c>
      <c r="B46" s="246"/>
      <c r="C46" s="212" t="s">
        <v>153</v>
      </c>
      <c r="D46" s="15">
        <v>1</v>
      </c>
      <c r="E46" s="15"/>
      <c r="F46" s="9">
        <v>850</v>
      </c>
      <c r="G46" s="29">
        <f t="shared" si="0"/>
        <v>850</v>
      </c>
      <c r="H46" s="11"/>
      <c r="I46" s="10"/>
      <c r="J46" s="29">
        <f t="shared" si="1"/>
        <v>0</v>
      </c>
      <c r="K46" s="29"/>
      <c r="L46" s="223">
        <f t="shared" si="2"/>
        <v>850</v>
      </c>
      <c r="M46" s="213"/>
      <c r="N46" s="218" t="str">
        <f t="shared" si="3"/>
        <v xml:space="preserve"> </v>
      </c>
      <c r="O46" s="189"/>
      <c r="P46" s="189"/>
      <c r="Q46" s="189"/>
      <c r="R46" s="189" t="str">
        <f t="shared" si="4"/>
        <v xml:space="preserve"> </v>
      </c>
      <c r="S46" s="189"/>
      <c r="T46" s="253"/>
      <c r="U46" s="13"/>
      <c r="V46" s="253"/>
      <c r="W46" s="253"/>
      <c r="X46" s="16"/>
    </row>
    <row r="47" spans="1:24" ht="15" customHeight="1" x14ac:dyDescent="0.35">
      <c r="A47" s="245">
        <v>45096</v>
      </c>
      <c r="B47" s="246"/>
      <c r="C47" s="211" t="s">
        <v>112</v>
      </c>
      <c r="D47" s="15">
        <v>10</v>
      </c>
      <c r="E47" s="15"/>
      <c r="F47" s="9">
        <v>820</v>
      </c>
      <c r="G47" s="29">
        <f t="shared" si="0"/>
        <v>8200</v>
      </c>
      <c r="H47" s="11"/>
      <c r="I47" s="10"/>
      <c r="J47" s="29">
        <f t="shared" si="1"/>
        <v>0</v>
      </c>
      <c r="K47" s="29"/>
      <c r="L47" s="223">
        <f t="shared" si="2"/>
        <v>8200</v>
      </c>
      <c r="M47" s="213"/>
      <c r="N47" s="218" t="str">
        <f t="shared" si="3"/>
        <v xml:space="preserve"> </v>
      </c>
      <c r="O47" s="189"/>
      <c r="P47" s="189"/>
      <c r="Q47" s="189"/>
      <c r="R47" s="189" t="str">
        <f t="shared" si="4"/>
        <v xml:space="preserve"> </v>
      </c>
      <c r="S47" s="189"/>
      <c r="T47" s="253"/>
      <c r="U47" s="13"/>
      <c r="V47" s="253"/>
      <c r="W47" s="253"/>
      <c r="X47" s="16"/>
    </row>
    <row r="48" spans="1:24" ht="15" customHeight="1" x14ac:dyDescent="0.35">
      <c r="A48" s="245">
        <v>45096</v>
      </c>
      <c r="B48" s="246"/>
      <c r="C48" s="211" t="s">
        <v>279</v>
      </c>
      <c r="D48" s="15"/>
      <c r="E48" s="15">
        <v>6</v>
      </c>
      <c r="F48" s="9">
        <v>800</v>
      </c>
      <c r="G48" s="29">
        <f t="shared" si="0"/>
        <v>4800</v>
      </c>
      <c r="H48" s="11"/>
      <c r="I48" s="10"/>
      <c r="J48" s="29">
        <f t="shared" si="1"/>
        <v>0</v>
      </c>
      <c r="K48" s="29"/>
      <c r="L48" s="223">
        <f t="shared" si="2"/>
        <v>4800</v>
      </c>
      <c r="M48" s="12"/>
      <c r="N48" s="218" t="str">
        <f>IF(M48&gt;0,SUM(L48-M48)," ")</f>
        <v xml:space="preserve"> </v>
      </c>
      <c r="O48" s="189"/>
      <c r="P48" s="189"/>
      <c r="Q48" s="189"/>
      <c r="R48" s="189" t="str">
        <f t="shared" si="4"/>
        <v xml:space="preserve"> </v>
      </c>
      <c r="S48" s="189"/>
      <c r="T48" s="253"/>
      <c r="U48" s="13"/>
      <c r="V48" s="253"/>
      <c r="W48" s="253"/>
      <c r="X48" s="16"/>
    </row>
    <row r="49" spans="1:24" ht="15" customHeight="1" x14ac:dyDescent="0.35">
      <c r="A49" s="245">
        <v>45096</v>
      </c>
      <c r="B49" s="246"/>
      <c r="C49" s="211" t="s">
        <v>426</v>
      </c>
      <c r="D49" s="15">
        <v>1</v>
      </c>
      <c r="E49" s="15"/>
      <c r="F49" s="9">
        <v>850</v>
      </c>
      <c r="G49" s="29">
        <f t="shared" si="0"/>
        <v>850</v>
      </c>
      <c r="H49" s="11"/>
      <c r="I49" s="10"/>
      <c r="J49" s="29">
        <f t="shared" si="1"/>
        <v>0</v>
      </c>
      <c r="K49" s="29"/>
      <c r="L49" s="223">
        <f t="shared" si="2"/>
        <v>850</v>
      </c>
      <c r="M49" s="12"/>
      <c r="N49" s="218" t="str">
        <f>IF(M49&gt;0,SUM(L49-M49)," ")</f>
        <v xml:space="preserve"> </v>
      </c>
      <c r="O49" s="189"/>
      <c r="P49" s="189"/>
      <c r="Q49" s="189"/>
      <c r="R49" s="189" t="str">
        <f t="shared" si="4"/>
        <v xml:space="preserve"> </v>
      </c>
      <c r="S49" s="189"/>
      <c r="T49" s="253"/>
      <c r="U49" s="13"/>
      <c r="V49" s="253"/>
      <c r="W49" s="253"/>
      <c r="X49" s="16"/>
    </row>
    <row r="50" spans="1:24" ht="15" customHeight="1" x14ac:dyDescent="0.35">
      <c r="A50" s="245">
        <v>45097</v>
      </c>
      <c r="B50" s="246"/>
      <c r="C50" s="211" t="s">
        <v>153</v>
      </c>
      <c r="D50" s="15"/>
      <c r="E50" s="15">
        <v>1</v>
      </c>
      <c r="F50" s="9">
        <v>850</v>
      </c>
      <c r="G50" s="29">
        <f t="shared" si="0"/>
        <v>850</v>
      </c>
      <c r="H50" s="11"/>
      <c r="I50" s="10"/>
      <c r="J50" s="29">
        <f t="shared" si="1"/>
        <v>0</v>
      </c>
      <c r="K50" s="29"/>
      <c r="L50" s="223">
        <f t="shared" si="2"/>
        <v>850</v>
      </c>
      <c r="M50" s="213"/>
      <c r="N50" s="218" t="str">
        <f t="shared" si="3"/>
        <v xml:space="preserve"> </v>
      </c>
      <c r="O50" s="189"/>
      <c r="P50" s="189"/>
      <c r="Q50" s="189"/>
      <c r="R50" s="189" t="str">
        <f t="shared" si="4"/>
        <v xml:space="preserve"> </v>
      </c>
      <c r="S50" s="189"/>
      <c r="T50" s="253"/>
      <c r="U50" s="13"/>
      <c r="V50" s="253"/>
      <c r="W50" s="253"/>
      <c r="X50" s="16"/>
    </row>
    <row r="51" spans="1:24" ht="15" customHeight="1" x14ac:dyDescent="0.35">
      <c r="A51" s="245">
        <v>45097</v>
      </c>
      <c r="B51" s="246"/>
      <c r="C51" s="212" t="s">
        <v>415</v>
      </c>
      <c r="D51" s="15"/>
      <c r="E51" s="15">
        <v>3</v>
      </c>
      <c r="F51" s="9">
        <v>830</v>
      </c>
      <c r="G51" s="29">
        <f t="shared" si="0"/>
        <v>2490</v>
      </c>
      <c r="H51" s="11"/>
      <c r="I51" s="10"/>
      <c r="J51" s="29">
        <f t="shared" si="1"/>
        <v>0</v>
      </c>
      <c r="K51" s="29"/>
      <c r="L51" s="223">
        <f t="shared" si="2"/>
        <v>2490</v>
      </c>
      <c r="M51" s="12"/>
      <c r="N51" s="218" t="str">
        <f t="shared" si="3"/>
        <v xml:space="preserve"> </v>
      </c>
      <c r="O51" s="189"/>
      <c r="P51" s="189"/>
      <c r="Q51" s="189"/>
      <c r="R51" s="189" t="str">
        <f t="shared" si="4"/>
        <v xml:space="preserve"> </v>
      </c>
      <c r="S51" s="189"/>
      <c r="T51" s="253"/>
      <c r="U51" s="13"/>
      <c r="V51" s="253"/>
      <c r="W51" s="253"/>
      <c r="X51" s="16"/>
    </row>
    <row r="52" spans="1:24" ht="15" customHeight="1" x14ac:dyDescent="0.35">
      <c r="A52" s="245">
        <v>45097</v>
      </c>
      <c r="B52" s="246"/>
      <c r="C52" s="211" t="s">
        <v>319</v>
      </c>
      <c r="D52" s="15"/>
      <c r="E52" s="15">
        <v>2</v>
      </c>
      <c r="F52" s="9">
        <v>840</v>
      </c>
      <c r="G52" s="29">
        <f t="shared" si="0"/>
        <v>1680</v>
      </c>
      <c r="H52" s="11"/>
      <c r="I52" s="10"/>
      <c r="J52" s="29">
        <f t="shared" si="1"/>
        <v>0</v>
      </c>
      <c r="K52" s="29"/>
      <c r="L52" s="223">
        <f t="shared" si="2"/>
        <v>1680</v>
      </c>
      <c r="M52" s="12"/>
      <c r="N52" s="218" t="str">
        <f t="shared" si="3"/>
        <v xml:space="preserve"> </v>
      </c>
      <c r="O52" s="189"/>
      <c r="P52" s="189"/>
      <c r="Q52" s="189"/>
      <c r="R52" s="189" t="str">
        <f t="shared" si="4"/>
        <v xml:space="preserve"> </v>
      </c>
      <c r="S52" s="189"/>
      <c r="T52" s="253"/>
      <c r="U52" s="13"/>
      <c r="V52" s="253"/>
      <c r="W52" s="253"/>
      <c r="X52" s="16"/>
    </row>
    <row r="53" spans="1:24" ht="15" customHeight="1" x14ac:dyDescent="0.35">
      <c r="A53" s="245">
        <v>45098</v>
      </c>
      <c r="B53" s="246"/>
      <c r="C53" s="211" t="s">
        <v>321</v>
      </c>
      <c r="D53" s="15">
        <v>2</v>
      </c>
      <c r="E53" s="15"/>
      <c r="F53" s="9">
        <v>880</v>
      </c>
      <c r="G53" s="29">
        <f t="shared" si="0"/>
        <v>1760</v>
      </c>
      <c r="H53" s="11"/>
      <c r="I53" s="10"/>
      <c r="J53" s="29">
        <f t="shared" si="1"/>
        <v>0</v>
      </c>
      <c r="K53" s="29"/>
      <c r="L53" s="223">
        <f t="shared" si="2"/>
        <v>1760</v>
      </c>
      <c r="M53" s="213"/>
      <c r="N53" s="218" t="str">
        <f t="shared" si="3"/>
        <v xml:space="preserve"> </v>
      </c>
      <c r="O53" s="189"/>
      <c r="P53" s="189"/>
      <c r="Q53" s="189"/>
      <c r="R53" s="189" t="str">
        <f t="shared" si="4"/>
        <v xml:space="preserve"> </v>
      </c>
      <c r="S53" s="189"/>
      <c r="T53" s="253"/>
      <c r="U53" s="13"/>
      <c r="V53" s="253"/>
      <c r="W53" s="253"/>
      <c r="X53" s="16"/>
    </row>
    <row r="54" spans="1:24" ht="15" customHeight="1" x14ac:dyDescent="0.35">
      <c r="A54" s="245">
        <v>45098</v>
      </c>
      <c r="B54" s="246"/>
      <c r="C54" s="211" t="s">
        <v>321</v>
      </c>
      <c r="D54" s="15">
        <v>1</v>
      </c>
      <c r="E54" s="15"/>
      <c r="F54" s="9">
        <v>880</v>
      </c>
      <c r="G54" s="29">
        <f t="shared" si="0"/>
        <v>880</v>
      </c>
      <c r="H54" s="11"/>
      <c r="I54" s="10"/>
      <c r="J54" s="29">
        <f t="shared" si="1"/>
        <v>0</v>
      </c>
      <c r="K54" s="29"/>
      <c r="L54" s="223">
        <f t="shared" si="2"/>
        <v>880</v>
      </c>
      <c r="M54" s="12"/>
      <c r="N54" s="218" t="str">
        <f t="shared" si="3"/>
        <v xml:space="preserve"> </v>
      </c>
      <c r="O54" s="189"/>
      <c r="P54" s="189"/>
      <c r="Q54" s="189"/>
      <c r="R54" s="189" t="str">
        <f t="shared" si="4"/>
        <v xml:space="preserve"> </v>
      </c>
      <c r="S54" s="189"/>
      <c r="T54" s="253"/>
      <c r="U54" s="13"/>
      <c r="V54" s="253"/>
      <c r="W54" s="253"/>
      <c r="X54" s="16"/>
    </row>
    <row r="55" spans="1:24" ht="15" customHeight="1" x14ac:dyDescent="0.35">
      <c r="A55" s="245">
        <v>45098</v>
      </c>
      <c r="B55" s="246"/>
      <c r="C55" s="211" t="s">
        <v>323</v>
      </c>
      <c r="D55" s="15">
        <v>1</v>
      </c>
      <c r="E55" s="15"/>
      <c r="F55" s="9">
        <v>880</v>
      </c>
      <c r="G55" s="29">
        <f t="shared" si="0"/>
        <v>880</v>
      </c>
      <c r="H55" s="11"/>
      <c r="I55" s="10"/>
      <c r="J55" s="29">
        <f t="shared" si="1"/>
        <v>0</v>
      </c>
      <c r="K55" s="29"/>
      <c r="L55" s="223">
        <f t="shared" si="2"/>
        <v>880</v>
      </c>
      <c r="M55" s="12"/>
      <c r="N55" s="218" t="str">
        <f t="shared" si="3"/>
        <v xml:space="preserve"> </v>
      </c>
      <c r="O55" s="189"/>
      <c r="P55" s="189"/>
      <c r="Q55" s="189"/>
      <c r="R55" s="189" t="str">
        <f t="shared" si="4"/>
        <v xml:space="preserve"> </v>
      </c>
      <c r="S55" s="189"/>
      <c r="T55" s="253"/>
      <c r="U55" s="13"/>
      <c r="V55" s="253"/>
      <c r="W55" s="253"/>
      <c r="X55" s="16"/>
    </row>
    <row r="56" spans="1:24" ht="15" customHeight="1" x14ac:dyDescent="0.35">
      <c r="A56" s="245">
        <v>45098</v>
      </c>
      <c r="B56" s="246"/>
      <c r="C56" s="211" t="s">
        <v>337</v>
      </c>
      <c r="D56" s="15">
        <v>10</v>
      </c>
      <c r="E56" s="15"/>
      <c r="F56" s="9">
        <v>800</v>
      </c>
      <c r="G56" s="29">
        <f t="shared" si="0"/>
        <v>8000</v>
      </c>
      <c r="H56" s="11"/>
      <c r="I56" s="10"/>
      <c r="J56" s="29">
        <f t="shared" si="1"/>
        <v>0</v>
      </c>
      <c r="K56" s="29"/>
      <c r="L56" s="223">
        <f t="shared" si="2"/>
        <v>8000</v>
      </c>
      <c r="M56" s="12"/>
      <c r="N56" s="218" t="str">
        <f t="shared" si="3"/>
        <v xml:space="preserve"> </v>
      </c>
      <c r="O56" s="189"/>
      <c r="P56" s="189"/>
      <c r="Q56" s="189"/>
      <c r="R56" s="189" t="str">
        <f t="shared" si="4"/>
        <v xml:space="preserve"> </v>
      </c>
      <c r="S56" s="189"/>
      <c r="T56" s="253"/>
      <c r="U56" s="13"/>
      <c r="V56" s="253"/>
      <c r="W56" s="253"/>
      <c r="X56" s="16"/>
    </row>
    <row r="57" spans="1:24" ht="15" customHeight="1" x14ac:dyDescent="0.35">
      <c r="A57" s="245">
        <v>45098</v>
      </c>
      <c r="B57" s="246"/>
      <c r="C57" s="211" t="s">
        <v>296</v>
      </c>
      <c r="D57" s="15"/>
      <c r="E57" s="15">
        <v>4</v>
      </c>
      <c r="F57" s="9">
        <v>850</v>
      </c>
      <c r="G57" s="29">
        <f t="shared" si="0"/>
        <v>3400</v>
      </c>
      <c r="H57" s="11"/>
      <c r="I57" s="10"/>
      <c r="J57" s="29">
        <f t="shared" si="1"/>
        <v>0</v>
      </c>
      <c r="K57" s="29"/>
      <c r="L57" s="223">
        <f t="shared" si="2"/>
        <v>3400</v>
      </c>
      <c r="M57" s="12"/>
      <c r="N57" s="218" t="str">
        <f t="shared" si="3"/>
        <v xml:space="preserve"> </v>
      </c>
      <c r="O57" s="189"/>
      <c r="P57" s="189"/>
      <c r="Q57" s="189"/>
      <c r="R57" s="189" t="str">
        <f t="shared" si="4"/>
        <v xml:space="preserve"> </v>
      </c>
      <c r="S57" s="189"/>
      <c r="T57" s="253"/>
      <c r="U57" s="13"/>
      <c r="V57" s="253"/>
      <c r="W57" s="253"/>
      <c r="X57" s="16"/>
    </row>
    <row r="58" spans="1:24" ht="15" customHeight="1" x14ac:dyDescent="0.35">
      <c r="A58" s="245">
        <v>45099</v>
      </c>
      <c r="B58" s="246"/>
      <c r="C58" s="212" t="s">
        <v>330</v>
      </c>
      <c r="D58" s="15"/>
      <c r="E58" s="15">
        <v>2</v>
      </c>
      <c r="F58" s="9">
        <v>840</v>
      </c>
      <c r="G58" s="29">
        <f t="shared" si="0"/>
        <v>1680</v>
      </c>
      <c r="H58" s="11"/>
      <c r="I58" s="10"/>
      <c r="J58" s="29">
        <f t="shared" si="1"/>
        <v>0</v>
      </c>
      <c r="K58" s="29"/>
      <c r="L58" s="223">
        <f t="shared" si="2"/>
        <v>1680</v>
      </c>
      <c r="M58" s="12"/>
      <c r="N58" s="218" t="str">
        <f t="shared" si="3"/>
        <v xml:space="preserve"> </v>
      </c>
      <c r="O58" s="189"/>
      <c r="P58" s="189"/>
      <c r="Q58" s="189"/>
      <c r="R58" s="189" t="str">
        <f t="shared" si="4"/>
        <v xml:space="preserve"> </v>
      </c>
      <c r="S58" s="189"/>
      <c r="T58" s="253"/>
      <c r="U58" s="13"/>
      <c r="V58" s="253"/>
      <c r="W58" s="253"/>
      <c r="X58" s="16"/>
    </row>
    <row r="59" spans="1:24" ht="15" customHeight="1" x14ac:dyDescent="0.35">
      <c r="A59" s="245">
        <v>45099</v>
      </c>
      <c r="B59" s="246"/>
      <c r="C59" s="211" t="s">
        <v>280</v>
      </c>
      <c r="D59" s="15"/>
      <c r="E59" s="15">
        <v>2</v>
      </c>
      <c r="F59" s="9">
        <v>840</v>
      </c>
      <c r="G59" s="29">
        <f t="shared" si="0"/>
        <v>1680</v>
      </c>
      <c r="H59" s="11"/>
      <c r="I59" s="10"/>
      <c r="J59" s="29">
        <f t="shared" si="1"/>
        <v>0</v>
      </c>
      <c r="K59" s="29"/>
      <c r="L59" s="223">
        <f t="shared" si="2"/>
        <v>1680</v>
      </c>
      <c r="M59" s="12"/>
      <c r="N59" s="218" t="str">
        <f t="shared" si="3"/>
        <v xml:space="preserve"> </v>
      </c>
      <c r="O59" s="189"/>
      <c r="P59" s="189"/>
      <c r="Q59" s="189"/>
      <c r="R59" s="189" t="str">
        <f t="shared" si="4"/>
        <v xml:space="preserve"> </v>
      </c>
      <c r="S59" s="189"/>
      <c r="T59" s="253"/>
      <c r="U59" s="13"/>
      <c r="V59" s="253"/>
      <c r="W59" s="253"/>
      <c r="X59" s="16"/>
    </row>
    <row r="60" spans="1:24" ht="15" customHeight="1" x14ac:dyDescent="0.35">
      <c r="A60" s="245">
        <v>45099</v>
      </c>
      <c r="B60" s="246"/>
      <c r="C60" s="212" t="s">
        <v>428</v>
      </c>
      <c r="D60" s="15">
        <v>2</v>
      </c>
      <c r="E60" s="15"/>
      <c r="F60" s="9">
        <v>800</v>
      </c>
      <c r="G60" s="29">
        <f t="shared" si="0"/>
        <v>1600</v>
      </c>
      <c r="H60" s="11"/>
      <c r="I60" s="10"/>
      <c r="J60" s="29">
        <f t="shared" si="1"/>
        <v>0</v>
      </c>
      <c r="K60" s="29"/>
      <c r="L60" s="223">
        <f t="shared" si="2"/>
        <v>1600</v>
      </c>
      <c r="M60" s="12"/>
      <c r="N60" s="239" t="str">
        <f t="shared" si="3"/>
        <v xml:space="preserve"> </v>
      </c>
      <c r="O60" s="189"/>
      <c r="P60" s="189"/>
      <c r="Q60" s="189"/>
      <c r="R60" s="189" t="str">
        <f t="shared" si="4"/>
        <v xml:space="preserve"> </v>
      </c>
      <c r="S60" s="189"/>
      <c r="T60" s="253"/>
      <c r="U60" s="13"/>
      <c r="V60" s="253"/>
      <c r="W60" s="253"/>
      <c r="X60" s="16"/>
    </row>
    <row r="61" spans="1:24" ht="15" customHeight="1" x14ac:dyDescent="0.35">
      <c r="A61" s="245">
        <v>45099</v>
      </c>
      <c r="B61" s="246"/>
      <c r="C61" s="211" t="s">
        <v>429</v>
      </c>
      <c r="D61" s="15">
        <v>2</v>
      </c>
      <c r="E61" s="15"/>
      <c r="F61" s="9">
        <v>800</v>
      </c>
      <c r="G61" s="29">
        <f t="shared" si="0"/>
        <v>1600</v>
      </c>
      <c r="H61" s="11"/>
      <c r="I61" s="10"/>
      <c r="J61" s="29">
        <f t="shared" si="1"/>
        <v>0</v>
      </c>
      <c r="K61" s="29"/>
      <c r="L61" s="223">
        <f t="shared" si="2"/>
        <v>1600</v>
      </c>
      <c r="M61" s="12"/>
      <c r="N61" s="218" t="str">
        <f t="shared" si="3"/>
        <v xml:space="preserve"> </v>
      </c>
      <c r="O61" s="189"/>
      <c r="P61" s="189"/>
      <c r="Q61" s="189"/>
      <c r="R61" s="189" t="str">
        <f t="shared" si="4"/>
        <v xml:space="preserve"> </v>
      </c>
      <c r="S61" s="189"/>
      <c r="T61" s="253"/>
      <c r="U61" s="13"/>
      <c r="V61" s="253"/>
      <c r="W61" s="253"/>
      <c r="X61" s="16"/>
    </row>
    <row r="62" spans="1:24" ht="15" customHeight="1" x14ac:dyDescent="0.35">
      <c r="A62" s="245">
        <v>45099</v>
      </c>
      <c r="B62" s="246"/>
      <c r="C62" s="211" t="s">
        <v>322</v>
      </c>
      <c r="D62" s="15">
        <v>1</v>
      </c>
      <c r="E62" s="15"/>
      <c r="F62" s="9">
        <v>900</v>
      </c>
      <c r="G62" s="29">
        <f t="shared" si="0"/>
        <v>900</v>
      </c>
      <c r="H62" s="11"/>
      <c r="I62" s="10"/>
      <c r="J62" s="29">
        <f t="shared" si="1"/>
        <v>0</v>
      </c>
      <c r="K62" s="29"/>
      <c r="L62" s="223">
        <f t="shared" si="2"/>
        <v>900</v>
      </c>
      <c r="M62" s="12"/>
      <c r="N62" s="218" t="str">
        <f t="shared" si="3"/>
        <v xml:space="preserve"> </v>
      </c>
      <c r="O62" s="189"/>
      <c r="P62" s="189"/>
      <c r="Q62" s="189"/>
      <c r="R62" s="189" t="str">
        <f>IF(O62&gt;0,SUM(O62-(L62+P62))," ")</f>
        <v xml:space="preserve"> </v>
      </c>
      <c r="S62" s="189"/>
      <c r="T62" s="253"/>
      <c r="U62" s="13"/>
      <c r="V62" s="253"/>
      <c r="W62" s="253"/>
      <c r="X62" s="16"/>
    </row>
    <row r="63" spans="1:24" ht="15" customHeight="1" x14ac:dyDescent="0.35">
      <c r="A63" s="245">
        <v>45100</v>
      </c>
      <c r="B63" s="246"/>
      <c r="C63" s="212" t="s">
        <v>279</v>
      </c>
      <c r="D63" s="15">
        <v>6</v>
      </c>
      <c r="E63" s="15"/>
      <c r="F63" s="9">
        <v>800</v>
      </c>
      <c r="G63" s="29">
        <f t="shared" si="0"/>
        <v>4800</v>
      </c>
      <c r="H63" s="11"/>
      <c r="I63" s="10"/>
      <c r="J63" s="29">
        <f t="shared" si="1"/>
        <v>0</v>
      </c>
      <c r="K63" s="29"/>
      <c r="L63" s="223">
        <f t="shared" si="2"/>
        <v>4800</v>
      </c>
      <c r="M63" s="12"/>
      <c r="N63" s="218" t="str">
        <f t="shared" si="3"/>
        <v xml:space="preserve"> </v>
      </c>
      <c r="O63" s="189"/>
      <c r="P63" s="189"/>
      <c r="Q63" s="189"/>
      <c r="R63" s="189" t="str">
        <f>IF(O63&gt;0,SUM(O63-(L63+P63))," ")</f>
        <v xml:space="preserve"> </v>
      </c>
      <c r="S63" s="189"/>
      <c r="T63" s="253"/>
      <c r="U63" s="13"/>
      <c r="V63" s="253"/>
      <c r="W63" s="253"/>
      <c r="X63" s="16"/>
    </row>
    <row r="64" spans="1:24" ht="15" customHeight="1" x14ac:dyDescent="0.35">
      <c r="A64" s="245">
        <v>45100</v>
      </c>
      <c r="B64" s="246"/>
      <c r="C64" s="211" t="s">
        <v>415</v>
      </c>
      <c r="D64" s="15">
        <v>2</v>
      </c>
      <c r="E64" s="15"/>
      <c r="F64" s="9">
        <v>840</v>
      </c>
      <c r="G64" s="29">
        <f t="shared" si="0"/>
        <v>1680</v>
      </c>
      <c r="H64" s="11"/>
      <c r="I64" s="10"/>
      <c r="J64" s="29">
        <f t="shared" si="1"/>
        <v>0</v>
      </c>
      <c r="K64" s="29"/>
      <c r="L64" s="223">
        <f t="shared" si="2"/>
        <v>1680</v>
      </c>
      <c r="M64" s="213"/>
      <c r="N64" s="218" t="str">
        <f t="shared" ref="N64:N101" si="5">IF(M64&gt;0,SUM(L64-M64)," ")</f>
        <v xml:space="preserve"> </v>
      </c>
      <c r="O64" s="189"/>
      <c r="P64" s="189"/>
      <c r="Q64" s="189"/>
      <c r="R64" s="189" t="str">
        <f t="shared" ref="R64:R97" si="6">IF(O64&gt;0,SUM(O64-(L64+P64))," ")</f>
        <v xml:space="preserve"> </v>
      </c>
      <c r="S64" s="189"/>
      <c r="T64" s="253"/>
      <c r="U64" s="13"/>
      <c r="V64" s="253"/>
      <c r="W64" s="253"/>
      <c r="X64" s="16"/>
    </row>
    <row r="65" spans="1:24" ht="15" customHeight="1" x14ac:dyDescent="0.35">
      <c r="A65" s="245">
        <v>45103</v>
      </c>
      <c r="B65" s="246"/>
      <c r="C65" s="211" t="s">
        <v>323</v>
      </c>
      <c r="D65" s="15">
        <v>1</v>
      </c>
      <c r="E65" s="15"/>
      <c r="F65" s="9">
        <v>880</v>
      </c>
      <c r="G65" s="29">
        <f t="shared" si="0"/>
        <v>880</v>
      </c>
      <c r="H65" s="11"/>
      <c r="I65" s="10"/>
      <c r="J65" s="29">
        <f t="shared" si="1"/>
        <v>0</v>
      </c>
      <c r="K65" s="29"/>
      <c r="L65" s="223">
        <f t="shared" si="2"/>
        <v>880</v>
      </c>
      <c r="M65" s="213"/>
      <c r="N65" s="239" t="str">
        <f t="shared" si="5"/>
        <v xml:space="preserve"> </v>
      </c>
      <c r="O65" s="189"/>
      <c r="P65" s="189"/>
      <c r="Q65" s="189"/>
      <c r="R65" s="189" t="str">
        <f t="shared" si="6"/>
        <v xml:space="preserve"> </v>
      </c>
      <c r="S65" s="189"/>
      <c r="T65" s="253"/>
      <c r="U65" s="13"/>
      <c r="V65" s="253"/>
      <c r="W65" s="253"/>
      <c r="X65" s="16"/>
    </row>
    <row r="66" spans="1:24" ht="15" customHeight="1" x14ac:dyDescent="0.35">
      <c r="A66" s="245">
        <v>45103</v>
      </c>
      <c r="B66" s="246"/>
      <c r="C66" s="212" t="s">
        <v>153</v>
      </c>
      <c r="D66" s="15">
        <v>1</v>
      </c>
      <c r="E66" s="15"/>
      <c r="F66" s="9">
        <v>850</v>
      </c>
      <c r="G66" s="29">
        <f t="shared" si="0"/>
        <v>850</v>
      </c>
      <c r="H66" s="11"/>
      <c r="I66" s="10"/>
      <c r="J66" s="29">
        <f t="shared" si="1"/>
        <v>0</v>
      </c>
      <c r="K66" s="29"/>
      <c r="L66" s="223">
        <f t="shared" si="2"/>
        <v>850</v>
      </c>
      <c r="M66" s="12"/>
      <c r="N66" s="218" t="str">
        <f t="shared" si="5"/>
        <v xml:space="preserve"> </v>
      </c>
      <c r="O66" s="189"/>
      <c r="P66" s="189"/>
      <c r="Q66" s="189"/>
      <c r="R66" s="189" t="str">
        <f t="shared" si="6"/>
        <v xml:space="preserve"> </v>
      </c>
      <c r="S66" s="189"/>
      <c r="T66" s="253"/>
      <c r="U66" s="13"/>
      <c r="V66" s="253"/>
      <c r="W66" s="253"/>
      <c r="X66" s="16"/>
    </row>
    <row r="67" spans="1:24" ht="15" customHeight="1" x14ac:dyDescent="0.35">
      <c r="A67" s="245">
        <v>45103</v>
      </c>
      <c r="B67" s="246"/>
      <c r="C67" s="212" t="s">
        <v>428</v>
      </c>
      <c r="D67" s="15">
        <v>2</v>
      </c>
      <c r="E67" s="15"/>
      <c r="F67" s="9">
        <v>800</v>
      </c>
      <c r="G67" s="29">
        <f t="shared" si="0"/>
        <v>1600</v>
      </c>
      <c r="H67" s="11"/>
      <c r="I67" s="10"/>
      <c r="J67" s="29">
        <f t="shared" si="1"/>
        <v>0</v>
      </c>
      <c r="K67" s="29"/>
      <c r="L67" s="223">
        <f t="shared" si="2"/>
        <v>1600</v>
      </c>
      <c r="M67" s="12"/>
      <c r="N67" s="218" t="str">
        <f t="shared" si="5"/>
        <v xml:space="preserve"> </v>
      </c>
      <c r="O67" s="189"/>
      <c r="P67" s="189"/>
      <c r="Q67" s="189"/>
      <c r="R67" s="189" t="str">
        <f t="shared" si="6"/>
        <v xml:space="preserve"> </v>
      </c>
      <c r="S67" s="189"/>
      <c r="T67" s="253"/>
      <c r="U67" s="13"/>
      <c r="V67" s="253"/>
      <c r="W67" s="253"/>
      <c r="X67" s="16"/>
    </row>
    <row r="68" spans="1:24" ht="15" customHeight="1" x14ac:dyDescent="0.35">
      <c r="A68" s="245">
        <v>45103</v>
      </c>
      <c r="B68" s="246"/>
      <c r="C68" s="211" t="s">
        <v>426</v>
      </c>
      <c r="D68" s="15">
        <v>1</v>
      </c>
      <c r="E68" s="15"/>
      <c r="F68" s="9">
        <v>850</v>
      </c>
      <c r="G68" s="29">
        <f t="shared" si="0"/>
        <v>850</v>
      </c>
      <c r="H68" s="11"/>
      <c r="I68" s="10"/>
      <c r="J68" s="29">
        <f t="shared" si="1"/>
        <v>0</v>
      </c>
      <c r="K68" s="29"/>
      <c r="L68" s="223">
        <f t="shared" si="2"/>
        <v>850</v>
      </c>
      <c r="M68" s="12"/>
      <c r="N68" s="218" t="str">
        <f t="shared" si="5"/>
        <v xml:space="preserve"> </v>
      </c>
      <c r="O68" s="189"/>
      <c r="P68" s="189"/>
      <c r="Q68" s="189"/>
      <c r="R68" s="189" t="str">
        <f t="shared" si="6"/>
        <v xml:space="preserve"> </v>
      </c>
      <c r="S68" s="189"/>
      <c r="T68" s="253"/>
      <c r="U68" s="13"/>
      <c r="V68" s="253"/>
      <c r="W68" s="253"/>
      <c r="X68" s="16"/>
    </row>
    <row r="69" spans="1:24" ht="15" customHeight="1" x14ac:dyDescent="0.35">
      <c r="A69" s="245">
        <v>45103</v>
      </c>
      <c r="B69" s="246"/>
      <c r="C69" s="211" t="s">
        <v>281</v>
      </c>
      <c r="D69" s="15"/>
      <c r="E69" s="15">
        <v>5</v>
      </c>
      <c r="F69" s="9">
        <v>800</v>
      </c>
      <c r="G69" s="29">
        <f t="shared" si="0"/>
        <v>4000</v>
      </c>
      <c r="H69" s="11"/>
      <c r="I69" s="10"/>
      <c r="J69" s="29">
        <f t="shared" si="1"/>
        <v>0</v>
      </c>
      <c r="K69" s="29"/>
      <c r="L69" s="223">
        <f t="shared" si="2"/>
        <v>4000</v>
      </c>
      <c r="M69" s="12"/>
      <c r="N69" s="218" t="str">
        <f t="shared" si="5"/>
        <v xml:space="preserve"> </v>
      </c>
      <c r="O69" s="189"/>
      <c r="P69" s="189"/>
      <c r="Q69" s="189"/>
      <c r="R69" s="189" t="str">
        <f t="shared" si="6"/>
        <v xml:space="preserve"> </v>
      </c>
      <c r="S69" s="189"/>
      <c r="T69" s="253"/>
      <c r="U69" s="13"/>
      <c r="V69" s="253"/>
      <c r="W69" s="253"/>
      <c r="X69" s="16"/>
    </row>
    <row r="70" spans="1:24" ht="15" customHeight="1" x14ac:dyDescent="0.35">
      <c r="A70" s="245">
        <v>45104</v>
      </c>
      <c r="B70" s="246"/>
      <c r="C70" s="211" t="s">
        <v>321</v>
      </c>
      <c r="D70" s="15">
        <v>2</v>
      </c>
      <c r="E70" s="15"/>
      <c r="F70" s="9">
        <v>850</v>
      </c>
      <c r="G70" s="29">
        <f t="shared" ref="G70:G100" si="7">(F70*D70)+(E70*F70)</f>
        <v>1700</v>
      </c>
      <c r="H70" s="11"/>
      <c r="I70" s="10"/>
      <c r="J70" s="29">
        <f t="shared" ref="J70:J100" si="8">H70*I70</f>
        <v>0</v>
      </c>
      <c r="K70" s="29"/>
      <c r="L70" s="223">
        <f t="shared" si="2"/>
        <v>1700</v>
      </c>
      <c r="M70" s="12"/>
      <c r="N70" s="218" t="str">
        <f t="shared" si="5"/>
        <v xml:space="preserve"> </v>
      </c>
      <c r="O70" s="189"/>
      <c r="P70" s="189"/>
      <c r="Q70" s="189"/>
      <c r="R70" s="189" t="str">
        <f t="shared" si="6"/>
        <v xml:space="preserve"> </v>
      </c>
      <c r="S70" s="189"/>
      <c r="T70" s="253"/>
      <c r="U70" s="13"/>
      <c r="V70" s="253"/>
      <c r="W70" s="253"/>
      <c r="X70" s="16"/>
    </row>
    <row r="71" spans="1:24" ht="15" customHeight="1" x14ac:dyDescent="0.35">
      <c r="A71" s="245">
        <v>45104</v>
      </c>
      <c r="B71" s="246"/>
      <c r="C71" s="211" t="s">
        <v>415</v>
      </c>
      <c r="D71" s="15"/>
      <c r="E71" s="15">
        <v>3</v>
      </c>
      <c r="F71" s="9">
        <v>830</v>
      </c>
      <c r="G71" s="29">
        <f t="shared" si="7"/>
        <v>2490</v>
      </c>
      <c r="H71" s="11"/>
      <c r="I71" s="10"/>
      <c r="J71" s="29">
        <f t="shared" si="8"/>
        <v>0</v>
      </c>
      <c r="K71" s="29"/>
      <c r="L71" s="223">
        <f t="shared" ref="L71:L100" si="9">(J71+G71)-K71</f>
        <v>2490</v>
      </c>
      <c r="M71" s="12"/>
      <c r="N71" s="218" t="str">
        <f t="shared" si="5"/>
        <v xml:space="preserve"> </v>
      </c>
      <c r="O71" s="189"/>
      <c r="P71" s="189"/>
      <c r="Q71" s="189"/>
      <c r="R71" s="189" t="str">
        <f t="shared" si="6"/>
        <v xml:space="preserve"> </v>
      </c>
      <c r="S71" s="189"/>
      <c r="T71" s="253"/>
      <c r="U71" s="13"/>
      <c r="V71" s="253"/>
      <c r="W71" s="253"/>
      <c r="X71" s="16"/>
    </row>
    <row r="72" spans="1:24" ht="15" customHeight="1" x14ac:dyDescent="0.35">
      <c r="A72" s="245">
        <v>45105</v>
      </c>
      <c r="B72" s="246"/>
      <c r="C72" s="212" t="s">
        <v>345</v>
      </c>
      <c r="D72" s="15"/>
      <c r="E72" s="15">
        <v>1</v>
      </c>
      <c r="F72" s="9">
        <v>800</v>
      </c>
      <c r="G72" s="29">
        <f t="shared" si="7"/>
        <v>800</v>
      </c>
      <c r="H72" s="11"/>
      <c r="I72" s="10"/>
      <c r="J72" s="29">
        <f t="shared" si="8"/>
        <v>0</v>
      </c>
      <c r="K72" s="29"/>
      <c r="L72" s="223">
        <f t="shared" si="9"/>
        <v>800</v>
      </c>
      <c r="M72" s="12"/>
      <c r="N72" s="218" t="str">
        <f t="shared" si="5"/>
        <v xml:space="preserve"> </v>
      </c>
      <c r="O72" s="189"/>
      <c r="P72" s="189"/>
      <c r="Q72" s="189"/>
      <c r="R72" s="189" t="str">
        <f t="shared" si="6"/>
        <v xml:space="preserve"> </v>
      </c>
      <c r="S72" s="189"/>
      <c r="T72" s="253"/>
      <c r="U72" s="13"/>
      <c r="V72" s="253"/>
      <c r="W72" s="253"/>
      <c r="X72" s="16"/>
    </row>
    <row r="73" spans="1:24" ht="15" customHeight="1" x14ac:dyDescent="0.35">
      <c r="A73" s="245">
        <v>45105</v>
      </c>
      <c r="B73" s="246"/>
      <c r="C73" s="211" t="s">
        <v>319</v>
      </c>
      <c r="D73" s="15"/>
      <c r="E73" s="15">
        <v>2</v>
      </c>
      <c r="F73" s="9">
        <v>810</v>
      </c>
      <c r="G73" s="29">
        <f t="shared" si="7"/>
        <v>1620</v>
      </c>
      <c r="H73" s="11"/>
      <c r="I73" s="10"/>
      <c r="J73" s="29">
        <f t="shared" si="8"/>
        <v>0</v>
      </c>
      <c r="K73" s="29"/>
      <c r="L73" s="223">
        <f t="shared" si="9"/>
        <v>1620</v>
      </c>
      <c r="M73" s="12"/>
      <c r="N73" s="218" t="str">
        <f t="shared" si="5"/>
        <v xml:space="preserve"> </v>
      </c>
      <c r="O73" s="189"/>
      <c r="P73" s="189"/>
      <c r="Q73" s="189"/>
      <c r="R73" s="189" t="str">
        <f t="shared" si="6"/>
        <v xml:space="preserve"> </v>
      </c>
      <c r="S73" s="189"/>
      <c r="T73" s="253"/>
      <c r="U73" s="13"/>
      <c r="V73" s="253"/>
      <c r="W73" s="253"/>
      <c r="X73" s="16"/>
    </row>
    <row r="74" spans="1:24" ht="15" customHeight="1" x14ac:dyDescent="0.35">
      <c r="A74" s="245">
        <v>45105</v>
      </c>
      <c r="B74" s="246"/>
      <c r="C74" s="212" t="s">
        <v>330</v>
      </c>
      <c r="D74" s="15"/>
      <c r="E74" s="15">
        <v>5</v>
      </c>
      <c r="F74" s="9">
        <v>820</v>
      </c>
      <c r="G74" s="29">
        <f t="shared" si="7"/>
        <v>4100</v>
      </c>
      <c r="H74" s="11"/>
      <c r="I74" s="10"/>
      <c r="J74" s="29">
        <f t="shared" si="8"/>
        <v>0</v>
      </c>
      <c r="K74" s="29"/>
      <c r="L74" s="223">
        <f t="shared" si="9"/>
        <v>4100</v>
      </c>
      <c r="M74" s="12"/>
      <c r="N74" s="218" t="str">
        <f t="shared" si="5"/>
        <v xml:space="preserve"> </v>
      </c>
      <c r="O74" s="189"/>
      <c r="P74" s="189"/>
      <c r="Q74" s="189"/>
      <c r="R74" s="189" t="str">
        <f t="shared" si="6"/>
        <v xml:space="preserve"> </v>
      </c>
      <c r="S74" s="189"/>
      <c r="T74" s="253"/>
      <c r="U74" s="13"/>
      <c r="V74" s="253"/>
      <c r="W74" s="253"/>
      <c r="X74" s="16"/>
    </row>
    <row r="75" spans="1:24" ht="15" customHeight="1" x14ac:dyDescent="0.35">
      <c r="A75" s="245"/>
      <c r="B75" s="246"/>
      <c r="C75" s="211"/>
      <c r="D75" s="15"/>
      <c r="E75" s="15"/>
      <c r="F75" s="9">
        <v>800</v>
      </c>
      <c r="G75" s="29">
        <f t="shared" si="7"/>
        <v>0</v>
      </c>
      <c r="H75" s="11"/>
      <c r="I75" s="10"/>
      <c r="J75" s="29">
        <f t="shared" si="8"/>
        <v>0</v>
      </c>
      <c r="K75" s="29"/>
      <c r="L75" s="223">
        <f t="shared" si="9"/>
        <v>0</v>
      </c>
      <c r="M75" s="12"/>
      <c r="N75" s="218" t="str">
        <f t="shared" si="5"/>
        <v xml:space="preserve"> </v>
      </c>
      <c r="O75" s="189"/>
      <c r="P75" s="189"/>
      <c r="Q75" s="189"/>
      <c r="R75" s="189" t="str">
        <f t="shared" si="6"/>
        <v xml:space="preserve"> </v>
      </c>
      <c r="S75" s="189"/>
      <c r="T75" s="253"/>
      <c r="U75" s="13"/>
      <c r="V75" s="253"/>
      <c r="W75" s="253"/>
      <c r="X75" s="16"/>
    </row>
    <row r="76" spans="1:24" ht="15" customHeight="1" x14ac:dyDescent="0.35">
      <c r="A76" s="245">
        <v>45105</v>
      </c>
      <c r="B76" s="246"/>
      <c r="C76" s="211" t="s">
        <v>296</v>
      </c>
      <c r="D76" s="15">
        <v>4</v>
      </c>
      <c r="E76" s="15"/>
      <c r="F76" s="9">
        <v>840</v>
      </c>
      <c r="G76" s="29">
        <f t="shared" si="7"/>
        <v>3360</v>
      </c>
      <c r="H76" s="11"/>
      <c r="I76" s="10"/>
      <c r="J76" s="29">
        <f t="shared" si="8"/>
        <v>0</v>
      </c>
      <c r="K76" s="29"/>
      <c r="L76" s="223">
        <f t="shared" si="9"/>
        <v>3360</v>
      </c>
      <c r="M76" s="12"/>
      <c r="N76" s="218" t="str">
        <f t="shared" si="5"/>
        <v xml:space="preserve"> </v>
      </c>
      <c r="O76" s="189"/>
      <c r="P76" s="189"/>
      <c r="Q76" s="189"/>
      <c r="R76" s="189" t="str">
        <f t="shared" si="6"/>
        <v xml:space="preserve"> </v>
      </c>
      <c r="S76" s="189"/>
      <c r="T76" s="253"/>
      <c r="U76" s="13"/>
      <c r="V76" s="253"/>
      <c r="W76" s="253"/>
      <c r="X76" s="16"/>
    </row>
    <row r="77" spans="1:24" ht="15" customHeight="1" x14ac:dyDescent="0.35">
      <c r="A77" s="245">
        <v>45105</v>
      </c>
      <c r="B77" s="246"/>
      <c r="C77" s="211" t="s">
        <v>279</v>
      </c>
      <c r="D77" s="15">
        <v>6</v>
      </c>
      <c r="E77" s="15"/>
      <c r="F77" s="9">
        <v>800</v>
      </c>
      <c r="G77" s="29">
        <f t="shared" si="7"/>
        <v>4800</v>
      </c>
      <c r="H77" s="11"/>
      <c r="I77" s="10"/>
      <c r="J77" s="29">
        <f t="shared" si="8"/>
        <v>0</v>
      </c>
      <c r="K77" s="29"/>
      <c r="L77" s="223">
        <f t="shared" si="9"/>
        <v>4800</v>
      </c>
      <c r="M77" s="12"/>
      <c r="N77" s="218" t="str">
        <f t="shared" si="5"/>
        <v xml:space="preserve"> </v>
      </c>
      <c r="O77" s="189"/>
      <c r="P77" s="189"/>
      <c r="Q77" s="189"/>
      <c r="R77" s="189" t="str">
        <f t="shared" si="6"/>
        <v xml:space="preserve"> </v>
      </c>
      <c r="S77" s="189"/>
      <c r="T77" s="253"/>
      <c r="U77" s="13"/>
      <c r="V77" s="253"/>
      <c r="W77" s="253"/>
      <c r="X77" s="16"/>
    </row>
    <row r="78" spans="1:24" ht="15" customHeight="1" x14ac:dyDescent="0.35">
      <c r="A78" s="245">
        <v>45105</v>
      </c>
      <c r="B78" s="246"/>
      <c r="C78" s="211" t="s">
        <v>152</v>
      </c>
      <c r="D78" s="15">
        <v>4</v>
      </c>
      <c r="E78" s="15"/>
      <c r="F78" s="9">
        <v>830</v>
      </c>
      <c r="G78" s="29">
        <f t="shared" si="7"/>
        <v>3320</v>
      </c>
      <c r="H78" s="11"/>
      <c r="I78" s="10"/>
      <c r="J78" s="29">
        <f t="shared" si="8"/>
        <v>0</v>
      </c>
      <c r="K78" s="29"/>
      <c r="L78" s="223">
        <f t="shared" si="9"/>
        <v>3320</v>
      </c>
      <c r="M78" s="12"/>
      <c r="N78" s="218" t="str">
        <f t="shared" si="5"/>
        <v xml:space="preserve"> </v>
      </c>
      <c r="O78" s="189"/>
      <c r="P78" s="189"/>
      <c r="Q78" s="189"/>
      <c r="R78" s="189" t="str">
        <f t="shared" si="6"/>
        <v xml:space="preserve"> </v>
      </c>
      <c r="S78" s="189"/>
      <c r="T78" s="253"/>
      <c r="U78" s="13"/>
      <c r="V78" s="253"/>
      <c r="W78" s="253"/>
      <c r="X78" s="16"/>
    </row>
    <row r="79" spans="1:24" ht="15" customHeight="1" x14ac:dyDescent="0.35">
      <c r="A79" s="245">
        <v>45107</v>
      </c>
      <c r="B79" s="246"/>
      <c r="C79" s="211" t="s">
        <v>432</v>
      </c>
      <c r="D79" s="15">
        <v>1</v>
      </c>
      <c r="E79" s="15"/>
      <c r="F79" s="9">
        <v>850</v>
      </c>
      <c r="G79" s="29">
        <f t="shared" si="7"/>
        <v>850</v>
      </c>
      <c r="H79" s="11"/>
      <c r="I79" s="10"/>
      <c r="J79" s="29">
        <f t="shared" si="8"/>
        <v>0</v>
      </c>
      <c r="K79" s="29"/>
      <c r="L79" s="223">
        <f t="shared" si="9"/>
        <v>850</v>
      </c>
      <c r="M79" s="12"/>
      <c r="N79" s="218" t="str">
        <f t="shared" si="5"/>
        <v xml:space="preserve"> </v>
      </c>
      <c r="O79" s="189"/>
      <c r="P79" s="189"/>
      <c r="Q79" s="189"/>
      <c r="R79" s="189" t="str">
        <f t="shared" si="6"/>
        <v xml:space="preserve"> </v>
      </c>
      <c r="S79" s="189"/>
      <c r="T79" s="253"/>
      <c r="U79" s="13"/>
      <c r="V79" s="253"/>
      <c r="W79" s="253"/>
      <c r="X79" s="16"/>
    </row>
    <row r="80" spans="1:24" ht="15" customHeight="1" x14ac:dyDescent="0.35">
      <c r="A80" s="245">
        <v>45107</v>
      </c>
      <c r="B80" s="246"/>
      <c r="C80" s="211" t="s">
        <v>322</v>
      </c>
      <c r="D80" s="15">
        <v>2</v>
      </c>
      <c r="E80" s="15"/>
      <c r="F80" s="9">
        <v>850</v>
      </c>
      <c r="G80" s="29">
        <f t="shared" si="7"/>
        <v>1700</v>
      </c>
      <c r="H80" s="11"/>
      <c r="I80" s="10"/>
      <c r="J80" s="29">
        <f t="shared" si="8"/>
        <v>0</v>
      </c>
      <c r="K80" s="29"/>
      <c r="L80" s="223">
        <f t="shared" si="9"/>
        <v>1700</v>
      </c>
      <c r="M80" s="12"/>
      <c r="N80" s="239" t="str">
        <f t="shared" si="5"/>
        <v xml:space="preserve"> </v>
      </c>
      <c r="O80" s="189"/>
      <c r="P80" s="189"/>
      <c r="Q80" s="189"/>
      <c r="R80" s="189" t="str">
        <f t="shared" si="6"/>
        <v xml:space="preserve"> </v>
      </c>
      <c r="S80" s="189"/>
      <c r="T80" s="253"/>
      <c r="U80" s="13"/>
      <c r="V80" s="253"/>
      <c r="W80" s="253"/>
      <c r="X80" s="16"/>
    </row>
    <row r="81" spans="1:24" ht="15" customHeight="1" x14ac:dyDescent="0.35">
      <c r="A81" s="245">
        <v>45107</v>
      </c>
      <c r="B81" s="246"/>
      <c r="C81" s="211" t="s">
        <v>325</v>
      </c>
      <c r="D81" s="15">
        <v>1</v>
      </c>
      <c r="E81" s="15"/>
      <c r="F81" s="9">
        <v>850</v>
      </c>
      <c r="G81" s="29">
        <f t="shared" si="7"/>
        <v>850</v>
      </c>
      <c r="H81" s="11"/>
      <c r="I81" s="10"/>
      <c r="J81" s="29">
        <f t="shared" si="8"/>
        <v>0</v>
      </c>
      <c r="K81" s="29"/>
      <c r="L81" s="223">
        <f t="shared" si="9"/>
        <v>850</v>
      </c>
      <c r="M81" s="12"/>
      <c r="N81" s="218" t="str">
        <f t="shared" si="5"/>
        <v xml:space="preserve"> </v>
      </c>
      <c r="O81" s="189"/>
      <c r="P81" s="189"/>
      <c r="Q81" s="189"/>
      <c r="R81" s="189" t="str">
        <f t="shared" si="6"/>
        <v xml:space="preserve"> </v>
      </c>
      <c r="S81" s="189"/>
      <c r="T81" s="253"/>
      <c r="U81" s="13"/>
      <c r="V81" s="253"/>
      <c r="W81" s="253"/>
      <c r="X81" s="16"/>
    </row>
    <row r="82" spans="1:24" ht="15" customHeight="1" x14ac:dyDescent="0.35">
      <c r="A82" s="245">
        <v>45107</v>
      </c>
      <c r="B82" s="24"/>
      <c r="C82" s="211" t="s">
        <v>323</v>
      </c>
      <c r="D82" s="15">
        <v>1</v>
      </c>
      <c r="E82" s="15"/>
      <c r="F82" s="9">
        <v>850</v>
      </c>
      <c r="G82" s="29">
        <f t="shared" si="7"/>
        <v>850</v>
      </c>
      <c r="H82" s="11"/>
      <c r="I82" s="10"/>
      <c r="J82" s="29">
        <f t="shared" si="8"/>
        <v>0</v>
      </c>
      <c r="K82" s="29"/>
      <c r="L82" s="223">
        <f t="shared" si="9"/>
        <v>850</v>
      </c>
      <c r="M82" s="12"/>
      <c r="N82" s="218" t="str">
        <f t="shared" ref="N82:N90" si="10">IF(M82&gt;0,SUM(L82-M82)," ")</f>
        <v xml:space="preserve"> </v>
      </c>
      <c r="O82" s="189"/>
      <c r="P82" s="189"/>
      <c r="Q82" s="189"/>
      <c r="R82" s="189" t="str">
        <f t="shared" si="6"/>
        <v xml:space="preserve"> </v>
      </c>
      <c r="S82" s="189"/>
      <c r="T82" s="253"/>
      <c r="U82" s="13"/>
      <c r="V82" s="253"/>
      <c r="W82" s="253"/>
      <c r="X82" s="16"/>
    </row>
    <row r="83" spans="1:24" ht="15" customHeight="1" x14ac:dyDescent="0.35">
      <c r="A83" s="245"/>
      <c r="B83" s="24"/>
      <c r="C83" s="211"/>
      <c r="D83" s="15"/>
      <c r="E83" s="15"/>
      <c r="F83" s="9">
        <v>850</v>
      </c>
      <c r="G83" s="29">
        <f t="shared" si="7"/>
        <v>0</v>
      </c>
      <c r="H83" s="11"/>
      <c r="I83" s="10"/>
      <c r="J83" s="29">
        <f t="shared" si="8"/>
        <v>0</v>
      </c>
      <c r="K83" s="29"/>
      <c r="L83" s="223">
        <f t="shared" si="9"/>
        <v>0</v>
      </c>
      <c r="M83" s="12"/>
      <c r="N83" s="218" t="str">
        <f t="shared" si="10"/>
        <v xml:space="preserve"> </v>
      </c>
      <c r="O83" s="189"/>
      <c r="P83" s="189"/>
      <c r="Q83" s="189"/>
      <c r="R83" s="189" t="str">
        <f t="shared" si="6"/>
        <v xml:space="preserve"> </v>
      </c>
      <c r="S83" s="189"/>
      <c r="T83" s="253"/>
      <c r="U83" s="13"/>
      <c r="V83" s="253"/>
      <c r="W83" s="253"/>
      <c r="X83" s="16"/>
    </row>
    <row r="84" spans="1:24" ht="15" customHeight="1" x14ac:dyDescent="0.35">
      <c r="A84" s="245"/>
      <c r="B84" s="24"/>
      <c r="C84" s="211"/>
      <c r="D84" s="15"/>
      <c r="E84" s="15"/>
      <c r="F84" s="9">
        <v>850</v>
      </c>
      <c r="G84" s="29">
        <f t="shared" si="7"/>
        <v>0</v>
      </c>
      <c r="H84" s="11"/>
      <c r="I84" s="10"/>
      <c r="J84" s="29">
        <f t="shared" si="8"/>
        <v>0</v>
      </c>
      <c r="K84" s="29"/>
      <c r="L84" s="223">
        <f t="shared" si="9"/>
        <v>0</v>
      </c>
      <c r="M84" s="12"/>
      <c r="N84" s="218" t="str">
        <f t="shared" si="10"/>
        <v xml:space="preserve"> </v>
      </c>
      <c r="O84" s="189"/>
      <c r="P84" s="189"/>
      <c r="Q84" s="189"/>
      <c r="R84" s="189" t="str">
        <f t="shared" si="6"/>
        <v xml:space="preserve"> </v>
      </c>
      <c r="S84" s="189"/>
      <c r="T84" s="253"/>
      <c r="U84" s="13"/>
      <c r="V84" s="253"/>
      <c r="W84" s="253"/>
      <c r="X84" s="16"/>
    </row>
    <row r="85" spans="1:24" ht="15" customHeight="1" x14ac:dyDescent="0.35">
      <c r="A85" s="23"/>
      <c r="B85" s="23"/>
      <c r="C85" s="188"/>
      <c r="D85" s="15"/>
      <c r="E85" s="15"/>
      <c r="F85" s="9">
        <v>800</v>
      </c>
      <c r="G85" s="29">
        <f t="shared" si="7"/>
        <v>0</v>
      </c>
      <c r="H85" s="11"/>
      <c r="I85" s="10"/>
      <c r="J85" s="29">
        <f t="shared" si="8"/>
        <v>0</v>
      </c>
      <c r="K85" s="29"/>
      <c r="L85" s="223">
        <f t="shared" si="9"/>
        <v>0</v>
      </c>
      <c r="M85" s="12"/>
      <c r="N85" s="218" t="str">
        <f t="shared" si="10"/>
        <v xml:space="preserve"> </v>
      </c>
      <c r="O85" s="189"/>
      <c r="P85" s="189"/>
      <c r="Q85" s="189"/>
      <c r="R85" s="189" t="str">
        <f t="shared" si="6"/>
        <v xml:space="preserve"> </v>
      </c>
      <c r="S85" s="189"/>
      <c r="T85" s="253"/>
      <c r="U85" s="13"/>
      <c r="V85" s="253"/>
      <c r="W85" s="253"/>
      <c r="X85" s="16"/>
    </row>
    <row r="86" spans="1:24" ht="15" customHeight="1" x14ac:dyDescent="0.35">
      <c r="A86" s="23"/>
      <c r="B86" s="23"/>
      <c r="C86" s="211"/>
      <c r="D86" s="15"/>
      <c r="E86" s="15"/>
      <c r="F86" s="9">
        <v>800</v>
      </c>
      <c r="G86" s="29">
        <f t="shared" si="7"/>
        <v>0</v>
      </c>
      <c r="H86" s="11"/>
      <c r="I86" s="10"/>
      <c r="J86" s="29">
        <f t="shared" si="8"/>
        <v>0</v>
      </c>
      <c r="K86" s="29"/>
      <c r="L86" s="223">
        <f t="shared" si="9"/>
        <v>0</v>
      </c>
      <c r="M86" s="12"/>
      <c r="N86" s="218" t="str">
        <f t="shared" si="10"/>
        <v xml:space="preserve"> </v>
      </c>
      <c r="O86" s="189"/>
      <c r="P86" s="189"/>
      <c r="Q86" s="189"/>
      <c r="R86" s="189" t="str">
        <f t="shared" si="6"/>
        <v xml:space="preserve"> </v>
      </c>
      <c r="S86" s="189"/>
      <c r="T86" s="253"/>
      <c r="U86" s="13"/>
      <c r="V86" s="253"/>
      <c r="W86" s="253"/>
      <c r="X86" s="16"/>
    </row>
    <row r="87" spans="1:24" ht="15" customHeight="1" x14ac:dyDescent="0.35">
      <c r="A87" s="23"/>
      <c r="B87" s="24"/>
      <c r="C87" s="211"/>
      <c r="D87" s="15"/>
      <c r="E87" s="15"/>
      <c r="F87" s="9">
        <v>800</v>
      </c>
      <c r="G87" s="29">
        <f t="shared" si="7"/>
        <v>0</v>
      </c>
      <c r="H87" s="11"/>
      <c r="I87" s="10"/>
      <c r="J87" s="29">
        <f t="shared" si="8"/>
        <v>0</v>
      </c>
      <c r="K87" s="29"/>
      <c r="L87" s="223">
        <f t="shared" si="9"/>
        <v>0</v>
      </c>
      <c r="M87" s="12"/>
      <c r="N87" s="218" t="str">
        <f t="shared" si="10"/>
        <v xml:space="preserve"> </v>
      </c>
      <c r="O87" s="189"/>
      <c r="P87" s="189"/>
      <c r="Q87" s="189"/>
      <c r="R87" s="189" t="str">
        <f t="shared" si="6"/>
        <v xml:space="preserve"> </v>
      </c>
      <c r="S87" s="189"/>
      <c r="T87" s="253"/>
      <c r="U87" s="13"/>
      <c r="V87" s="253"/>
      <c r="W87" s="253"/>
      <c r="X87" s="16"/>
    </row>
    <row r="88" spans="1:24" ht="15" customHeight="1" x14ac:dyDescent="0.35">
      <c r="A88" s="23"/>
      <c r="B88" s="24"/>
      <c r="C88" s="211"/>
      <c r="D88" s="15"/>
      <c r="E88" s="15"/>
      <c r="F88" s="9">
        <v>800</v>
      </c>
      <c r="G88" s="29">
        <f t="shared" si="7"/>
        <v>0</v>
      </c>
      <c r="H88" s="11"/>
      <c r="I88" s="10"/>
      <c r="J88" s="29">
        <f t="shared" si="8"/>
        <v>0</v>
      </c>
      <c r="K88" s="29"/>
      <c r="L88" s="223">
        <f t="shared" si="9"/>
        <v>0</v>
      </c>
      <c r="M88" s="12"/>
      <c r="N88" s="218" t="str">
        <f t="shared" si="10"/>
        <v xml:space="preserve"> </v>
      </c>
      <c r="O88" s="189"/>
      <c r="P88" s="189"/>
      <c r="Q88" s="189"/>
      <c r="R88" s="189" t="str">
        <f t="shared" si="6"/>
        <v xml:space="preserve"> </v>
      </c>
      <c r="S88" s="189"/>
      <c r="T88" s="253"/>
      <c r="U88" s="13"/>
      <c r="V88" s="253"/>
      <c r="W88" s="253"/>
      <c r="X88" s="16"/>
    </row>
    <row r="89" spans="1:24" ht="15" customHeight="1" x14ac:dyDescent="0.35">
      <c r="A89" s="227"/>
      <c r="B89" s="23"/>
      <c r="C89" s="212"/>
      <c r="D89" s="15"/>
      <c r="E89" s="15"/>
      <c r="F89" s="9">
        <v>800</v>
      </c>
      <c r="G89" s="29">
        <f t="shared" si="7"/>
        <v>0</v>
      </c>
      <c r="H89" s="11"/>
      <c r="I89" s="10"/>
      <c r="J89" s="29">
        <f t="shared" si="8"/>
        <v>0</v>
      </c>
      <c r="K89" s="29"/>
      <c r="L89" s="223">
        <f t="shared" si="9"/>
        <v>0</v>
      </c>
      <c r="M89" s="12"/>
      <c r="N89" s="218" t="str">
        <f t="shared" si="10"/>
        <v xml:space="preserve"> </v>
      </c>
      <c r="O89" s="189"/>
      <c r="P89" s="189"/>
      <c r="Q89" s="189"/>
      <c r="R89" s="189" t="str">
        <f t="shared" si="6"/>
        <v xml:space="preserve"> </v>
      </c>
      <c r="S89" s="189"/>
      <c r="T89" s="253"/>
      <c r="U89" s="13"/>
      <c r="V89" s="253"/>
      <c r="W89" s="253"/>
      <c r="X89" s="16"/>
    </row>
    <row r="90" spans="1:24" ht="15" customHeight="1" x14ac:dyDescent="0.35">
      <c r="A90" s="23"/>
      <c r="B90" s="24"/>
      <c r="C90" s="211"/>
      <c r="D90" s="15"/>
      <c r="E90" s="15"/>
      <c r="F90" s="9">
        <v>800</v>
      </c>
      <c r="G90" s="29">
        <f t="shared" si="7"/>
        <v>0</v>
      </c>
      <c r="H90" s="11"/>
      <c r="I90" s="10"/>
      <c r="J90" s="29">
        <f t="shared" si="8"/>
        <v>0</v>
      </c>
      <c r="K90" s="29"/>
      <c r="L90" s="223">
        <f t="shared" si="9"/>
        <v>0</v>
      </c>
      <c r="M90" s="12"/>
      <c r="N90" s="218" t="str">
        <f t="shared" si="10"/>
        <v xml:space="preserve"> </v>
      </c>
      <c r="O90" s="189"/>
      <c r="P90" s="189"/>
      <c r="Q90" s="189"/>
      <c r="R90" s="189" t="str">
        <f t="shared" si="6"/>
        <v xml:space="preserve"> </v>
      </c>
      <c r="S90" s="189"/>
      <c r="T90" s="253"/>
      <c r="U90" s="13"/>
      <c r="V90" s="253"/>
      <c r="W90" s="253"/>
      <c r="X90" s="16"/>
    </row>
    <row r="91" spans="1:24" ht="15" customHeight="1" x14ac:dyDescent="0.35">
      <c r="A91" s="23"/>
      <c r="B91" s="24"/>
      <c r="C91" s="211"/>
      <c r="D91" s="15"/>
      <c r="E91" s="15"/>
      <c r="F91" s="9">
        <v>800</v>
      </c>
      <c r="G91" s="29">
        <f t="shared" si="7"/>
        <v>0</v>
      </c>
      <c r="H91" s="11"/>
      <c r="I91" s="10"/>
      <c r="J91" s="29">
        <f t="shared" si="8"/>
        <v>0</v>
      </c>
      <c r="K91" s="29"/>
      <c r="L91" s="223">
        <f t="shared" si="9"/>
        <v>0</v>
      </c>
      <c r="M91" s="12"/>
      <c r="N91" s="218" t="str">
        <f t="shared" si="5"/>
        <v xml:space="preserve"> </v>
      </c>
      <c r="O91" s="189"/>
      <c r="P91" s="189"/>
      <c r="Q91" s="189"/>
      <c r="R91" s="189" t="str">
        <f t="shared" si="6"/>
        <v xml:space="preserve"> </v>
      </c>
      <c r="S91" s="189"/>
      <c r="T91" s="253"/>
      <c r="U91" s="13"/>
      <c r="V91" s="253"/>
      <c r="W91" s="253"/>
      <c r="X91" s="16"/>
    </row>
    <row r="92" spans="1:24" ht="15" customHeight="1" x14ac:dyDescent="0.35">
      <c r="A92" s="23"/>
      <c r="B92" s="24"/>
      <c r="C92" s="211"/>
      <c r="D92" s="15"/>
      <c r="E92" s="15"/>
      <c r="F92" s="9">
        <v>800</v>
      </c>
      <c r="G92" s="29">
        <f t="shared" si="7"/>
        <v>0</v>
      </c>
      <c r="H92" s="11"/>
      <c r="I92" s="10"/>
      <c r="J92" s="29">
        <f t="shared" si="8"/>
        <v>0</v>
      </c>
      <c r="K92" s="29"/>
      <c r="L92" s="223">
        <f t="shared" si="9"/>
        <v>0</v>
      </c>
      <c r="M92" s="12"/>
      <c r="N92" s="218" t="str">
        <f t="shared" si="5"/>
        <v xml:space="preserve"> </v>
      </c>
      <c r="O92" s="189"/>
      <c r="P92" s="189"/>
      <c r="Q92" s="189"/>
      <c r="R92" s="189" t="str">
        <f t="shared" si="6"/>
        <v xml:space="preserve"> </v>
      </c>
      <c r="S92" s="189"/>
      <c r="T92" s="253"/>
      <c r="U92" s="13"/>
      <c r="V92" s="253"/>
      <c r="W92" s="253"/>
      <c r="X92" s="16"/>
    </row>
    <row r="93" spans="1:24" ht="15" customHeight="1" x14ac:dyDescent="0.35">
      <c r="A93" s="227"/>
      <c r="B93" s="23"/>
      <c r="C93" s="212"/>
      <c r="D93" s="15"/>
      <c r="E93" s="15"/>
      <c r="F93" s="9">
        <v>800</v>
      </c>
      <c r="G93" s="29">
        <f t="shared" si="7"/>
        <v>0</v>
      </c>
      <c r="H93" s="11"/>
      <c r="I93" s="10"/>
      <c r="J93" s="29">
        <f t="shared" si="8"/>
        <v>0</v>
      </c>
      <c r="K93" s="29"/>
      <c r="L93" s="223">
        <f t="shared" si="9"/>
        <v>0</v>
      </c>
      <c r="M93" s="12"/>
      <c r="N93" s="218" t="str">
        <f t="shared" si="5"/>
        <v xml:space="preserve"> </v>
      </c>
      <c r="O93" s="189"/>
      <c r="P93" s="189"/>
      <c r="Q93" s="189"/>
      <c r="R93" s="189" t="str">
        <f t="shared" si="6"/>
        <v xml:space="preserve"> </v>
      </c>
      <c r="S93" s="189"/>
      <c r="T93" s="253"/>
      <c r="U93" s="13"/>
      <c r="V93" s="253"/>
      <c r="W93" s="253"/>
      <c r="X93" s="16"/>
    </row>
    <row r="94" spans="1:24" ht="15" customHeight="1" x14ac:dyDescent="0.35">
      <c r="A94" s="23"/>
      <c r="B94" s="24"/>
      <c r="C94" s="211"/>
      <c r="D94" s="15"/>
      <c r="E94" s="15"/>
      <c r="F94" s="9">
        <v>800</v>
      </c>
      <c r="G94" s="29">
        <f t="shared" si="7"/>
        <v>0</v>
      </c>
      <c r="H94" s="11"/>
      <c r="I94" s="10"/>
      <c r="J94" s="29">
        <f t="shared" si="8"/>
        <v>0</v>
      </c>
      <c r="K94" s="29"/>
      <c r="L94" s="223">
        <f t="shared" si="9"/>
        <v>0</v>
      </c>
      <c r="M94" s="12"/>
      <c r="N94" s="218" t="str">
        <f t="shared" si="5"/>
        <v xml:space="preserve"> </v>
      </c>
      <c r="O94" s="189"/>
      <c r="P94" s="189"/>
      <c r="Q94" s="189"/>
      <c r="R94" s="189" t="str">
        <f t="shared" si="6"/>
        <v xml:space="preserve"> </v>
      </c>
      <c r="S94" s="189"/>
      <c r="T94" s="253"/>
      <c r="U94" s="13"/>
      <c r="V94" s="253"/>
      <c r="W94" s="253"/>
      <c r="X94" s="16"/>
    </row>
    <row r="95" spans="1:24" ht="15" customHeight="1" x14ac:dyDescent="0.35">
      <c r="A95" s="227"/>
      <c r="B95" s="24"/>
      <c r="C95" s="211"/>
      <c r="D95" s="15"/>
      <c r="E95" s="15"/>
      <c r="F95" s="9">
        <v>800</v>
      </c>
      <c r="G95" s="29">
        <f t="shared" si="7"/>
        <v>0</v>
      </c>
      <c r="H95" s="11"/>
      <c r="I95" s="10"/>
      <c r="J95" s="29">
        <f t="shared" si="8"/>
        <v>0</v>
      </c>
      <c r="K95" s="29"/>
      <c r="L95" s="223">
        <f t="shared" si="9"/>
        <v>0</v>
      </c>
      <c r="M95" s="12"/>
      <c r="N95" s="218" t="str">
        <f t="shared" si="5"/>
        <v xml:space="preserve"> </v>
      </c>
      <c r="O95" s="189"/>
      <c r="P95" s="189"/>
      <c r="Q95" s="189"/>
      <c r="R95" s="189" t="str">
        <f t="shared" si="6"/>
        <v xml:space="preserve"> </v>
      </c>
      <c r="S95" s="189"/>
      <c r="T95" s="253"/>
      <c r="U95" s="13"/>
      <c r="V95" s="253"/>
      <c r="W95" s="253"/>
      <c r="X95" s="16"/>
    </row>
    <row r="96" spans="1:24" ht="15" customHeight="1" x14ac:dyDescent="0.35">
      <c r="A96" s="227"/>
      <c r="B96" s="24"/>
      <c r="C96" s="211"/>
      <c r="D96" s="15"/>
      <c r="E96" s="15"/>
      <c r="F96" s="9">
        <v>800</v>
      </c>
      <c r="G96" s="29">
        <f t="shared" si="7"/>
        <v>0</v>
      </c>
      <c r="H96" s="11"/>
      <c r="I96" s="10"/>
      <c r="J96" s="29">
        <f t="shared" si="8"/>
        <v>0</v>
      </c>
      <c r="K96" s="29"/>
      <c r="L96" s="223">
        <f t="shared" si="9"/>
        <v>0</v>
      </c>
      <c r="M96" s="12"/>
      <c r="N96" s="218" t="str">
        <f t="shared" si="5"/>
        <v xml:space="preserve"> </v>
      </c>
      <c r="O96" s="189"/>
      <c r="P96" s="189"/>
      <c r="Q96" s="189"/>
      <c r="R96" s="189" t="str">
        <f t="shared" si="6"/>
        <v xml:space="preserve"> </v>
      </c>
      <c r="S96" s="189"/>
      <c r="T96" s="253"/>
      <c r="U96" s="13"/>
      <c r="V96" s="253"/>
      <c r="W96" s="253"/>
      <c r="X96" s="16"/>
    </row>
    <row r="97" spans="1:24" ht="15" customHeight="1" x14ac:dyDescent="0.35">
      <c r="A97" s="227"/>
      <c r="B97" s="24"/>
      <c r="C97" s="212"/>
      <c r="D97" s="15"/>
      <c r="E97" s="15"/>
      <c r="F97" s="9">
        <v>800</v>
      </c>
      <c r="G97" s="29">
        <f t="shared" si="7"/>
        <v>0</v>
      </c>
      <c r="H97" s="11"/>
      <c r="I97" s="10"/>
      <c r="J97" s="29">
        <f t="shared" si="8"/>
        <v>0</v>
      </c>
      <c r="K97" s="29"/>
      <c r="L97" s="223">
        <f t="shared" si="9"/>
        <v>0</v>
      </c>
      <c r="M97" s="12"/>
      <c r="N97" s="218" t="str">
        <f>IF(M97&gt;0,SUM(L97-M97)," ")</f>
        <v xml:space="preserve"> </v>
      </c>
      <c r="O97" s="189"/>
      <c r="P97" s="189"/>
      <c r="Q97" s="189"/>
      <c r="R97" s="189" t="str">
        <f t="shared" si="6"/>
        <v xml:space="preserve"> </v>
      </c>
      <c r="S97" s="189"/>
      <c r="T97" s="253"/>
      <c r="U97" s="13"/>
      <c r="V97" s="253"/>
      <c r="W97" s="253"/>
      <c r="X97" s="16"/>
    </row>
    <row r="98" spans="1:24" ht="15" customHeight="1" x14ac:dyDescent="0.35">
      <c r="A98" s="227"/>
      <c r="B98" s="24"/>
      <c r="C98" s="206"/>
      <c r="D98" s="15"/>
      <c r="E98" s="15"/>
      <c r="F98" s="9">
        <v>800</v>
      </c>
      <c r="G98" s="29">
        <f t="shared" si="7"/>
        <v>0</v>
      </c>
      <c r="H98" s="11"/>
      <c r="I98" s="10"/>
      <c r="J98" s="29">
        <f t="shared" si="8"/>
        <v>0</v>
      </c>
      <c r="K98" s="29"/>
      <c r="L98" s="223">
        <f t="shared" si="9"/>
        <v>0</v>
      </c>
      <c r="M98" s="12"/>
      <c r="N98" s="218" t="str">
        <f t="shared" si="5"/>
        <v xml:space="preserve"> </v>
      </c>
      <c r="O98" s="189"/>
      <c r="P98" s="189"/>
      <c r="Q98" s="189"/>
      <c r="R98" s="189" t="str">
        <f t="shared" si="4"/>
        <v xml:space="preserve"> </v>
      </c>
      <c r="S98" s="189"/>
      <c r="T98" s="253"/>
      <c r="U98" s="13"/>
      <c r="V98" s="253"/>
      <c r="W98" s="253"/>
      <c r="X98" s="16"/>
    </row>
    <row r="99" spans="1:24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7"/>
        <v>0</v>
      </c>
      <c r="H99" s="11"/>
      <c r="I99" s="10"/>
      <c r="J99" s="29">
        <f t="shared" si="8"/>
        <v>0</v>
      </c>
      <c r="K99" s="29"/>
      <c r="L99" s="223">
        <f t="shared" si="9"/>
        <v>0</v>
      </c>
      <c r="M99" s="12"/>
      <c r="N99" s="218" t="str">
        <f t="shared" si="5"/>
        <v xml:space="preserve"> </v>
      </c>
      <c r="O99" s="189"/>
      <c r="P99" s="189"/>
      <c r="Q99" s="189"/>
      <c r="R99" s="189" t="str">
        <f t="shared" si="4"/>
        <v xml:space="preserve"> </v>
      </c>
      <c r="S99" s="189"/>
      <c r="T99" s="253"/>
      <c r="U99" s="13"/>
      <c r="V99" s="253"/>
      <c r="W99" s="253"/>
      <c r="X99" s="16"/>
    </row>
    <row r="100" spans="1:24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7"/>
        <v>0</v>
      </c>
      <c r="H100" s="11"/>
      <c r="I100" s="10"/>
      <c r="J100" s="29">
        <f t="shared" si="8"/>
        <v>0</v>
      </c>
      <c r="K100" s="29"/>
      <c r="L100" s="223">
        <f t="shared" si="9"/>
        <v>0</v>
      </c>
      <c r="M100" s="12"/>
      <c r="N100" s="218" t="str">
        <f t="shared" si="5"/>
        <v xml:space="preserve"> </v>
      </c>
      <c r="O100" s="189"/>
      <c r="P100" s="189"/>
      <c r="Q100" s="189"/>
      <c r="R100" s="189" t="str">
        <f t="shared" si="4"/>
        <v xml:space="preserve"> </v>
      </c>
      <c r="S100" s="189"/>
      <c r="T100" s="253"/>
      <c r="U100" s="13"/>
      <c r="V100" s="253"/>
      <c r="W100" s="253"/>
      <c r="X100" s="16"/>
    </row>
    <row r="101" spans="1:24" ht="16" x14ac:dyDescent="0.5">
      <c r="D101" s="21">
        <f>SUM(D4:D100)</f>
        <v>112</v>
      </c>
      <c r="E101" s="21">
        <f>SUM(E4:E100)</f>
        <v>73</v>
      </c>
      <c r="G101" s="198">
        <f>SUM(G4:G100)</f>
        <v>154510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154510</v>
      </c>
      <c r="M101" s="198"/>
      <c r="N101" s="218" t="str">
        <f t="shared" si="5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-1680</v>
      </c>
      <c r="S101" s="199">
        <f>SUM(S4:S100)</f>
        <v>0</v>
      </c>
    </row>
    <row r="102" spans="1:24" x14ac:dyDescent="0.35">
      <c r="D102" s="290">
        <f>D101+E101</f>
        <v>185</v>
      </c>
      <c r="E102" s="291"/>
      <c r="G102" s="22"/>
      <c r="I102" s="5"/>
      <c r="J102" s="22"/>
      <c r="K102" s="22"/>
    </row>
    <row r="103" spans="1:24" x14ac:dyDescent="0.35">
      <c r="I103" s="5"/>
      <c r="J103" s="6"/>
      <c r="K103" s="6"/>
    </row>
    <row r="108" spans="1:24" x14ac:dyDescent="0.35">
      <c r="C108" s="211" t="s">
        <v>82</v>
      </c>
    </row>
    <row r="109" spans="1:24" x14ac:dyDescent="0.35">
      <c r="C109" s="211" t="s">
        <v>103</v>
      </c>
    </row>
    <row r="110" spans="1:24" x14ac:dyDescent="0.35">
      <c r="C110" s="211" t="s">
        <v>82</v>
      </c>
    </row>
    <row r="111" spans="1:24" x14ac:dyDescent="0.35">
      <c r="C111" s="211" t="s">
        <v>15</v>
      </c>
    </row>
    <row r="112" spans="1:24" x14ac:dyDescent="0.35">
      <c r="C112" s="212" t="s">
        <v>100</v>
      </c>
    </row>
    <row r="113" spans="3:3" x14ac:dyDescent="0.35">
      <c r="C113" s="211" t="s">
        <v>81</v>
      </c>
    </row>
    <row r="114" spans="3:3" x14ac:dyDescent="0.35">
      <c r="C114" s="211" t="s">
        <v>82</v>
      </c>
    </row>
    <row r="115" spans="3:3" x14ac:dyDescent="0.35">
      <c r="C115" s="211" t="s">
        <v>82</v>
      </c>
    </row>
    <row r="116" spans="3:3" x14ac:dyDescent="0.35">
      <c r="C116" s="211" t="s">
        <v>82</v>
      </c>
    </row>
    <row r="117" spans="3:3" x14ac:dyDescent="0.35">
      <c r="C117" s="211" t="s">
        <v>103</v>
      </c>
    </row>
    <row r="118" spans="3:3" x14ac:dyDescent="0.35">
      <c r="C118" s="212"/>
    </row>
    <row r="119" spans="3:3" x14ac:dyDescent="0.35">
      <c r="C119" s="211"/>
    </row>
    <row r="120" spans="3:3" x14ac:dyDescent="0.35">
      <c r="C120" s="212" t="s">
        <v>112</v>
      </c>
    </row>
    <row r="121" spans="3:3" x14ac:dyDescent="0.35">
      <c r="C121" s="211" t="s">
        <v>102</v>
      </c>
    </row>
    <row r="122" spans="3:3" x14ac:dyDescent="0.35">
      <c r="C122" s="211" t="s">
        <v>15</v>
      </c>
    </row>
    <row r="123" spans="3:3" x14ac:dyDescent="0.35">
      <c r="C123" s="211"/>
    </row>
    <row r="124" spans="3:3" x14ac:dyDescent="0.35">
      <c r="C124" s="211"/>
    </row>
    <row r="125" spans="3:3" x14ac:dyDescent="0.35">
      <c r="C125" s="211" t="s">
        <v>82</v>
      </c>
    </row>
    <row r="126" spans="3:3" x14ac:dyDescent="0.35">
      <c r="C126" s="212" t="s">
        <v>100</v>
      </c>
    </row>
    <row r="127" spans="3:3" x14ac:dyDescent="0.35">
      <c r="C127" s="211" t="s">
        <v>82</v>
      </c>
    </row>
    <row r="128" spans="3:3" x14ac:dyDescent="0.35">
      <c r="C128" s="211" t="s">
        <v>81</v>
      </c>
    </row>
    <row r="129" spans="3:3" x14ac:dyDescent="0.35">
      <c r="C129" s="211" t="s">
        <v>115</v>
      </c>
    </row>
    <row r="130" spans="3:3" x14ac:dyDescent="0.35">
      <c r="C130" s="212" t="s">
        <v>101</v>
      </c>
    </row>
    <row r="131" spans="3:3" x14ac:dyDescent="0.35">
      <c r="C131" s="211" t="s">
        <v>82</v>
      </c>
    </row>
    <row r="132" spans="3:3" x14ac:dyDescent="0.35">
      <c r="C132" s="211" t="s">
        <v>111</v>
      </c>
    </row>
    <row r="133" spans="3:3" x14ac:dyDescent="0.35">
      <c r="C133" s="206"/>
    </row>
    <row r="134" spans="3:3" x14ac:dyDescent="0.35">
      <c r="C134" s="212"/>
    </row>
    <row r="135" spans="3:3" x14ac:dyDescent="0.35">
      <c r="C135" s="212" t="s">
        <v>101</v>
      </c>
    </row>
    <row r="136" spans="3:3" x14ac:dyDescent="0.35">
      <c r="C136" s="212" t="s">
        <v>15</v>
      </c>
    </row>
    <row r="137" spans="3:3" x14ac:dyDescent="0.35">
      <c r="C137" s="211" t="s">
        <v>81</v>
      </c>
    </row>
    <row r="138" spans="3:3" x14ac:dyDescent="0.35">
      <c r="C138" s="211"/>
    </row>
    <row r="1048434" spans="15:21" x14ac:dyDescent="0.35">
      <c r="O1048434" s="189"/>
      <c r="P1048434" s="189"/>
      <c r="Q1048434" s="189"/>
      <c r="R1048434" s="189"/>
      <c r="S1048434" s="189"/>
      <c r="U1048434" s="13"/>
    </row>
  </sheetData>
  <autoFilter ref="B3:AA102" xr:uid="{00000000-0009-0000-0000-00000C000000}"/>
  <mergeCells count="15">
    <mergeCell ref="A2:A3"/>
    <mergeCell ref="B2:B3"/>
    <mergeCell ref="C2:C3"/>
    <mergeCell ref="D2:G2"/>
    <mergeCell ref="H2:J2"/>
    <mergeCell ref="K2:K3"/>
    <mergeCell ref="V2:V3"/>
    <mergeCell ref="X2:X3"/>
    <mergeCell ref="O3:O4"/>
    <mergeCell ref="L2:L3"/>
    <mergeCell ref="M2:M3"/>
    <mergeCell ref="N2:N3"/>
    <mergeCell ref="O2:S2"/>
    <mergeCell ref="T2:T3"/>
    <mergeCell ref="U2:U3"/>
  </mergeCells>
  <conditionalFormatting sqref="B2 B100:B1048576 A95 A85:A93 A27 A77:A78 A19:A20 A71 A22:A25 A29 A31 A33 A57 A64 A69 A59:A62 A40:A45">
    <cfRule type="containsText" dxfId="1481" priority="220" operator="containsText" text="OK">
      <formula>NOT(ISERROR(SEARCH("OK",A2)))</formula>
    </cfRule>
  </conditionalFormatting>
  <conditionalFormatting sqref="B2 B100:B1048576 A95 A85:A93 A27 A77:A78 A19:A20 A71 A22:A25 A29 A31 A33 A57 A64 A69 A59:A62 A40:A45">
    <cfRule type="containsText" dxfId="1480" priority="219" operator="containsText" text="ok">
      <formula>NOT(ISERROR(SEARCH("ok",A2)))</formula>
    </cfRule>
  </conditionalFormatting>
  <conditionalFormatting sqref="B56:B57 B69 B59:B67">
    <cfRule type="containsText" dxfId="1479" priority="218" operator="containsText" text="OK">
      <formula>NOT(ISERROR(SEARCH("OK",B56)))</formula>
    </cfRule>
  </conditionalFormatting>
  <conditionalFormatting sqref="B56:B57 B69 B59:B67">
    <cfRule type="containsText" dxfId="1478" priority="217" operator="containsText" text="ok">
      <formula>NOT(ISERROR(SEARCH("ok",B56)))</formula>
    </cfRule>
  </conditionalFormatting>
  <conditionalFormatting sqref="B93">
    <cfRule type="containsText" dxfId="1477" priority="216" operator="containsText" text="OK">
      <formula>NOT(ISERROR(SEARCH("OK",B93)))</formula>
    </cfRule>
  </conditionalFormatting>
  <conditionalFormatting sqref="B93">
    <cfRule type="containsText" dxfId="1476" priority="215" operator="containsText" text="ok">
      <formula>NOT(ISERROR(SEARCH("ok",B93)))</formula>
    </cfRule>
  </conditionalFormatting>
  <conditionalFormatting sqref="A2 A100:A1048576">
    <cfRule type="containsText" dxfId="1475" priority="214" operator="containsText" text="OK">
      <formula>NOT(ISERROR(SEARCH("OK",A2)))</formula>
    </cfRule>
  </conditionalFormatting>
  <conditionalFormatting sqref="A2 A100:A1048576">
    <cfRule type="containsText" dxfId="1474" priority="213" operator="containsText" text="ok">
      <formula>NOT(ISERROR(SEARCH("ok",A2)))</formula>
    </cfRule>
  </conditionalFormatting>
  <conditionalFormatting sqref="A96">
    <cfRule type="containsText" dxfId="1473" priority="212" operator="containsText" text="OK">
      <formula>NOT(ISERROR(SEARCH("OK",A96)))</formula>
    </cfRule>
  </conditionalFormatting>
  <conditionalFormatting sqref="A96">
    <cfRule type="containsText" dxfId="1472" priority="211" operator="containsText" text="ok">
      <formula>NOT(ISERROR(SEARCH("ok",A96)))</formula>
    </cfRule>
  </conditionalFormatting>
  <conditionalFormatting sqref="A97">
    <cfRule type="containsText" dxfId="1471" priority="210" operator="containsText" text="OK">
      <formula>NOT(ISERROR(SEARCH("OK",A97)))</formula>
    </cfRule>
  </conditionalFormatting>
  <conditionalFormatting sqref="A97">
    <cfRule type="containsText" dxfId="1470" priority="209" operator="containsText" text="ok">
      <formula>NOT(ISERROR(SEARCH("ok",A97)))</formula>
    </cfRule>
  </conditionalFormatting>
  <conditionalFormatting sqref="A98">
    <cfRule type="containsText" dxfId="1469" priority="206" operator="containsText" text="OK">
      <formula>NOT(ISERROR(SEARCH("OK",A98)))</formula>
    </cfRule>
  </conditionalFormatting>
  <conditionalFormatting sqref="A98">
    <cfRule type="containsText" dxfId="1468" priority="205" operator="containsText" text="ok">
      <formula>NOT(ISERROR(SEARCH("ok",A98)))</formula>
    </cfRule>
  </conditionalFormatting>
  <conditionalFormatting sqref="A99">
    <cfRule type="containsText" dxfId="1467" priority="204" operator="containsText" text="OK">
      <formula>NOT(ISERROR(SEARCH("OK",A99)))</formula>
    </cfRule>
  </conditionalFormatting>
  <conditionalFormatting sqref="A99">
    <cfRule type="containsText" dxfId="1466" priority="203" operator="containsText" text="ok">
      <formula>NOT(ISERROR(SEARCH("ok",A99)))</formula>
    </cfRule>
  </conditionalFormatting>
  <conditionalFormatting sqref="B89">
    <cfRule type="containsText" dxfId="1465" priority="202" operator="containsText" text="OK">
      <formula>NOT(ISERROR(SEARCH("OK",B89)))</formula>
    </cfRule>
  </conditionalFormatting>
  <conditionalFormatting sqref="B89">
    <cfRule type="containsText" dxfId="1464" priority="201" operator="containsText" text="ok">
      <formula>NOT(ISERROR(SEARCH("ok",B89)))</formula>
    </cfRule>
  </conditionalFormatting>
  <conditionalFormatting sqref="B84">
    <cfRule type="containsText" dxfId="1463" priority="200" operator="containsText" text="OK">
      <formula>NOT(ISERROR(SEARCH("OK",B84)))</formula>
    </cfRule>
  </conditionalFormatting>
  <conditionalFormatting sqref="B84">
    <cfRule type="containsText" dxfId="1462" priority="199" operator="containsText" text="ok">
      <formula>NOT(ISERROR(SEARCH("ok",B84)))</formula>
    </cfRule>
  </conditionalFormatting>
  <conditionalFormatting sqref="B85">
    <cfRule type="containsText" dxfId="1461" priority="198" operator="containsText" text="OK">
      <formula>NOT(ISERROR(SEARCH("OK",B85)))</formula>
    </cfRule>
  </conditionalFormatting>
  <conditionalFormatting sqref="B85">
    <cfRule type="containsText" dxfId="1460" priority="197" operator="containsText" text="ok">
      <formula>NOT(ISERROR(SEARCH("ok",B85)))</formula>
    </cfRule>
  </conditionalFormatting>
  <conditionalFormatting sqref="B86">
    <cfRule type="containsText" dxfId="1459" priority="196" operator="containsText" text="OK">
      <formula>NOT(ISERROR(SEARCH("OK",B86)))</formula>
    </cfRule>
  </conditionalFormatting>
  <conditionalFormatting sqref="B86">
    <cfRule type="containsText" dxfId="1458" priority="195" operator="containsText" text="ok">
      <formula>NOT(ISERROR(SEARCH("ok",B86)))</formula>
    </cfRule>
  </conditionalFormatting>
  <conditionalFormatting sqref="B87">
    <cfRule type="containsText" dxfId="1457" priority="194" operator="containsText" text="OK">
      <formula>NOT(ISERROR(SEARCH("OK",B87)))</formula>
    </cfRule>
  </conditionalFormatting>
  <conditionalFormatting sqref="B87">
    <cfRule type="containsText" dxfId="1456" priority="193" operator="containsText" text="ok">
      <formula>NOT(ISERROR(SEARCH("ok",B87)))</formula>
    </cfRule>
  </conditionalFormatting>
  <conditionalFormatting sqref="B88">
    <cfRule type="containsText" dxfId="1455" priority="192" operator="containsText" text="OK">
      <formula>NOT(ISERROR(SEARCH("OK",B88)))</formula>
    </cfRule>
  </conditionalFormatting>
  <conditionalFormatting sqref="B88">
    <cfRule type="containsText" dxfId="1454" priority="191" operator="containsText" text="ok">
      <formula>NOT(ISERROR(SEARCH("ok",B88)))</formula>
    </cfRule>
  </conditionalFormatting>
  <conditionalFormatting sqref="A47">
    <cfRule type="containsText" dxfId="1453" priority="190" operator="containsText" text="OK">
      <formula>NOT(ISERROR(SEARCH("OK",A47)))</formula>
    </cfRule>
  </conditionalFormatting>
  <conditionalFormatting sqref="A47">
    <cfRule type="containsText" dxfId="1452" priority="189" operator="containsText" text="ok">
      <formula>NOT(ISERROR(SEARCH("ok",A47)))</formula>
    </cfRule>
  </conditionalFormatting>
  <conditionalFormatting sqref="B71">
    <cfRule type="containsText" dxfId="1451" priority="188" operator="containsText" text="OK">
      <formula>NOT(ISERROR(SEARCH("OK",B71)))</formula>
    </cfRule>
  </conditionalFormatting>
  <conditionalFormatting sqref="B71">
    <cfRule type="containsText" dxfId="1450" priority="187" operator="containsText" text="ok">
      <formula>NOT(ISERROR(SEARCH("ok",B71)))</formula>
    </cfRule>
  </conditionalFormatting>
  <conditionalFormatting sqref="B90">
    <cfRule type="containsText" dxfId="1449" priority="186" operator="containsText" text="OK">
      <formula>NOT(ISERROR(SEARCH("OK",B90)))</formula>
    </cfRule>
  </conditionalFormatting>
  <conditionalFormatting sqref="B90">
    <cfRule type="containsText" dxfId="1448" priority="185" operator="containsText" text="ok">
      <formula>NOT(ISERROR(SEARCH("ok",B90)))</formula>
    </cfRule>
  </conditionalFormatting>
  <conditionalFormatting sqref="A94">
    <cfRule type="containsText" dxfId="1447" priority="184" operator="containsText" text="OK">
      <formula>NOT(ISERROR(SEARCH("OK",A94)))</formula>
    </cfRule>
  </conditionalFormatting>
  <conditionalFormatting sqref="A94">
    <cfRule type="containsText" dxfId="1446" priority="183" operator="containsText" text="ok">
      <formula>NOT(ISERROR(SEARCH("ok",A94)))</formula>
    </cfRule>
  </conditionalFormatting>
  <conditionalFormatting sqref="B89">
    <cfRule type="containsText" dxfId="1445" priority="182" operator="containsText" text="OK">
      <formula>NOT(ISERROR(SEARCH("OK",B89)))</formula>
    </cfRule>
  </conditionalFormatting>
  <conditionalFormatting sqref="B89">
    <cfRule type="containsText" dxfId="1444" priority="181" operator="containsText" text="ok">
      <formula>NOT(ISERROR(SEARCH("ok",B89)))</formula>
    </cfRule>
  </conditionalFormatting>
  <conditionalFormatting sqref="B85">
    <cfRule type="containsText" dxfId="1443" priority="180" operator="containsText" text="OK">
      <formula>NOT(ISERROR(SEARCH("OK",B85)))</formula>
    </cfRule>
  </conditionalFormatting>
  <conditionalFormatting sqref="B85">
    <cfRule type="containsText" dxfId="1442" priority="179" operator="containsText" text="ok">
      <formula>NOT(ISERROR(SEARCH("ok",B85)))</formula>
    </cfRule>
  </conditionalFormatting>
  <conditionalFormatting sqref="B86">
    <cfRule type="containsText" dxfId="1441" priority="178" operator="containsText" text="OK">
      <formula>NOT(ISERROR(SEARCH("OK",B86)))</formula>
    </cfRule>
  </conditionalFormatting>
  <conditionalFormatting sqref="B86">
    <cfRule type="containsText" dxfId="1440" priority="177" operator="containsText" text="ok">
      <formula>NOT(ISERROR(SEARCH("ok",B86)))</formula>
    </cfRule>
  </conditionalFormatting>
  <conditionalFormatting sqref="A90">
    <cfRule type="containsText" dxfId="1439" priority="176" operator="containsText" text="OK">
      <formula>NOT(ISERROR(SEARCH("OK",A90)))</formula>
    </cfRule>
  </conditionalFormatting>
  <conditionalFormatting sqref="A90">
    <cfRule type="containsText" dxfId="1438" priority="175" operator="containsText" text="ok">
      <formula>NOT(ISERROR(SEARCH("ok",A90)))</formula>
    </cfRule>
  </conditionalFormatting>
  <conditionalFormatting sqref="B83">
    <cfRule type="containsText" dxfId="1437" priority="172" operator="containsText" text="OK">
      <formula>NOT(ISERROR(SEARCH("OK",B83)))</formula>
    </cfRule>
  </conditionalFormatting>
  <conditionalFormatting sqref="B83">
    <cfRule type="containsText" dxfId="1436" priority="171" operator="containsText" text="ok">
      <formula>NOT(ISERROR(SEARCH("ok",B83)))</formula>
    </cfRule>
  </conditionalFormatting>
  <conditionalFormatting sqref="B76">
    <cfRule type="containsText" dxfId="1435" priority="164" operator="containsText" text="OK">
      <formula>NOT(ISERROR(SEARCH("OK",B76)))</formula>
    </cfRule>
  </conditionalFormatting>
  <conditionalFormatting sqref="B76">
    <cfRule type="containsText" dxfId="1434" priority="163" operator="containsText" text="ok">
      <formula>NOT(ISERROR(SEARCH("ok",B76)))</formula>
    </cfRule>
  </conditionalFormatting>
  <conditionalFormatting sqref="B68">
    <cfRule type="containsText" dxfId="1433" priority="166" operator="containsText" text="OK">
      <formula>NOT(ISERROR(SEARCH("OK",B68)))</formula>
    </cfRule>
  </conditionalFormatting>
  <conditionalFormatting sqref="B68">
    <cfRule type="containsText" dxfId="1432" priority="165" operator="containsText" text="ok">
      <formula>NOT(ISERROR(SEARCH("ok",B68)))</formula>
    </cfRule>
  </conditionalFormatting>
  <conditionalFormatting sqref="B77">
    <cfRule type="containsText" dxfId="1431" priority="162" operator="containsText" text="OK">
      <formula>NOT(ISERROR(SEARCH("OK",B77)))</formula>
    </cfRule>
  </conditionalFormatting>
  <conditionalFormatting sqref="B77">
    <cfRule type="containsText" dxfId="1430" priority="161" operator="containsText" text="ok">
      <formula>NOT(ISERROR(SEARCH("ok",B77)))</formula>
    </cfRule>
  </conditionalFormatting>
  <conditionalFormatting sqref="B78">
    <cfRule type="containsText" dxfId="1429" priority="160" operator="containsText" text="OK">
      <formula>NOT(ISERROR(SEARCH("OK",B78)))</formula>
    </cfRule>
  </conditionalFormatting>
  <conditionalFormatting sqref="B78">
    <cfRule type="containsText" dxfId="1428" priority="159" operator="containsText" text="ok">
      <formula>NOT(ISERROR(SEARCH("ok",B78)))</formula>
    </cfRule>
  </conditionalFormatting>
  <conditionalFormatting sqref="B79">
    <cfRule type="containsText" dxfId="1427" priority="158" operator="containsText" text="OK">
      <formula>NOT(ISERROR(SEARCH("OK",B79)))</formula>
    </cfRule>
  </conditionalFormatting>
  <conditionalFormatting sqref="B79">
    <cfRule type="containsText" dxfId="1426" priority="157" operator="containsText" text="ok">
      <formula>NOT(ISERROR(SEARCH("ok",B79)))</formula>
    </cfRule>
  </conditionalFormatting>
  <conditionalFormatting sqref="B80">
    <cfRule type="containsText" dxfId="1425" priority="156" operator="containsText" text="OK">
      <formula>NOT(ISERROR(SEARCH("OK",B80)))</formula>
    </cfRule>
  </conditionalFormatting>
  <conditionalFormatting sqref="B80">
    <cfRule type="containsText" dxfId="1424" priority="155" operator="containsText" text="ok">
      <formula>NOT(ISERROR(SEARCH("ok",B80)))</formula>
    </cfRule>
  </conditionalFormatting>
  <conditionalFormatting sqref="A79">
    <cfRule type="containsText" dxfId="1423" priority="154" operator="containsText" text="OK">
      <formula>NOT(ISERROR(SEARCH("OK",A79)))</formula>
    </cfRule>
  </conditionalFormatting>
  <conditionalFormatting sqref="A79">
    <cfRule type="containsText" dxfId="1422" priority="153" operator="containsText" text="ok">
      <formula>NOT(ISERROR(SEARCH("ok",A79)))</formula>
    </cfRule>
  </conditionalFormatting>
  <conditionalFormatting sqref="A50">
    <cfRule type="containsText" dxfId="1421" priority="152" operator="containsText" text="OK">
      <formula>NOT(ISERROR(SEARCH("OK",A50)))</formula>
    </cfRule>
  </conditionalFormatting>
  <conditionalFormatting sqref="A50">
    <cfRule type="containsText" dxfId="1420" priority="151" operator="containsText" text="ok">
      <formula>NOT(ISERROR(SEARCH("ok",A50)))</formula>
    </cfRule>
  </conditionalFormatting>
  <conditionalFormatting sqref="A76">
    <cfRule type="containsText" dxfId="1419" priority="150" operator="containsText" text="OK">
      <formula>NOT(ISERROR(SEARCH("OK",A76)))</formula>
    </cfRule>
  </conditionalFormatting>
  <conditionalFormatting sqref="A76">
    <cfRule type="containsText" dxfId="1418" priority="149" operator="containsText" text="ok">
      <formula>NOT(ISERROR(SEARCH("ok",A76)))</formula>
    </cfRule>
  </conditionalFormatting>
  <conditionalFormatting sqref="A46">
    <cfRule type="containsText" dxfId="1417" priority="148" operator="containsText" text="OK">
      <formula>NOT(ISERROR(SEARCH("OK",A46)))</formula>
    </cfRule>
  </conditionalFormatting>
  <conditionalFormatting sqref="A46">
    <cfRule type="containsText" dxfId="1416" priority="147" operator="containsText" text="ok">
      <formula>NOT(ISERROR(SEARCH("ok",A46)))</formula>
    </cfRule>
  </conditionalFormatting>
  <conditionalFormatting sqref="A48">
    <cfRule type="containsText" dxfId="1415" priority="142" operator="containsText" text="OK">
      <formula>NOT(ISERROR(SEARCH("OK",A48)))</formula>
    </cfRule>
  </conditionalFormatting>
  <conditionalFormatting sqref="A48">
    <cfRule type="containsText" dxfId="1414" priority="141" operator="containsText" text="ok">
      <formula>NOT(ISERROR(SEARCH("ok",A48)))</formula>
    </cfRule>
  </conditionalFormatting>
  <conditionalFormatting sqref="A40">
    <cfRule type="containsText" dxfId="1413" priority="144" operator="containsText" text="OK">
      <formula>NOT(ISERROR(SEARCH("OK",A40)))</formula>
    </cfRule>
  </conditionalFormatting>
  <conditionalFormatting sqref="A40">
    <cfRule type="containsText" dxfId="1412" priority="143" operator="containsText" text="ok">
      <formula>NOT(ISERROR(SEARCH("ok",A40)))</formula>
    </cfRule>
  </conditionalFormatting>
  <conditionalFormatting sqref="A49">
    <cfRule type="containsText" dxfId="1411" priority="140" operator="containsText" text="OK">
      <formula>NOT(ISERROR(SEARCH("OK",A49)))</formula>
    </cfRule>
  </conditionalFormatting>
  <conditionalFormatting sqref="A49">
    <cfRule type="containsText" dxfId="1410" priority="139" operator="containsText" text="ok">
      <formula>NOT(ISERROR(SEARCH("ok",A49)))</formula>
    </cfRule>
  </conditionalFormatting>
  <conditionalFormatting sqref="A70">
    <cfRule type="containsText" dxfId="1409" priority="138" operator="containsText" text="OK">
      <formula>NOT(ISERROR(SEARCH("OK",A70)))</formula>
    </cfRule>
  </conditionalFormatting>
  <conditionalFormatting sqref="A70">
    <cfRule type="containsText" dxfId="1408" priority="137" operator="containsText" text="ok">
      <formula>NOT(ISERROR(SEARCH("ok",A70)))</formula>
    </cfRule>
  </conditionalFormatting>
  <conditionalFormatting sqref="B70">
    <cfRule type="containsText" dxfId="1407" priority="136" operator="containsText" text="OK">
      <formula>NOT(ISERROR(SEARCH("OK",B70)))</formula>
    </cfRule>
  </conditionalFormatting>
  <conditionalFormatting sqref="B70">
    <cfRule type="containsText" dxfId="1406" priority="135" operator="containsText" text="ok">
      <formula>NOT(ISERROR(SEARCH("ok",B70)))</formula>
    </cfRule>
  </conditionalFormatting>
  <conditionalFormatting sqref="B68">
    <cfRule type="containsText" dxfId="1405" priority="132" operator="containsText" text="OK">
      <formula>NOT(ISERROR(SEARCH("OK",B68)))</formula>
    </cfRule>
  </conditionalFormatting>
  <conditionalFormatting sqref="B68">
    <cfRule type="containsText" dxfId="1404" priority="131" operator="containsText" text="ok">
      <formula>NOT(ISERROR(SEARCH("ok",B68)))</formula>
    </cfRule>
  </conditionalFormatting>
  <conditionalFormatting sqref="B67">
    <cfRule type="containsText" dxfId="1403" priority="128" operator="containsText" text="OK">
      <formula>NOT(ISERROR(SEARCH("OK",B67)))</formula>
    </cfRule>
  </conditionalFormatting>
  <conditionalFormatting sqref="B67">
    <cfRule type="containsText" dxfId="1402" priority="127" operator="containsText" text="ok">
      <formula>NOT(ISERROR(SEARCH("ok",B67)))</formula>
    </cfRule>
  </conditionalFormatting>
  <conditionalFormatting sqref="A69">
    <cfRule type="containsText" dxfId="1401" priority="126" operator="containsText" text="OK">
      <formula>NOT(ISERROR(SEARCH("OK",A69)))</formula>
    </cfRule>
  </conditionalFormatting>
  <conditionalFormatting sqref="A69">
    <cfRule type="containsText" dxfId="1400" priority="125" operator="containsText" text="ok">
      <formula>NOT(ISERROR(SEARCH("ok",A69)))</formula>
    </cfRule>
  </conditionalFormatting>
  <conditionalFormatting sqref="B69">
    <cfRule type="containsText" dxfId="1399" priority="124" operator="containsText" text="OK">
      <formula>NOT(ISERROR(SEARCH("OK",B69)))</formula>
    </cfRule>
  </conditionalFormatting>
  <conditionalFormatting sqref="B69">
    <cfRule type="containsText" dxfId="1398" priority="123" operator="containsText" text="ok">
      <formula>NOT(ISERROR(SEARCH("ok",B69)))</formula>
    </cfRule>
  </conditionalFormatting>
  <conditionalFormatting sqref="B72">
    <cfRule type="containsText" dxfId="1397" priority="122" operator="containsText" text="OK">
      <formula>NOT(ISERROR(SEARCH("OK",B72)))</formula>
    </cfRule>
  </conditionalFormatting>
  <conditionalFormatting sqref="B72">
    <cfRule type="containsText" dxfId="1396" priority="121" operator="containsText" text="ok">
      <formula>NOT(ISERROR(SEARCH("ok",B72)))</formula>
    </cfRule>
  </conditionalFormatting>
  <conditionalFormatting sqref="A72">
    <cfRule type="containsText" dxfId="1395" priority="120" operator="containsText" text="OK">
      <formula>NOT(ISERROR(SEARCH("OK",A72)))</formula>
    </cfRule>
  </conditionalFormatting>
  <conditionalFormatting sqref="A72">
    <cfRule type="containsText" dxfId="1394" priority="119" operator="containsText" text="ok">
      <formula>NOT(ISERROR(SEARCH("ok",A72)))</formula>
    </cfRule>
  </conditionalFormatting>
  <conditionalFormatting sqref="A73">
    <cfRule type="containsText" dxfId="1393" priority="118" operator="containsText" text="OK">
      <formula>NOT(ISERROR(SEARCH("OK",A73)))</formula>
    </cfRule>
  </conditionalFormatting>
  <conditionalFormatting sqref="A73">
    <cfRule type="containsText" dxfId="1392" priority="117" operator="containsText" text="ok">
      <formula>NOT(ISERROR(SEARCH("ok",A73)))</formula>
    </cfRule>
  </conditionalFormatting>
  <conditionalFormatting sqref="B73">
    <cfRule type="containsText" dxfId="1391" priority="116" operator="containsText" text="OK">
      <formula>NOT(ISERROR(SEARCH("OK",B73)))</formula>
    </cfRule>
  </conditionalFormatting>
  <conditionalFormatting sqref="B73">
    <cfRule type="containsText" dxfId="1390" priority="115" operator="containsText" text="ok">
      <formula>NOT(ISERROR(SEARCH("ok",B73)))</formula>
    </cfRule>
  </conditionalFormatting>
  <conditionalFormatting sqref="A73">
    <cfRule type="containsText" dxfId="1389" priority="114" operator="containsText" text="OK">
      <formula>NOT(ISERROR(SEARCH("OK",A73)))</formula>
    </cfRule>
  </conditionalFormatting>
  <conditionalFormatting sqref="A73">
    <cfRule type="containsText" dxfId="1388" priority="113" operator="containsText" text="ok">
      <formula>NOT(ISERROR(SEARCH("ok",A73)))</formula>
    </cfRule>
  </conditionalFormatting>
  <conditionalFormatting sqref="B73">
    <cfRule type="containsText" dxfId="1387" priority="112" operator="containsText" text="OK">
      <formula>NOT(ISERROR(SEARCH("OK",B73)))</formula>
    </cfRule>
  </conditionalFormatting>
  <conditionalFormatting sqref="B73">
    <cfRule type="containsText" dxfId="1386" priority="111" operator="containsText" text="ok">
      <formula>NOT(ISERROR(SEARCH("ok",B73)))</formula>
    </cfRule>
  </conditionalFormatting>
  <conditionalFormatting sqref="A74">
    <cfRule type="containsText" dxfId="1385" priority="110" operator="containsText" text="OK">
      <formula>NOT(ISERROR(SEARCH("OK",A74)))</formula>
    </cfRule>
  </conditionalFormatting>
  <conditionalFormatting sqref="A74">
    <cfRule type="containsText" dxfId="1384" priority="109" operator="containsText" text="ok">
      <formula>NOT(ISERROR(SEARCH("ok",A74)))</formula>
    </cfRule>
  </conditionalFormatting>
  <conditionalFormatting sqref="B74">
    <cfRule type="containsText" dxfId="1383" priority="108" operator="containsText" text="OK">
      <formula>NOT(ISERROR(SEARCH("OK",B74)))</formula>
    </cfRule>
  </conditionalFormatting>
  <conditionalFormatting sqref="B74">
    <cfRule type="containsText" dxfId="1382" priority="107" operator="containsText" text="ok">
      <formula>NOT(ISERROR(SEARCH("ok",B74)))</formula>
    </cfRule>
  </conditionalFormatting>
  <conditionalFormatting sqref="B75">
    <cfRule type="containsText" dxfId="1381" priority="104" operator="containsText" text="OK">
      <formula>NOT(ISERROR(SEARCH("OK",B75)))</formula>
    </cfRule>
  </conditionalFormatting>
  <conditionalFormatting sqref="B75">
    <cfRule type="containsText" dxfId="1380" priority="103" operator="containsText" text="ok">
      <formula>NOT(ISERROR(SEARCH("ok",B75)))</formula>
    </cfRule>
  </conditionalFormatting>
  <conditionalFormatting sqref="A75">
    <cfRule type="containsText" dxfId="1379" priority="106" operator="containsText" text="OK">
      <formula>NOT(ISERROR(SEARCH("OK",A75)))</formula>
    </cfRule>
  </conditionalFormatting>
  <conditionalFormatting sqref="A75">
    <cfRule type="containsText" dxfId="1378" priority="105" operator="containsText" text="ok">
      <formula>NOT(ISERROR(SEARCH("ok",A75)))</formula>
    </cfRule>
  </conditionalFormatting>
  <conditionalFormatting sqref="A75">
    <cfRule type="containsText" dxfId="1377" priority="102" operator="containsText" text="OK">
      <formula>NOT(ISERROR(SEARCH("OK",A75)))</formula>
    </cfRule>
  </conditionalFormatting>
  <conditionalFormatting sqref="A75">
    <cfRule type="containsText" dxfId="1376" priority="101" operator="containsText" text="ok">
      <formula>NOT(ISERROR(SEARCH("ok",A75)))</formula>
    </cfRule>
  </conditionalFormatting>
  <conditionalFormatting sqref="B75">
    <cfRule type="containsText" dxfId="1375" priority="100" operator="containsText" text="OK">
      <formula>NOT(ISERROR(SEARCH("OK",B75)))</formula>
    </cfRule>
  </conditionalFormatting>
  <conditionalFormatting sqref="B75">
    <cfRule type="containsText" dxfId="1374" priority="99" operator="containsText" text="ok">
      <formula>NOT(ISERROR(SEARCH("ok",B75)))</formula>
    </cfRule>
  </conditionalFormatting>
  <conditionalFormatting sqref="B74">
    <cfRule type="containsText" dxfId="1373" priority="96" operator="containsText" text="OK">
      <formula>NOT(ISERROR(SEARCH("OK",B74)))</formula>
    </cfRule>
  </conditionalFormatting>
  <conditionalFormatting sqref="B74">
    <cfRule type="containsText" dxfId="1372" priority="95" operator="containsText" text="ok">
      <formula>NOT(ISERROR(SEARCH("ok",B74)))</formula>
    </cfRule>
  </conditionalFormatting>
  <conditionalFormatting sqref="A74">
    <cfRule type="containsText" dxfId="1371" priority="98" operator="containsText" text="OK">
      <formula>NOT(ISERROR(SEARCH("OK",A74)))</formula>
    </cfRule>
  </conditionalFormatting>
  <conditionalFormatting sqref="A74">
    <cfRule type="containsText" dxfId="1370" priority="97" operator="containsText" text="ok">
      <formula>NOT(ISERROR(SEARCH("ok",A74)))</formula>
    </cfRule>
  </conditionalFormatting>
  <conditionalFormatting sqref="B4">
    <cfRule type="containsText" dxfId="1369" priority="94" operator="containsText" text="OK">
      <formula>NOT(ISERROR(SEARCH("OK",B4)))</formula>
    </cfRule>
  </conditionalFormatting>
  <conditionalFormatting sqref="B4">
    <cfRule type="containsText" dxfId="1368" priority="93" operator="containsText" text="ok">
      <formula>NOT(ISERROR(SEARCH("ok",B4)))</formula>
    </cfRule>
  </conditionalFormatting>
  <conditionalFormatting sqref="A4">
    <cfRule type="containsText" dxfId="1367" priority="92" operator="containsText" text="OK">
      <formula>NOT(ISERROR(SEARCH("OK",A4)))</formula>
    </cfRule>
  </conditionalFormatting>
  <conditionalFormatting sqref="A4">
    <cfRule type="containsText" dxfId="1366" priority="91" operator="containsText" text="ok">
      <formula>NOT(ISERROR(SEARCH("ok",A4)))</formula>
    </cfRule>
  </conditionalFormatting>
  <conditionalFormatting sqref="A5">
    <cfRule type="containsText" dxfId="1365" priority="90" operator="containsText" text="OK">
      <formula>NOT(ISERROR(SEARCH("OK",A5)))</formula>
    </cfRule>
  </conditionalFormatting>
  <conditionalFormatting sqref="A5">
    <cfRule type="containsText" dxfId="1364" priority="89" operator="containsText" text="ok">
      <formula>NOT(ISERROR(SEARCH("ok",A5)))</formula>
    </cfRule>
  </conditionalFormatting>
  <conditionalFormatting sqref="B5">
    <cfRule type="containsText" dxfId="1363" priority="88" operator="containsText" text="OK">
      <formula>NOT(ISERROR(SEARCH("OK",B5)))</formula>
    </cfRule>
  </conditionalFormatting>
  <conditionalFormatting sqref="B5">
    <cfRule type="containsText" dxfId="1362" priority="87" operator="containsText" text="ok">
      <formula>NOT(ISERROR(SEARCH("ok",B5)))</formula>
    </cfRule>
  </conditionalFormatting>
  <conditionalFormatting sqref="B6">
    <cfRule type="containsText" dxfId="1361" priority="84" operator="containsText" text="OK">
      <formula>NOT(ISERROR(SEARCH("OK",B6)))</formula>
    </cfRule>
  </conditionalFormatting>
  <conditionalFormatting sqref="B6">
    <cfRule type="containsText" dxfId="1360" priority="83" operator="containsText" text="ok">
      <formula>NOT(ISERROR(SEARCH("ok",B6)))</formula>
    </cfRule>
  </conditionalFormatting>
  <conditionalFormatting sqref="A6">
    <cfRule type="containsText" dxfId="1359" priority="86" operator="containsText" text="OK">
      <formula>NOT(ISERROR(SEARCH("OK",A6)))</formula>
    </cfRule>
  </conditionalFormatting>
  <conditionalFormatting sqref="A6">
    <cfRule type="containsText" dxfId="1358" priority="85" operator="containsText" text="ok">
      <formula>NOT(ISERROR(SEARCH("ok",A6)))</formula>
    </cfRule>
  </conditionalFormatting>
  <conditionalFormatting sqref="A6">
    <cfRule type="containsText" dxfId="1357" priority="82" operator="containsText" text="OK">
      <formula>NOT(ISERROR(SEARCH("OK",A6)))</formula>
    </cfRule>
  </conditionalFormatting>
  <conditionalFormatting sqref="A6">
    <cfRule type="containsText" dxfId="1356" priority="81" operator="containsText" text="ok">
      <formula>NOT(ISERROR(SEARCH("ok",A6)))</formula>
    </cfRule>
  </conditionalFormatting>
  <conditionalFormatting sqref="B6">
    <cfRule type="containsText" dxfId="1355" priority="80" operator="containsText" text="OK">
      <formula>NOT(ISERROR(SEARCH("OK",B6)))</formula>
    </cfRule>
  </conditionalFormatting>
  <conditionalFormatting sqref="B6">
    <cfRule type="containsText" dxfId="1354" priority="79" operator="containsText" text="ok">
      <formula>NOT(ISERROR(SEARCH("ok",B6)))</formula>
    </cfRule>
  </conditionalFormatting>
  <conditionalFormatting sqref="B5">
    <cfRule type="containsText" dxfId="1353" priority="76" operator="containsText" text="OK">
      <formula>NOT(ISERROR(SEARCH("OK",B5)))</formula>
    </cfRule>
  </conditionalFormatting>
  <conditionalFormatting sqref="B5">
    <cfRule type="containsText" dxfId="1352" priority="75" operator="containsText" text="ok">
      <formula>NOT(ISERROR(SEARCH("ok",B5)))</formula>
    </cfRule>
  </conditionalFormatting>
  <conditionalFormatting sqref="A5">
    <cfRule type="containsText" dxfId="1351" priority="78" operator="containsText" text="OK">
      <formula>NOT(ISERROR(SEARCH("OK",A5)))</formula>
    </cfRule>
  </conditionalFormatting>
  <conditionalFormatting sqref="A5">
    <cfRule type="containsText" dxfId="1350" priority="77" operator="containsText" text="ok">
      <formula>NOT(ISERROR(SEARCH("ok",A5)))</formula>
    </cfRule>
  </conditionalFormatting>
  <conditionalFormatting sqref="A38">
    <cfRule type="containsText" dxfId="1349" priority="64" operator="containsText" text="OK">
      <formula>NOT(ISERROR(SEARCH("OK",A38)))</formula>
    </cfRule>
  </conditionalFormatting>
  <conditionalFormatting sqref="A38">
    <cfRule type="containsText" dxfId="1348" priority="63" operator="containsText" text="ok">
      <formula>NOT(ISERROR(SEARCH("ok",A38)))</formula>
    </cfRule>
  </conditionalFormatting>
  <conditionalFormatting sqref="A21">
    <cfRule type="containsText" dxfId="1347" priority="60" operator="containsText" text="OK">
      <formula>NOT(ISERROR(SEARCH("OK",A21)))</formula>
    </cfRule>
  </conditionalFormatting>
  <conditionalFormatting sqref="A21">
    <cfRule type="containsText" dxfId="1346" priority="59" operator="containsText" text="ok">
      <formula>NOT(ISERROR(SEARCH("ok",A21)))</formula>
    </cfRule>
  </conditionalFormatting>
  <conditionalFormatting sqref="A28 A30 A32 A34 A36">
    <cfRule type="containsText" dxfId="1345" priority="58" operator="containsText" text="OK">
      <formula>NOT(ISERROR(SEARCH("OK",A28)))</formula>
    </cfRule>
  </conditionalFormatting>
  <conditionalFormatting sqref="A28 A30 A32 A34 A36">
    <cfRule type="containsText" dxfId="1344" priority="57" operator="containsText" text="ok">
      <formula>NOT(ISERROR(SEARCH("ok",A28)))</formula>
    </cfRule>
  </conditionalFormatting>
  <conditionalFormatting sqref="A38">
    <cfRule type="containsText" dxfId="1343" priority="56" operator="containsText" text="OK">
      <formula>NOT(ISERROR(SEARCH("OK",A38)))</formula>
    </cfRule>
  </conditionalFormatting>
  <conditionalFormatting sqref="A38">
    <cfRule type="containsText" dxfId="1342" priority="55" operator="containsText" text="ok">
      <formula>NOT(ISERROR(SEARCH("ok",A38)))</formula>
    </cfRule>
  </conditionalFormatting>
  <conditionalFormatting sqref="A38">
    <cfRule type="containsText" dxfId="1341" priority="54" operator="containsText" text="OK">
      <formula>NOT(ISERROR(SEARCH("OK",A38)))</formula>
    </cfRule>
  </conditionalFormatting>
  <conditionalFormatting sqref="A38">
    <cfRule type="containsText" dxfId="1340" priority="53" operator="containsText" text="ok">
      <formula>NOT(ISERROR(SEARCH("ok",A38)))</formula>
    </cfRule>
  </conditionalFormatting>
  <conditionalFormatting sqref="A36">
    <cfRule type="containsText" dxfId="1339" priority="52" operator="containsText" text="OK">
      <formula>NOT(ISERROR(SEARCH("OK",A36)))</formula>
    </cfRule>
  </conditionalFormatting>
  <conditionalFormatting sqref="A36">
    <cfRule type="containsText" dxfId="1338" priority="51" operator="containsText" text="ok">
      <formula>NOT(ISERROR(SEARCH("ok",A36)))</formula>
    </cfRule>
  </conditionalFormatting>
  <conditionalFormatting sqref="A51">
    <cfRule type="containsText" dxfId="1337" priority="48" operator="containsText" text="OK">
      <formula>NOT(ISERROR(SEARCH("OK",A51)))</formula>
    </cfRule>
  </conditionalFormatting>
  <conditionalFormatting sqref="A51">
    <cfRule type="containsText" dxfId="1336" priority="47" operator="containsText" text="ok">
      <formula>NOT(ISERROR(SEARCH("ok",A51)))</formula>
    </cfRule>
  </conditionalFormatting>
  <conditionalFormatting sqref="A52">
    <cfRule type="containsText" dxfId="1335" priority="46" operator="containsText" text="OK">
      <formula>NOT(ISERROR(SEARCH("OK",A52)))</formula>
    </cfRule>
  </conditionalFormatting>
  <conditionalFormatting sqref="A52">
    <cfRule type="containsText" dxfId="1334" priority="45" operator="containsText" text="ok">
      <formula>NOT(ISERROR(SEARCH("ok",A52)))</formula>
    </cfRule>
  </conditionalFormatting>
  <conditionalFormatting sqref="A53">
    <cfRule type="containsText" dxfId="1333" priority="44" operator="containsText" text="OK">
      <formula>NOT(ISERROR(SEARCH("OK",A53)))</formula>
    </cfRule>
  </conditionalFormatting>
  <conditionalFormatting sqref="A53">
    <cfRule type="containsText" dxfId="1332" priority="43" operator="containsText" text="ok">
      <formula>NOT(ISERROR(SEARCH("ok",A53)))</formula>
    </cfRule>
  </conditionalFormatting>
  <conditionalFormatting sqref="A54">
    <cfRule type="containsText" dxfId="1331" priority="42" operator="containsText" text="OK">
      <formula>NOT(ISERROR(SEARCH("OK",A54)))</formula>
    </cfRule>
  </conditionalFormatting>
  <conditionalFormatting sqref="A54">
    <cfRule type="containsText" dxfId="1330" priority="41" operator="containsText" text="ok">
      <formula>NOT(ISERROR(SEARCH("ok",A54)))</formula>
    </cfRule>
  </conditionalFormatting>
  <conditionalFormatting sqref="A56">
    <cfRule type="containsText" dxfId="1329" priority="38" operator="containsText" text="OK">
      <formula>NOT(ISERROR(SEARCH("OK",A56)))</formula>
    </cfRule>
  </conditionalFormatting>
  <conditionalFormatting sqref="A56">
    <cfRule type="containsText" dxfId="1328" priority="37" operator="containsText" text="ok">
      <formula>NOT(ISERROR(SEARCH("ok",A56)))</formula>
    </cfRule>
  </conditionalFormatting>
  <conditionalFormatting sqref="A63">
    <cfRule type="containsText" dxfId="1327" priority="36" operator="containsText" text="OK">
      <formula>NOT(ISERROR(SEARCH("OK",A63)))</formula>
    </cfRule>
  </conditionalFormatting>
  <conditionalFormatting sqref="A63">
    <cfRule type="containsText" dxfId="1326" priority="35" operator="containsText" text="ok">
      <formula>NOT(ISERROR(SEARCH("ok",A63)))</formula>
    </cfRule>
  </conditionalFormatting>
  <conditionalFormatting sqref="A68">
    <cfRule type="containsText" dxfId="1325" priority="32" operator="containsText" text="OK">
      <formula>NOT(ISERROR(SEARCH("OK",A68)))</formula>
    </cfRule>
  </conditionalFormatting>
  <conditionalFormatting sqref="A68">
    <cfRule type="containsText" dxfId="1324" priority="31" operator="containsText" text="ok">
      <formula>NOT(ISERROR(SEARCH("ok",A68)))</formula>
    </cfRule>
  </conditionalFormatting>
  <conditionalFormatting sqref="A58">
    <cfRule type="containsText" dxfId="1323" priority="30" operator="containsText" text="OK">
      <formula>NOT(ISERROR(SEARCH("OK",A58)))</formula>
    </cfRule>
  </conditionalFormatting>
  <conditionalFormatting sqref="A58">
    <cfRule type="containsText" dxfId="1322" priority="29" operator="containsText" text="ok">
      <formula>NOT(ISERROR(SEARCH("ok",A58)))</formula>
    </cfRule>
  </conditionalFormatting>
  <conditionalFormatting sqref="B55">
    <cfRule type="containsText" dxfId="1321" priority="28" operator="containsText" text="OK">
      <formula>NOT(ISERROR(SEARCH("OK",B55)))</formula>
    </cfRule>
  </conditionalFormatting>
  <conditionalFormatting sqref="B55">
    <cfRule type="containsText" dxfId="1320" priority="27" operator="containsText" text="ok">
      <formula>NOT(ISERROR(SEARCH("ok",B55)))</formula>
    </cfRule>
  </conditionalFormatting>
  <conditionalFormatting sqref="A55">
    <cfRule type="containsText" dxfId="1319" priority="26" operator="containsText" text="OK">
      <formula>NOT(ISERROR(SEARCH("OK",A55)))</formula>
    </cfRule>
  </conditionalFormatting>
  <conditionalFormatting sqref="A55">
    <cfRule type="containsText" dxfId="1318" priority="25" operator="containsText" text="ok">
      <formula>NOT(ISERROR(SEARCH("ok",A55)))</formula>
    </cfRule>
  </conditionalFormatting>
  <conditionalFormatting sqref="A39">
    <cfRule type="containsText" dxfId="1317" priority="24" operator="containsText" text="OK">
      <formula>NOT(ISERROR(SEARCH("OK",A39)))</formula>
    </cfRule>
  </conditionalFormatting>
  <conditionalFormatting sqref="A39">
    <cfRule type="containsText" dxfId="1316" priority="23" operator="containsText" text="ok">
      <formula>NOT(ISERROR(SEARCH("ok",A39)))</formula>
    </cfRule>
  </conditionalFormatting>
  <conditionalFormatting sqref="A39">
    <cfRule type="containsText" dxfId="1315" priority="22" operator="containsText" text="OK">
      <formula>NOT(ISERROR(SEARCH("OK",A39)))</formula>
    </cfRule>
  </conditionalFormatting>
  <conditionalFormatting sqref="A39">
    <cfRule type="containsText" dxfId="1314" priority="21" operator="containsText" text="ok">
      <formula>NOT(ISERROR(SEARCH("ok",A39)))</formula>
    </cfRule>
  </conditionalFormatting>
  <conditionalFormatting sqref="A35">
    <cfRule type="containsText" dxfId="1313" priority="20" operator="containsText" text="OK">
      <formula>NOT(ISERROR(SEARCH("OK",A35)))</formula>
    </cfRule>
  </conditionalFormatting>
  <conditionalFormatting sqref="A35">
    <cfRule type="containsText" dxfId="1312" priority="19" operator="containsText" text="ok">
      <formula>NOT(ISERROR(SEARCH("ok",A35)))</formula>
    </cfRule>
  </conditionalFormatting>
  <conditionalFormatting sqref="A37">
    <cfRule type="containsText" dxfId="1311" priority="18" operator="containsText" text="OK">
      <formula>NOT(ISERROR(SEARCH("OK",A37)))</formula>
    </cfRule>
  </conditionalFormatting>
  <conditionalFormatting sqref="A37">
    <cfRule type="containsText" dxfId="1310" priority="17" operator="containsText" text="ok">
      <formula>NOT(ISERROR(SEARCH("ok",A37)))</formula>
    </cfRule>
  </conditionalFormatting>
  <conditionalFormatting sqref="A67">
    <cfRule type="containsText" dxfId="1309" priority="16" operator="containsText" text="OK">
      <formula>NOT(ISERROR(SEARCH("OK",A67)))</formula>
    </cfRule>
  </conditionalFormatting>
  <conditionalFormatting sqref="A67">
    <cfRule type="containsText" dxfId="1308" priority="15" operator="containsText" text="ok">
      <formula>NOT(ISERROR(SEARCH("ok",A67)))</formula>
    </cfRule>
  </conditionalFormatting>
  <conditionalFormatting sqref="A66">
    <cfRule type="containsText" dxfId="1307" priority="14" operator="containsText" text="OK">
      <formula>NOT(ISERROR(SEARCH("OK",A66)))</formula>
    </cfRule>
  </conditionalFormatting>
  <conditionalFormatting sqref="A66">
    <cfRule type="containsText" dxfId="1306" priority="13" operator="containsText" text="ok">
      <formula>NOT(ISERROR(SEARCH("ok",A66)))</formula>
    </cfRule>
  </conditionalFormatting>
  <conditionalFormatting sqref="A65">
    <cfRule type="containsText" dxfId="1305" priority="12" operator="containsText" text="OK">
      <formula>NOT(ISERROR(SEARCH("OK",A65)))</formula>
    </cfRule>
  </conditionalFormatting>
  <conditionalFormatting sqref="A65">
    <cfRule type="containsText" dxfId="1304" priority="11" operator="containsText" text="ok">
      <formula>NOT(ISERROR(SEARCH("ok",A65)))</formula>
    </cfRule>
  </conditionalFormatting>
  <conditionalFormatting sqref="A80">
    <cfRule type="containsText" dxfId="1303" priority="10" operator="containsText" text="OK">
      <formula>NOT(ISERROR(SEARCH("OK",A80)))</formula>
    </cfRule>
  </conditionalFormatting>
  <conditionalFormatting sqref="A80">
    <cfRule type="containsText" dxfId="1302" priority="9" operator="containsText" text="ok">
      <formula>NOT(ISERROR(SEARCH("ok",A80)))</formula>
    </cfRule>
  </conditionalFormatting>
  <conditionalFormatting sqref="A81">
    <cfRule type="containsText" dxfId="1301" priority="8" operator="containsText" text="OK">
      <formula>NOT(ISERROR(SEARCH("OK",A81)))</formula>
    </cfRule>
  </conditionalFormatting>
  <conditionalFormatting sqref="A81">
    <cfRule type="containsText" dxfId="1300" priority="7" operator="containsText" text="ok">
      <formula>NOT(ISERROR(SEARCH("ok",A81)))</formula>
    </cfRule>
  </conditionalFormatting>
  <conditionalFormatting sqref="A82">
    <cfRule type="containsText" dxfId="1299" priority="6" operator="containsText" text="OK">
      <formula>NOT(ISERROR(SEARCH("OK",A82)))</formula>
    </cfRule>
  </conditionalFormatting>
  <conditionalFormatting sqref="A82">
    <cfRule type="containsText" dxfId="1298" priority="5" operator="containsText" text="ok">
      <formula>NOT(ISERROR(SEARCH("ok",A82)))</formula>
    </cfRule>
  </conditionalFormatting>
  <conditionalFormatting sqref="A83">
    <cfRule type="containsText" dxfId="1297" priority="4" operator="containsText" text="OK">
      <formula>NOT(ISERROR(SEARCH("OK",A83)))</formula>
    </cfRule>
  </conditionalFormatting>
  <conditionalFormatting sqref="A83">
    <cfRule type="containsText" dxfId="1296" priority="3" operator="containsText" text="ok">
      <formula>NOT(ISERROR(SEARCH("ok",A83)))</formula>
    </cfRule>
  </conditionalFormatting>
  <conditionalFormatting sqref="A84">
    <cfRule type="containsText" dxfId="1295" priority="2" operator="containsText" text="OK">
      <formula>NOT(ISERROR(SEARCH("OK",A84)))</formula>
    </cfRule>
  </conditionalFormatting>
  <conditionalFormatting sqref="A84">
    <cfRule type="containsText" dxfId="1294" priority="1" operator="containsText" text="ok">
      <formula>NOT(ISERROR(SEARCH("ok",A84)))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35" max="16383" man="1"/>
  </rowBreaks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48434"/>
  <sheetViews>
    <sheetView zoomScale="86" zoomScaleNormal="86" workbookViewId="0">
      <pane xSplit="3" ySplit="3" topLeftCell="D73" activePane="bottomRight" state="frozen"/>
      <selection activeCell="C83" sqref="C83"/>
      <selection pane="topRight" activeCell="C83" sqref="C83"/>
      <selection pane="bottomLeft" activeCell="C83" sqref="C83"/>
      <selection pane="bottomRight" activeCell="E92" sqref="E92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187" customWidth="1"/>
    <col min="4" max="4" width="14.54296875" style="187" bestFit="1" customWidth="1"/>
    <col min="5" max="5" width="13.1796875" style="187" bestFit="1" customWidth="1"/>
    <col min="6" max="6" width="11.54296875" style="5" bestFit="1" customWidth="1"/>
    <col min="7" max="7" width="15.54296875" style="6" customWidth="1"/>
    <col min="8" max="8" width="8.81640625" style="187" hidden="1" customWidth="1"/>
    <col min="9" max="9" width="13.26953125" style="187" hidden="1" customWidth="1"/>
    <col min="10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187" hidden="1" customWidth="1"/>
    <col min="21" max="21" width="10.26953125" style="7" hidden="1" customWidth="1"/>
    <col min="22" max="22" width="9.81640625" style="187" hidden="1" customWidth="1"/>
    <col min="23" max="23" width="18.81640625" style="187" hidden="1" customWidth="1"/>
    <col min="24" max="24" width="30.26953125" style="187" customWidth="1"/>
    <col min="25" max="25" width="14.7265625" style="187" bestFit="1" customWidth="1"/>
    <col min="26" max="26" width="5" style="187" bestFit="1" customWidth="1"/>
    <col min="27" max="27" width="15.7265625" style="187" bestFit="1" customWidth="1"/>
    <col min="28" max="28" width="14" style="187" bestFit="1" customWidth="1"/>
    <col min="29" max="16384" width="9.1796875" style="187"/>
  </cols>
  <sheetData>
    <row r="1" spans="1:27" x14ac:dyDescent="0.35">
      <c r="A1" s="226" t="s">
        <v>2</v>
      </c>
      <c r="B1" s="192" t="s">
        <v>2</v>
      </c>
      <c r="C1" s="193"/>
      <c r="D1" s="320">
        <f>D102</f>
        <v>220</v>
      </c>
      <c r="E1" s="193"/>
      <c r="F1" s="193"/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19" t="s">
        <v>3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2" t="s">
        <v>16</v>
      </c>
      <c r="X2" s="718" t="s">
        <v>16</v>
      </c>
    </row>
    <row r="3" spans="1:27" ht="29.5" thickBot="1" x14ac:dyDescent="0.4">
      <c r="A3" s="717"/>
      <c r="B3" s="719"/>
      <c r="C3" s="719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2"/>
      <c r="X3" s="718"/>
      <c r="Y3" s="8"/>
    </row>
    <row r="4" spans="1:27" ht="15" customHeight="1" x14ac:dyDescent="0.35">
      <c r="A4" s="245">
        <v>45107</v>
      </c>
      <c r="B4" s="24"/>
      <c r="C4" s="211" t="s">
        <v>433</v>
      </c>
      <c r="D4" s="15">
        <v>1</v>
      </c>
      <c r="E4" s="15"/>
      <c r="F4" s="9">
        <v>850</v>
      </c>
      <c r="G4" s="29">
        <f t="shared" ref="G4:G67" si="0">(F4*D4)+(E4*F4)</f>
        <v>850</v>
      </c>
      <c r="H4" s="11"/>
      <c r="I4" s="10"/>
      <c r="J4" s="29">
        <f t="shared" ref="J4:J67" si="1">H4*I4</f>
        <v>0</v>
      </c>
      <c r="K4" s="29"/>
      <c r="L4" s="223">
        <f>(J4+G4)-K4</f>
        <v>850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>IF(O4&gt;0,SUM(O4-(L4+P4))," ")</f>
        <v xml:space="preserve"> </v>
      </c>
      <c r="S4" s="189"/>
      <c r="T4" s="253" t="s">
        <v>1</v>
      </c>
      <c r="U4" s="13">
        <v>0</v>
      </c>
      <c r="V4" s="253" t="s">
        <v>10</v>
      </c>
      <c r="W4" s="253"/>
      <c r="X4" s="14"/>
    </row>
    <row r="5" spans="1:27" ht="15" customHeight="1" x14ac:dyDescent="0.35">
      <c r="A5" s="245">
        <v>45107</v>
      </c>
      <c r="B5" s="24"/>
      <c r="C5" s="211" t="s">
        <v>153</v>
      </c>
      <c r="D5" s="15">
        <v>1</v>
      </c>
      <c r="E5" s="15"/>
      <c r="F5" s="9">
        <v>850</v>
      </c>
      <c r="G5" s="29">
        <f t="shared" si="0"/>
        <v>850</v>
      </c>
      <c r="H5" s="11"/>
      <c r="I5" s="10"/>
      <c r="J5" s="29">
        <f t="shared" si="1"/>
        <v>0</v>
      </c>
      <c r="K5" s="29"/>
      <c r="L5" s="223">
        <f t="shared" ref="L5:L68" si="2">(J5+G5)-K5</f>
        <v>850</v>
      </c>
      <c r="M5" s="12"/>
      <c r="N5" s="218" t="str">
        <f t="shared" ref="N5:N61" si="3">IF(M5&gt;0,SUM(L5-M5)," ")</f>
        <v xml:space="preserve"> </v>
      </c>
      <c r="O5" s="189"/>
      <c r="P5" s="189"/>
      <c r="Q5" s="189"/>
      <c r="R5" s="189" t="str">
        <f t="shared" ref="R5:R100" si="4">IF(O5&gt;0,SUM(O5-(L5+P5))," ")</f>
        <v xml:space="preserve"> </v>
      </c>
      <c r="S5" s="189"/>
      <c r="T5" s="253" t="s">
        <v>1</v>
      </c>
      <c r="U5" s="13">
        <v>0</v>
      </c>
      <c r="V5" s="253" t="s">
        <v>10</v>
      </c>
      <c r="W5" s="253"/>
      <c r="X5" s="14"/>
    </row>
    <row r="6" spans="1:27" ht="15" customHeight="1" x14ac:dyDescent="0.35">
      <c r="A6" s="245">
        <v>45110</v>
      </c>
      <c r="B6" s="24"/>
      <c r="C6" s="211" t="s">
        <v>280</v>
      </c>
      <c r="D6" s="15">
        <v>2</v>
      </c>
      <c r="E6" s="15"/>
      <c r="F6" s="9">
        <v>840</v>
      </c>
      <c r="G6" s="29">
        <f t="shared" si="0"/>
        <v>1680</v>
      </c>
      <c r="H6" s="11"/>
      <c r="I6" s="10"/>
      <c r="J6" s="29">
        <f t="shared" si="1"/>
        <v>0</v>
      </c>
      <c r="K6" s="29"/>
      <c r="L6" s="223">
        <f t="shared" si="2"/>
        <v>1680</v>
      </c>
      <c r="M6" s="213"/>
      <c r="N6" s="218" t="str">
        <f t="shared" si="3"/>
        <v xml:space="preserve"> </v>
      </c>
      <c r="O6" s="189"/>
      <c r="P6" s="189"/>
      <c r="Q6" s="189"/>
      <c r="R6" s="189" t="str">
        <f t="shared" si="4"/>
        <v xml:space="preserve"> </v>
      </c>
      <c r="S6" s="189"/>
      <c r="T6" s="253" t="s">
        <v>1</v>
      </c>
      <c r="U6" s="13">
        <v>0</v>
      </c>
      <c r="V6" s="253" t="s">
        <v>10</v>
      </c>
      <c r="W6" s="253"/>
      <c r="X6" s="17"/>
    </row>
    <row r="7" spans="1:27" ht="15" customHeight="1" x14ac:dyDescent="0.35">
      <c r="A7" s="245">
        <v>45110</v>
      </c>
      <c r="B7" s="245"/>
      <c r="C7" s="211" t="s">
        <v>322</v>
      </c>
      <c r="D7" s="15">
        <v>1</v>
      </c>
      <c r="E7" s="15"/>
      <c r="F7" s="9">
        <v>850</v>
      </c>
      <c r="G7" s="29">
        <f t="shared" si="0"/>
        <v>850</v>
      </c>
      <c r="H7" s="11"/>
      <c r="I7" s="10"/>
      <c r="J7" s="29">
        <f t="shared" si="1"/>
        <v>0</v>
      </c>
      <c r="K7" s="29"/>
      <c r="L7" s="223">
        <f t="shared" si="2"/>
        <v>850</v>
      </c>
      <c r="M7" s="12"/>
      <c r="N7" s="218" t="str">
        <f t="shared" si="3"/>
        <v xml:space="preserve"> </v>
      </c>
      <c r="O7" s="189"/>
      <c r="P7" s="189"/>
      <c r="Q7" s="189"/>
      <c r="R7" s="189" t="str">
        <f t="shared" si="4"/>
        <v xml:space="preserve"> </v>
      </c>
      <c r="S7" s="189"/>
      <c r="T7" s="253" t="s">
        <v>1</v>
      </c>
      <c r="U7" s="13">
        <v>0</v>
      </c>
      <c r="V7" s="253" t="s">
        <v>10</v>
      </c>
      <c r="W7" s="253"/>
      <c r="X7" s="16"/>
    </row>
    <row r="8" spans="1:27" ht="15" customHeight="1" x14ac:dyDescent="0.35">
      <c r="A8" s="245">
        <v>45110</v>
      </c>
      <c r="B8" s="245"/>
      <c r="C8" s="211" t="s">
        <v>324</v>
      </c>
      <c r="D8" s="15"/>
      <c r="E8" s="15">
        <v>1</v>
      </c>
      <c r="F8" s="9">
        <v>850</v>
      </c>
      <c r="G8" s="29">
        <f t="shared" si="0"/>
        <v>850</v>
      </c>
      <c r="H8" s="11"/>
      <c r="I8" s="10"/>
      <c r="J8" s="29">
        <f t="shared" si="1"/>
        <v>0</v>
      </c>
      <c r="K8" s="29"/>
      <c r="L8" s="223">
        <f t="shared" si="2"/>
        <v>850</v>
      </c>
      <c r="M8" s="12"/>
      <c r="N8" s="218" t="str">
        <f t="shared" si="3"/>
        <v xml:space="preserve"> </v>
      </c>
      <c r="O8" s="189">
        <v>1400</v>
      </c>
      <c r="P8" s="189"/>
      <c r="Q8" s="189"/>
      <c r="R8" s="189">
        <f t="shared" si="4"/>
        <v>550</v>
      </c>
      <c r="S8" s="189"/>
      <c r="T8" s="253" t="s">
        <v>83</v>
      </c>
      <c r="U8" s="13">
        <v>0</v>
      </c>
      <c r="V8" s="253" t="s">
        <v>10</v>
      </c>
      <c r="W8" s="253" t="s">
        <v>84</v>
      </c>
      <c r="X8" s="16"/>
      <c r="Y8" s="187" t="s">
        <v>0</v>
      </c>
      <c r="Z8" s="187" t="s">
        <v>8</v>
      </c>
      <c r="AA8" s="249">
        <f>G101</f>
        <v>181620</v>
      </c>
    </row>
    <row r="9" spans="1:27" ht="15" customHeight="1" x14ac:dyDescent="0.35">
      <c r="A9" s="245">
        <v>45110</v>
      </c>
      <c r="B9" s="245"/>
      <c r="C9" s="212" t="s">
        <v>349</v>
      </c>
      <c r="D9" s="15"/>
      <c r="E9" s="15">
        <v>3</v>
      </c>
      <c r="F9" s="9">
        <v>820</v>
      </c>
      <c r="G9" s="29">
        <f t="shared" si="0"/>
        <v>2460</v>
      </c>
      <c r="H9" s="11"/>
      <c r="I9" s="10"/>
      <c r="J9" s="29">
        <f t="shared" si="1"/>
        <v>0</v>
      </c>
      <c r="K9" s="29"/>
      <c r="L9" s="223">
        <f t="shared" si="2"/>
        <v>2460</v>
      </c>
      <c r="M9" s="12"/>
      <c r="N9" s="218" t="str">
        <f t="shared" si="3"/>
        <v xml:space="preserve"> </v>
      </c>
      <c r="O9" s="189"/>
      <c r="P9" s="189"/>
      <c r="Q9" s="189"/>
      <c r="R9" s="189" t="str">
        <f t="shared" si="4"/>
        <v xml:space="preserve"> </v>
      </c>
      <c r="S9" s="189"/>
      <c r="T9" s="18" t="s">
        <v>1</v>
      </c>
      <c r="U9" s="13">
        <v>0</v>
      </c>
      <c r="V9" s="253" t="s">
        <v>10</v>
      </c>
      <c r="W9" s="253"/>
      <c r="X9" s="16"/>
      <c r="Y9" s="187">
        <v>720</v>
      </c>
      <c r="AA9" s="191">
        <f>Y9*Z9</f>
        <v>0</v>
      </c>
    </row>
    <row r="10" spans="1:27" ht="15" customHeight="1" x14ac:dyDescent="0.35">
      <c r="A10" s="245">
        <v>45110</v>
      </c>
      <c r="B10" s="245"/>
      <c r="C10" s="212" t="s">
        <v>358</v>
      </c>
      <c r="D10" s="15"/>
      <c r="E10" s="15">
        <v>3</v>
      </c>
      <c r="F10" s="9">
        <v>830</v>
      </c>
      <c r="G10" s="29">
        <f t="shared" si="0"/>
        <v>2490</v>
      </c>
      <c r="H10" s="11"/>
      <c r="I10" s="10"/>
      <c r="J10" s="29">
        <f t="shared" si="1"/>
        <v>0</v>
      </c>
      <c r="K10" s="29"/>
      <c r="L10" s="223">
        <f t="shared" si="2"/>
        <v>2490</v>
      </c>
      <c r="M10" s="12"/>
      <c r="N10" s="218" t="str">
        <f t="shared" si="3"/>
        <v xml:space="preserve"> </v>
      </c>
      <c r="O10" s="189"/>
      <c r="P10" s="189"/>
      <c r="Q10" s="189"/>
      <c r="R10" s="189" t="str">
        <f t="shared" si="4"/>
        <v xml:space="preserve"> </v>
      </c>
      <c r="S10" s="189"/>
      <c r="T10" s="18" t="s">
        <v>1</v>
      </c>
      <c r="U10" s="13">
        <v>0</v>
      </c>
      <c r="V10" s="253" t="s">
        <v>10</v>
      </c>
      <c r="W10" s="253"/>
      <c r="X10" s="16"/>
      <c r="Y10" s="187">
        <v>750</v>
      </c>
      <c r="AA10" s="191">
        <f>Y10*Z10</f>
        <v>0</v>
      </c>
    </row>
    <row r="11" spans="1:27" ht="15" customHeight="1" x14ac:dyDescent="0.35">
      <c r="A11" s="245">
        <v>45110</v>
      </c>
      <c r="B11" s="245"/>
      <c r="C11" s="212" t="s">
        <v>153</v>
      </c>
      <c r="D11" s="15"/>
      <c r="E11" s="15">
        <v>1</v>
      </c>
      <c r="F11" s="9">
        <v>850</v>
      </c>
      <c r="G11" s="29">
        <f t="shared" si="0"/>
        <v>850</v>
      </c>
      <c r="H11" s="11"/>
      <c r="I11" s="10"/>
      <c r="J11" s="29">
        <f t="shared" si="1"/>
        <v>0</v>
      </c>
      <c r="K11" s="29"/>
      <c r="L11" s="223">
        <f t="shared" si="2"/>
        <v>850</v>
      </c>
      <c r="M11" s="213"/>
      <c r="N11" s="218" t="str">
        <f t="shared" si="3"/>
        <v xml:space="preserve"> </v>
      </c>
      <c r="O11" s="189"/>
      <c r="P11" s="189"/>
      <c r="Q11" s="189"/>
      <c r="R11" s="189" t="str">
        <f t="shared" si="4"/>
        <v xml:space="preserve"> </v>
      </c>
      <c r="S11" s="189"/>
      <c r="T11" s="18" t="s">
        <v>1</v>
      </c>
      <c r="U11" s="13">
        <v>0</v>
      </c>
      <c r="V11" s="253" t="s">
        <v>10</v>
      </c>
      <c r="W11" s="253"/>
      <c r="X11" s="16"/>
      <c r="Y11" s="187">
        <v>780</v>
      </c>
      <c r="AA11" s="191">
        <f>Y11*Z11</f>
        <v>0</v>
      </c>
    </row>
    <row r="12" spans="1:27" ht="15" customHeight="1" x14ac:dyDescent="0.35">
      <c r="A12" s="245">
        <v>45112</v>
      </c>
      <c r="B12" s="245"/>
      <c r="C12" s="212" t="s">
        <v>112</v>
      </c>
      <c r="D12" s="15">
        <v>10</v>
      </c>
      <c r="E12" s="15"/>
      <c r="F12" s="9">
        <v>820</v>
      </c>
      <c r="G12" s="29">
        <f t="shared" si="0"/>
        <v>8200</v>
      </c>
      <c r="H12" s="11"/>
      <c r="I12" s="10"/>
      <c r="J12" s="29">
        <f t="shared" si="1"/>
        <v>0</v>
      </c>
      <c r="K12" s="29"/>
      <c r="L12" s="223">
        <f t="shared" si="2"/>
        <v>8200</v>
      </c>
      <c r="M12" s="12"/>
      <c r="N12" s="218" t="str">
        <f t="shared" si="3"/>
        <v xml:space="preserve"> </v>
      </c>
      <c r="O12" s="189"/>
      <c r="P12" s="189"/>
      <c r="Q12" s="189"/>
      <c r="R12" s="189" t="str">
        <f t="shared" si="4"/>
        <v xml:space="preserve"> </v>
      </c>
      <c r="S12" s="189"/>
      <c r="T12" s="253" t="s">
        <v>1</v>
      </c>
      <c r="U12" s="13">
        <v>0</v>
      </c>
      <c r="V12" s="253" t="s">
        <v>10</v>
      </c>
      <c r="W12" s="253"/>
      <c r="X12" s="17"/>
      <c r="Y12" s="187">
        <v>800</v>
      </c>
      <c r="AA12" s="191">
        <f>Y12*Z12</f>
        <v>0</v>
      </c>
    </row>
    <row r="13" spans="1:27" ht="15" customHeight="1" x14ac:dyDescent="0.35">
      <c r="A13" s="245">
        <v>45112</v>
      </c>
      <c r="B13" s="245"/>
      <c r="C13" s="212" t="s">
        <v>279</v>
      </c>
      <c r="D13" s="15"/>
      <c r="E13" s="15">
        <v>6</v>
      </c>
      <c r="F13" s="9">
        <v>800</v>
      </c>
      <c r="G13" s="29">
        <f t="shared" si="0"/>
        <v>4800</v>
      </c>
      <c r="H13" s="11"/>
      <c r="I13" s="10"/>
      <c r="J13" s="29">
        <f t="shared" si="1"/>
        <v>0</v>
      </c>
      <c r="K13" s="29"/>
      <c r="L13" s="223">
        <f t="shared" si="2"/>
        <v>4800</v>
      </c>
      <c r="M13" s="213"/>
      <c r="N13" s="218" t="str">
        <f t="shared" si="3"/>
        <v xml:space="preserve"> </v>
      </c>
      <c r="O13" s="189">
        <v>440</v>
      </c>
      <c r="P13" s="189"/>
      <c r="Q13" s="189"/>
      <c r="R13" s="189">
        <f t="shared" si="4"/>
        <v>-4360</v>
      </c>
      <c r="S13" s="189">
        <f>P13-Q13</f>
        <v>0</v>
      </c>
      <c r="T13" s="253" t="s">
        <v>1</v>
      </c>
      <c r="U13" s="13">
        <v>30</v>
      </c>
      <c r="V13" s="253" t="s">
        <v>10</v>
      </c>
      <c r="W13" s="253" t="s">
        <v>92</v>
      </c>
      <c r="X13" s="16"/>
      <c r="AA13" s="251">
        <f>AA8-(SUM(AA9:AA12))</f>
        <v>181620</v>
      </c>
    </row>
    <row r="14" spans="1:27" ht="15" customHeight="1" x14ac:dyDescent="0.35">
      <c r="A14" s="245">
        <v>45112</v>
      </c>
      <c r="B14" s="245"/>
      <c r="C14" s="212" t="s">
        <v>330</v>
      </c>
      <c r="D14" s="15"/>
      <c r="E14" s="15">
        <v>6</v>
      </c>
      <c r="F14" s="9">
        <v>820</v>
      </c>
      <c r="G14" s="29">
        <f t="shared" si="0"/>
        <v>4920</v>
      </c>
      <c r="H14" s="11"/>
      <c r="I14" s="10"/>
      <c r="J14" s="29">
        <f t="shared" si="1"/>
        <v>0</v>
      </c>
      <c r="K14" s="29"/>
      <c r="L14" s="223">
        <f t="shared" si="2"/>
        <v>4920</v>
      </c>
      <c r="M14" s="12"/>
      <c r="N14" s="218" t="str">
        <f t="shared" si="3"/>
        <v xml:space="preserve"> </v>
      </c>
      <c r="O14" s="190"/>
      <c r="P14" s="190"/>
      <c r="Q14" s="190"/>
      <c r="R14" s="189" t="str">
        <f t="shared" si="4"/>
        <v xml:space="preserve"> </v>
      </c>
      <c r="S14" s="190"/>
      <c r="T14" s="253"/>
      <c r="U14" s="19"/>
      <c r="V14" s="253"/>
      <c r="W14" s="253"/>
      <c r="X14" s="16"/>
    </row>
    <row r="15" spans="1:27" ht="15" customHeight="1" x14ac:dyDescent="0.35">
      <c r="A15" s="245">
        <v>45112</v>
      </c>
      <c r="B15" s="245"/>
      <c r="C15" s="212" t="s">
        <v>296</v>
      </c>
      <c r="D15" s="15"/>
      <c r="E15" s="15">
        <v>4</v>
      </c>
      <c r="F15" s="9">
        <v>840</v>
      </c>
      <c r="G15" s="29">
        <f t="shared" si="0"/>
        <v>3360</v>
      </c>
      <c r="H15" s="11"/>
      <c r="I15" s="10"/>
      <c r="J15" s="29">
        <f t="shared" si="1"/>
        <v>0</v>
      </c>
      <c r="K15" s="29"/>
      <c r="L15" s="223">
        <f t="shared" si="2"/>
        <v>3360</v>
      </c>
      <c r="M15" s="12"/>
      <c r="N15" s="218" t="str">
        <f t="shared" si="3"/>
        <v xml:space="preserve"> </v>
      </c>
      <c r="O15" s="190"/>
      <c r="P15" s="190"/>
      <c r="Q15" s="190"/>
      <c r="R15" s="189" t="str">
        <f t="shared" si="4"/>
        <v xml:space="preserve"> </v>
      </c>
      <c r="S15" s="190"/>
      <c r="T15" s="253"/>
      <c r="U15" s="19"/>
      <c r="V15" s="253"/>
      <c r="W15" s="253"/>
      <c r="X15" s="16"/>
    </row>
    <row r="16" spans="1:27" ht="15" customHeight="1" x14ac:dyDescent="0.35">
      <c r="A16" s="246">
        <v>45112</v>
      </c>
      <c r="B16" s="245"/>
      <c r="C16" s="212" t="s">
        <v>152</v>
      </c>
      <c r="D16" s="15">
        <v>8</v>
      </c>
      <c r="E16" s="15"/>
      <c r="F16" s="9">
        <v>830</v>
      </c>
      <c r="G16" s="29">
        <f t="shared" si="0"/>
        <v>6640</v>
      </c>
      <c r="H16" s="11"/>
      <c r="I16" s="10"/>
      <c r="J16" s="29">
        <f t="shared" si="1"/>
        <v>0</v>
      </c>
      <c r="K16" s="29"/>
      <c r="L16" s="223">
        <f t="shared" si="2"/>
        <v>6640</v>
      </c>
      <c r="M16" s="12"/>
      <c r="N16" s="218" t="str">
        <f t="shared" si="3"/>
        <v xml:space="preserve"> </v>
      </c>
      <c r="O16" s="189"/>
      <c r="P16" s="189"/>
      <c r="Q16" s="189"/>
      <c r="R16" s="189" t="str">
        <f t="shared" si="4"/>
        <v xml:space="preserve"> </v>
      </c>
      <c r="S16" s="189"/>
      <c r="T16" s="253"/>
      <c r="U16" s="13"/>
      <c r="V16" s="253"/>
      <c r="W16" s="253"/>
      <c r="X16" s="16"/>
    </row>
    <row r="17" spans="1:24" ht="15" customHeight="1" x14ac:dyDescent="0.35">
      <c r="A17" s="246">
        <v>45112</v>
      </c>
      <c r="B17" s="245"/>
      <c r="C17" s="212" t="s">
        <v>323</v>
      </c>
      <c r="D17" s="15">
        <v>1</v>
      </c>
      <c r="E17" s="15"/>
      <c r="F17" s="9">
        <v>850</v>
      </c>
      <c r="G17" s="29">
        <f t="shared" si="0"/>
        <v>850</v>
      </c>
      <c r="H17" s="11"/>
      <c r="I17" s="10"/>
      <c r="J17" s="29">
        <f t="shared" si="1"/>
        <v>0</v>
      </c>
      <c r="K17" s="29"/>
      <c r="L17" s="223">
        <f t="shared" si="2"/>
        <v>850</v>
      </c>
      <c r="M17" s="223"/>
      <c r="N17" s="218" t="str">
        <f t="shared" si="3"/>
        <v xml:space="preserve"> </v>
      </c>
      <c r="O17" s="189"/>
      <c r="P17" s="189"/>
      <c r="Q17" s="189"/>
      <c r="R17" s="189" t="str">
        <f t="shared" si="4"/>
        <v xml:space="preserve"> </v>
      </c>
      <c r="S17" s="189"/>
      <c r="T17" s="253"/>
      <c r="U17" s="13"/>
      <c r="V17" s="253"/>
      <c r="W17" s="253"/>
      <c r="X17" s="16"/>
    </row>
    <row r="18" spans="1:24" ht="15" customHeight="1" x14ac:dyDescent="0.35">
      <c r="A18" s="246">
        <v>45112</v>
      </c>
      <c r="B18" s="245"/>
      <c r="C18" s="212" t="s">
        <v>346</v>
      </c>
      <c r="D18" s="15">
        <v>1</v>
      </c>
      <c r="E18" s="15"/>
      <c r="F18" s="9">
        <v>850</v>
      </c>
      <c r="G18" s="29">
        <f t="shared" si="0"/>
        <v>850</v>
      </c>
      <c r="H18" s="11"/>
      <c r="I18" s="10"/>
      <c r="J18" s="29">
        <f t="shared" si="1"/>
        <v>0</v>
      </c>
      <c r="K18" s="29"/>
      <c r="L18" s="223">
        <f t="shared" si="2"/>
        <v>850</v>
      </c>
      <c r="M18" s="213"/>
      <c r="N18" s="218" t="str">
        <f t="shared" si="3"/>
        <v xml:space="preserve"> </v>
      </c>
      <c r="O18" s="189"/>
      <c r="P18" s="189"/>
      <c r="Q18" s="189"/>
      <c r="R18" s="189" t="str">
        <f t="shared" si="4"/>
        <v xml:space="preserve"> </v>
      </c>
      <c r="S18" s="189"/>
      <c r="T18" s="253"/>
      <c r="U18" s="13"/>
      <c r="V18" s="253"/>
      <c r="W18" s="253"/>
      <c r="X18" s="16"/>
    </row>
    <row r="19" spans="1:24" ht="15" customHeight="1" x14ac:dyDescent="0.35">
      <c r="A19" s="245">
        <v>45113</v>
      </c>
      <c r="B19" s="245"/>
      <c r="C19" s="212" t="s">
        <v>153</v>
      </c>
      <c r="D19" s="15"/>
      <c r="E19" s="15">
        <v>1</v>
      </c>
      <c r="F19" s="9">
        <v>850</v>
      </c>
      <c r="G19" s="29">
        <f t="shared" si="0"/>
        <v>850</v>
      </c>
      <c r="H19" s="11"/>
      <c r="I19" s="10"/>
      <c r="J19" s="29">
        <f t="shared" si="1"/>
        <v>0</v>
      </c>
      <c r="K19" s="29"/>
      <c r="L19" s="223">
        <f t="shared" si="2"/>
        <v>850</v>
      </c>
      <c r="M19" s="223"/>
      <c r="N19" s="218" t="str">
        <f t="shared" si="3"/>
        <v xml:space="preserve"> </v>
      </c>
      <c r="O19" s="189"/>
      <c r="P19" s="189"/>
      <c r="Q19" s="189"/>
      <c r="R19" s="189" t="str">
        <f t="shared" si="4"/>
        <v xml:space="preserve"> </v>
      </c>
      <c r="S19" s="189"/>
      <c r="T19" s="253"/>
      <c r="U19" s="13"/>
      <c r="V19" s="253"/>
      <c r="W19" s="253"/>
      <c r="X19" s="16"/>
    </row>
    <row r="20" spans="1:24" ht="15" customHeight="1" x14ac:dyDescent="0.35">
      <c r="A20" s="245">
        <v>45113</v>
      </c>
      <c r="B20" s="245"/>
      <c r="C20" s="212" t="s">
        <v>328</v>
      </c>
      <c r="D20" s="15">
        <v>4</v>
      </c>
      <c r="E20" s="15"/>
      <c r="F20" s="9">
        <v>800</v>
      </c>
      <c r="G20" s="29">
        <f t="shared" si="0"/>
        <v>3200</v>
      </c>
      <c r="H20" s="11"/>
      <c r="I20" s="10"/>
      <c r="J20" s="29">
        <f t="shared" si="1"/>
        <v>0</v>
      </c>
      <c r="K20" s="29"/>
      <c r="L20" s="223">
        <f t="shared" si="2"/>
        <v>3200</v>
      </c>
      <c r="M20" s="12"/>
      <c r="N20" s="218" t="str">
        <f t="shared" si="3"/>
        <v xml:space="preserve"> </v>
      </c>
      <c r="O20" s="189"/>
      <c r="P20" s="189"/>
      <c r="Q20" s="189"/>
      <c r="R20" s="189" t="str">
        <f t="shared" si="4"/>
        <v xml:space="preserve"> </v>
      </c>
      <c r="S20" s="189"/>
      <c r="T20" s="253"/>
      <c r="U20" s="13"/>
      <c r="V20" s="253"/>
      <c r="W20" s="253"/>
      <c r="X20" s="16"/>
    </row>
    <row r="21" spans="1:24" ht="15" customHeight="1" x14ac:dyDescent="0.35">
      <c r="A21" s="245">
        <v>45113</v>
      </c>
      <c r="B21" s="245"/>
      <c r="C21" s="212" t="s">
        <v>321</v>
      </c>
      <c r="D21" s="15">
        <v>2</v>
      </c>
      <c r="E21" s="15"/>
      <c r="F21" s="9">
        <v>850</v>
      </c>
      <c r="G21" s="29">
        <f t="shared" si="0"/>
        <v>1700</v>
      </c>
      <c r="H21" s="11"/>
      <c r="I21" s="10"/>
      <c r="J21" s="29">
        <f t="shared" si="1"/>
        <v>0</v>
      </c>
      <c r="K21" s="29"/>
      <c r="L21" s="223">
        <f t="shared" si="2"/>
        <v>1700</v>
      </c>
      <c r="M21" s="12"/>
      <c r="N21" s="218" t="str">
        <f t="shared" si="3"/>
        <v xml:space="preserve"> </v>
      </c>
      <c r="O21" s="189"/>
      <c r="P21" s="189"/>
      <c r="Q21" s="189"/>
      <c r="R21" s="189" t="str">
        <f t="shared" si="4"/>
        <v xml:space="preserve"> </v>
      </c>
      <c r="S21" s="189"/>
      <c r="T21" s="253"/>
      <c r="U21" s="13"/>
      <c r="V21" s="253"/>
      <c r="W21" s="253"/>
      <c r="X21" s="16"/>
    </row>
    <row r="22" spans="1:24" ht="15" customHeight="1" x14ac:dyDescent="0.35">
      <c r="A22" s="245">
        <v>45113</v>
      </c>
      <c r="B22" s="245"/>
      <c r="C22" s="212" t="s">
        <v>321</v>
      </c>
      <c r="D22" s="15">
        <v>1</v>
      </c>
      <c r="E22" s="15"/>
      <c r="F22" s="9">
        <v>850</v>
      </c>
      <c r="G22" s="29">
        <f t="shared" si="0"/>
        <v>850</v>
      </c>
      <c r="H22" s="11"/>
      <c r="I22" s="10"/>
      <c r="J22" s="29">
        <f t="shared" si="1"/>
        <v>0</v>
      </c>
      <c r="K22" s="29"/>
      <c r="L22" s="223">
        <f t="shared" si="2"/>
        <v>850</v>
      </c>
      <c r="M22" s="12"/>
      <c r="N22" s="218" t="str">
        <f t="shared" si="3"/>
        <v xml:space="preserve"> </v>
      </c>
      <c r="O22" s="189"/>
      <c r="P22" s="189"/>
      <c r="Q22" s="189"/>
      <c r="R22" s="189" t="str">
        <f t="shared" si="4"/>
        <v xml:space="preserve"> </v>
      </c>
      <c r="S22" s="189"/>
      <c r="T22" s="253"/>
      <c r="U22" s="13"/>
      <c r="V22" s="253"/>
      <c r="W22" s="253"/>
      <c r="X22" s="16"/>
    </row>
    <row r="23" spans="1:24" ht="15" customHeight="1" x14ac:dyDescent="0.35">
      <c r="A23" s="245">
        <v>45114</v>
      </c>
      <c r="B23" s="245"/>
      <c r="C23" s="212" t="s">
        <v>438</v>
      </c>
      <c r="D23" s="15"/>
      <c r="E23" s="15">
        <v>1</v>
      </c>
      <c r="F23" s="9">
        <v>850</v>
      </c>
      <c r="G23" s="29">
        <f t="shared" si="0"/>
        <v>850</v>
      </c>
      <c r="H23" s="11"/>
      <c r="I23" s="10"/>
      <c r="J23" s="29">
        <f t="shared" si="1"/>
        <v>0</v>
      </c>
      <c r="K23" s="29"/>
      <c r="L23" s="223">
        <f t="shared" si="2"/>
        <v>850</v>
      </c>
      <c r="M23" s="12"/>
      <c r="N23" s="218" t="str">
        <f t="shared" si="3"/>
        <v xml:space="preserve"> </v>
      </c>
      <c r="O23" s="189"/>
      <c r="P23" s="189"/>
      <c r="Q23" s="189"/>
      <c r="R23" s="189" t="str">
        <f t="shared" si="4"/>
        <v xml:space="preserve"> </v>
      </c>
      <c r="S23" s="189"/>
      <c r="T23" s="253"/>
      <c r="U23" s="13"/>
      <c r="V23" s="253"/>
      <c r="W23" s="253"/>
      <c r="X23" s="16"/>
    </row>
    <row r="24" spans="1:24" ht="15" customHeight="1" x14ac:dyDescent="0.35">
      <c r="A24" s="250">
        <v>45117</v>
      </c>
      <c r="B24" s="250"/>
      <c r="C24" s="212" t="s">
        <v>322</v>
      </c>
      <c r="D24" s="15">
        <v>2</v>
      </c>
      <c r="E24" s="15"/>
      <c r="F24" s="9">
        <v>850</v>
      </c>
      <c r="G24" s="29">
        <f t="shared" si="0"/>
        <v>1700</v>
      </c>
      <c r="H24" s="11"/>
      <c r="I24" s="10"/>
      <c r="J24" s="29">
        <f t="shared" si="1"/>
        <v>0</v>
      </c>
      <c r="K24" s="29"/>
      <c r="L24" s="223">
        <f t="shared" si="2"/>
        <v>1700</v>
      </c>
      <c r="M24" s="12"/>
      <c r="N24" s="218" t="str">
        <f t="shared" si="3"/>
        <v xml:space="preserve"> </v>
      </c>
      <c r="O24" s="189"/>
      <c r="P24" s="189"/>
      <c r="Q24" s="189"/>
      <c r="R24" s="189" t="str">
        <f t="shared" si="4"/>
        <v xml:space="preserve"> </v>
      </c>
      <c r="S24" s="189"/>
      <c r="T24" s="253"/>
      <c r="U24" s="13"/>
      <c r="V24" s="253"/>
      <c r="W24" s="253"/>
      <c r="X24" s="16"/>
    </row>
    <row r="25" spans="1:24" ht="15" customHeight="1" x14ac:dyDescent="0.35">
      <c r="A25" s="245">
        <v>45117</v>
      </c>
      <c r="B25" s="245"/>
      <c r="C25" s="211" t="s">
        <v>153</v>
      </c>
      <c r="D25" s="15">
        <v>1</v>
      </c>
      <c r="E25" s="15"/>
      <c r="F25" s="9">
        <v>850</v>
      </c>
      <c r="G25" s="29">
        <f t="shared" si="0"/>
        <v>850</v>
      </c>
      <c r="H25" s="11"/>
      <c r="I25" s="10"/>
      <c r="J25" s="29">
        <f t="shared" si="1"/>
        <v>0</v>
      </c>
      <c r="K25" s="29"/>
      <c r="L25" s="223">
        <f t="shared" si="2"/>
        <v>850</v>
      </c>
      <c r="M25" s="12"/>
      <c r="N25" s="218" t="str">
        <f t="shared" si="3"/>
        <v xml:space="preserve"> </v>
      </c>
      <c r="O25" s="189"/>
      <c r="P25" s="189"/>
      <c r="Q25" s="189"/>
      <c r="R25" s="189" t="str">
        <f t="shared" si="4"/>
        <v xml:space="preserve"> </v>
      </c>
      <c r="S25" s="189"/>
      <c r="T25" s="253"/>
      <c r="U25" s="13"/>
      <c r="V25" s="253"/>
      <c r="W25" s="253"/>
      <c r="X25" s="16"/>
    </row>
    <row r="26" spans="1:24" ht="15" customHeight="1" x14ac:dyDescent="0.35">
      <c r="A26" s="245">
        <v>45117</v>
      </c>
      <c r="B26" s="245"/>
      <c r="C26" s="211" t="s">
        <v>279</v>
      </c>
      <c r="D26" s="15"/>
      <c r="E26" s="15">
        <v>6</v>
      </c>
      <c r="F26" s="9">
        <v>800</v>
      </c>
      <c r="G26" s="29">
        <f t="shared" si="0"/>
        <v>4800</v>
      </c>
      <c r="H26" s="11"/>
      <c r="I26" s="10"/>
      <c r="J26" s="29">
        <f t="shared" si="1"/>
        <v>0</v>
      </c>
      <c r="K26" s="29"/>
      <c r="L26" s="223">
        <f t="shared" si="2"/>
        <v>4800</v>
      </c>
      <c r="M26" s="12"/>
      <c r="N26" s="218" t="str">
        <f t="shared" si="3"/>
        <v xml:space="preserve"> </v>
      </c>
      <c r="O26" s="189"/>
      <c r="P26" s="189"/>
      <c r="Q26" s="189"/>
      <c r="R26" s="189" t="str">
        <f t="shared" si="4"/>
        <v xml:space="preserve"> </v>
      </c>
      <c r="S26" s="189"/>
      <c r="T26" s="253"/>
      <c r="U26" s="13"/>
      <c r="V26" s="253"/>
      <c r="W26" s="253"/>
      <c r="X26" s="16"/>
    </row>
    <row r="27" spans="1:24" ht="15" customHeight="1" x14ac:dyDescent="0.35">
      <c r="A27" s="245">
        <v>45117</v>
      </c>
      <c r="B27" s="245"/>
      <c r="C27" s="212" t="s">
        <v>296</v>
      </c>
      <c r="D27" s="15"/>
      <c r="E27" s="15">
        <v>4</v>
      </c>
      <c r="F27" s="9">
        <v>840</v>
      </c>
      <c r="G27" s="29">
        <f t="shared" si="0"/>
        <v>3360</v>
      </c>
      <c r="H27" s="11"/>
      <c r="I27" s="10"/>
      <c r="J27" s="29">
        <f t="shared" si="1"/>
        <v>0</v>
      </c>
      <c r="K27" s="29"/>
      <c r="L27" s="223">
        <f t="shared" si="2"/>
        <v>3360</v>
      </c>
      <c r="M27" s="12"/>
      <c r="N27" s="218" t="str">
        <f t="shared" si="3"/>
        <v xml:space="preserve"> </v>
      </c>
      <c r="O27" s="189"/>
      <c r="P27" s="189"/>
      <c r="Q27" s="189"/>
      <c r="R27" s="189" t="str">
        <f t="shared" si="4"/>
        <v xml:space="preserve"> </v>
      </c>
      <c r="S27" s="189"/>
      <c r="T27" s="253"/>
      <c r="U27" s="13"/>
      <c r="V27" s="253"/>
      <c r="W27" s="253"/>
      <c r="X27" s="16"/>
    </row>
    <row r="28" spans="1:24" ht="15" customHeight="1" x14ac:dyDescent="0.35">
      <c r="A28" s="245">
        <v>45117</v>
      </c>
      <c r="B28" s="245"/>
      <c r="C28" s="212" t="s">
        <v>439</v>
      </c>
      <c r="D28" s="15"/>
      <c r="E28" s="15">
        <v>1</v>
      </c>
      <c r="F28" s="9">
        <v>840</v>
      </c>
      <c r="G28" s="29">
        <f t="shared" si="0"/>
        <v>840</v>
      </c>
      <c r="H28" s="11"/>
      <c r="I28" s="10"/>
      <c r="J28" s="29">
        <f t="shared" si="1"/>
        <v>0</v>
      </c>
      <c r="K28" s="29"/>
      <c r="L28" s="223">
        <f t="shared" si="2"/>
        <v>840</v>
      </c>
      <c r="M28" s="12"/>
      <c r="N28" s="218" t="str">
        <f t="shared" si="3"/>
        <v xml:space="preserve"> </v>
      </c>
      <c r="O28" s="189"/>
      <c r="P28" s="189"/>
      <c r="Q28" s="189"/>
      <c r="R28" s="189" t="str">
        <f t="shared" si="4"/>
        <v xml:space="preserve"> </v>
      </c>
      <c r="S28" s="189"/>
      <c r="T28" s="253"/>
      <c r="U28" s="13"/>
      <c r="V28" s="253"/>
      <c r="W28" s="253"/>
      <c r="X28" s="16"/>
    </row>
    <row r="29" spans="1:24" ht="15" customHeight="1" x14ac:dyDescent="0.35">
      <c r="A29" s="245">
        <v>45117</v>
      </c>
      <c r="B29" s="245"/>
      <c r="C29" s="248" t="s">
        <v>326</v>
      </c>
      <c r="D29" s="15"/>
      <c r="E29" s="15">
        <v>1</v>
      </c>
      <c r="F29" s="9">
        <v>830</v>
      </c>
      <c r="G29" s="29">
        <f t="shared" si="0"/>
        <v>830</v>
      </c>
      <c r="H29" s="11"/>
      <c r="I29" s="10"/>
      <c r="J29" s="29">
        <f t="shared" si="1"/>
        <v>0</v>
      </c>
      <c r="K29" s="29"/>
      <c r="L29" s="223">
        <f t="shared" si="2"/>
        <v>830</v>
      </c>
      <c r="M29" s="12"/>
      <c r="N29" s="239" t="str">
        <f t="shared" si="3"/>
        <v xml:space="preserve"> </v>
      </c>
      <c r="O29" s="189"/>
      <c r="P29" s="189"/>
      <c r="Q29" s="189"/>
      <c r="R29" s="189" t="str">
        <f t="shared" si="4"/>
        <v xml:space="preserve"> </v>
      </c>
      <c r="S29" s="189"/>
      <c r="T29" s="253"/>
      <c r="U29" s="13"/>
      <c r="V29" s="253"/>
      <c r="W29" s="253"/>
      <c r="X29" s="16"/>
    </row>
    <row r="30" spans="1:24" ht="15" customHeight="1" x14ac:dyDescent="0.35">
      <c r="A30" s="245">
        <v>45117</v>
      </c>
      <c r="B30" s="245"/>
      <c r="C30" s="248" t="s">
        <v>428</v>
      </c>
      <c r="D30" s="15">
        <v>2</v>
      </c>
      <c r="E30" s="15"/>
      <c r="F30" s="9">
        <v>800</v>
      </c>
      <c r="G30" s="29">
        <f t="shared" si="0"/>
        <v>1600</v>
      </c>
      <c r="H30" s="11"/>
      <c r="I30" s="10"/>
      <c r="J30" s="29">
        <f t="shared" si="1"/>
        <v>0</v>
      </c>
      <c r="K30" s="29"/>
      <c r="L30" s="223">
        <f t="shared" si="2"/>
        <v>1600</v>
      </c>
      <c r="M30" s="207"/>
      <c r="N30" s="218" t="str">
        <f t="shared" si="3"/>
        <v xml:space="preserve"> </v>
      </c>
      <c r="O30" s="189"/>
      <c r="P30" s="189"/>
      <c r="Q30" s="189"/>
      <c r="R30" s="189" t="str">
        <f t="shared" si="4"/>
        <v xml:space="preserve"> </v>
      </c>
      <c r="S30" s="189"/>
      <c r="T30" s="253"/>
      <c r="U30" s="13"/>
      <c r="V30" s="253"/>
      <c r="W30" s="253"/>
      <c r="X30" s="16"/>
    </row>
    <row r="31" spans="1:24" ht="15" customHeight="1" x14ac:dyDescent="0.35">
      <c r="A31" s="245">
        <v>45118</v>
      </c>
      <c r="B31" s="245"/>
      <c r="C31" s="248" t="s">
        <v>318</v>
      </c>
      <c r="D31" s="15">
        <v>1</v>
      </c>
      <c r="E31" s="15"/>
      <c r="F31" s="9">
        <v>850</v>
      </c>
      <c r="G31" s="29">
        <f t="shared" si="0"/>
        <v>850</v>
      </c>
      <c r="H31" s="11"/>
      <c r="I31" s="10"/>
      <c r="J31" s="29">
        <f t="shared" si="1"/>
        <v>0</v>
      </c>
      <c r="K31" s="29"/>
      <c r="L31" s="223">
        <f t="shared" si="2"/>
        <v>850</v>
      </c>
      <c r="M31" s="12"/>
      <c r="N31" s="218" t="str">
        <f t="shared" si="3"/>
        <v xml:space="preserve"> </v>
      </c>
      <c r="O31" s="189"/>
      <c r="P31" s="189"/>
      <c r="Q31" s="189"/>
      <c r="R31" s="189" t="str">
        <f t="shared" si="4"/>
        <v xml:space="preserve"> </v>
      </c>
      <c r="S31" s="189"/>
      <c r="T31" s="253"/>
      <c r="U31" s="13"/>
      <c r="V31" s="253"/>
      <c r="W31" s="253"/>
      <c r="X31" s="16"/>
    </row>
    <row r="32" spans="1:24" ht="15" customHeight="1" x14ac:dyDescent="0.35">
      <c r="A32" s="245">
        <v>45118</v>
      </c>
      <c r="B32" s="245"/>
      <c r="C32" s="212" t="s">
        <v>346</v>
      </c>
      <c r="D32" s="15">
        <v>1</v>
      </c>
      <c r="E32" s="15"/>
      <c r="F32" s="9">
        <v>850</v>
      </c>
      <c r="G32" s="29">
        <f t="shared" si="0"/>
        <v>850</v>
      </c>
      <c r="H32" s="11"/>
      <c r="I32" s="10"/>
      <c r="J32" s="29">
        <f t="shared" si="1"/>
        <v>0</v>
      </c>
      <c r="K32" s="29"/>
      <c r="L32" s="223">
        <f t="shared" si="2"/>
        <v>850</v>
      </c>
      <c r="M32" s="213"/>
      <c r="N32" s="218" t="str">
        <f t="shared" si="3"/>
        <v xml:space="preserve"> </v>
      </c>
      <c r="O32" s="189"/>
      <c r="P32" s="189"/>
      <c r="Q32" s="189"/>
      <c r="R32" s="189" t="str">
        <f t="shared" si="4"/>
        <v xml:space="preserve"> </v>
      </c>
      <c r="S32" s="189"/>
      <c r="T32" s="253"/>
      <c r="U32" s="13"/>
      <c r="V32" s="253"/>
      <c r="W32" s="253"/>
      <c r="X32" s="16"/>
    </row>
    <row r="33" spans="1:24" ht="15" customHeight="1" x14ac:dyDescent="0.35">
      <c r="A33" s="245">
        <v>45118</v>
      </c>
      <c r="B33" s="245"/>
      <c r="C33" s="211" t="s">
        <v>415</v>
      </c>
      <c r="D33" s="15">
        <v>3</v>
      </c>
      <c r="E33" s="15"/>
      <c r="F33" s="9">
        <v>830</v>
      </c>
      <c r="G33" s="29">
        <f t="shared" si="0"/>
        <v>2490</v>
      </c>
      <c r="H33" s="11"/>
      <c r="I33" s="10"/>
      <c r="J33" s="29">
        <f t="shared" si="1"/>
        <v>0</v>
      </c>
      <c r="K33" s="29"/>
      <c r="L33" s="223">
        <f t="shared" si="2"/>
        <v>2490</v>
      </c>
      <c r="M33" s="12"/>
      <c r="N33" s="218" t="str">
        <f t="shared" si="3"/>
        <v xml:space="preserve"> </v>
      </c>
      <c r="O33" s="189"/>
      <c r="P33" s="189"/>
      <c r="Q33" s="189"/>
      <c r="R33" s="189" t="str">
        <f t="shared" si="4"/>
        <v xml:space="preserve"> </v>
      </c>
      <c r="S33" s="189"/>
      <c r="T33" s="253"/>
      <c r="U33" s="13"/>
      <c r="V33" s="253"/>
      <c r="W33" s="253"/>
      <c r="X33" s="16"/>
    </row>
    <row r="34" spans="1:24" ht="15" customHeight="1" x14ac:dyDescent="0.35">
      <c r="A34" s="245">
        <v>45119</v>
      </c>
      <c r="B34" s="245"/>
      <c r="C34" s="212" t="s">
        <v>339</v>
      </c>
      <c r="D34" s="15">
        <v>4</v>
      </c>
      <c r="E34" s="15"/>
      <c r="F34" s="9">
        <v>820</v>
      </c>
      <c r="G34" s="29">
        <f t="shared" si="0"/>
        <v>3280</v>
      </c>
      <c r="H34" s="11"/>
      <c r="I34" s="10"/>
      <c r="J34" s="29">
        <f t="shared" si="1"/>
        <v>0</v>
      </c>
      <c r="K34" s="29"/>
      <c r="L34" s="223">
        <f t="shared" si="2"/>
        <v>3280</v>
      </c>
      <c r="M34" s="12"/>
      <c r="N34" s="218" t="str">
        <f t="shared" si="3"/>
        <v xml:space="preserve"> </v>
      </c>
      <c r="O34" s="189"/>
      <c r="P34" s="189"/>
      <c r="Q34" s="189"/>
      <c r="R34" s="189" t="str">
        <f t="shared" si="4"/>
        <v xml:space="preserve"> </v>
      </c>
      <c r="S34" s="189"/>
      <c r="T34" s="253"/>
      <c r="U34" s="13"/>
      <c r="V34" s="253"/>
      <c r="W34" s="253"/>
      <c r="X34" s="16"/>
    </row>
    <row r="35" spans="1:24" ht="15" customHeight="1" x14ac:dyDescent="0.35">
      <c r="A35" s="245">
        <v>45119</v>
      </c>
      <c r="B35" s="246"/>
      <c r="C35" s="211" t="s">
        <v>321</v>
      </c>
      <c r="D35" s="15">
        <v>2</v>
      </c>
      <c r="E35" s="15"/>
      <c r="F35" s="9">
        <v>850</v>
      </c>
      <c r="G35" s="29">
        <f t="shared" si="0"/>
        <v>1700</v>
      </c>
      <c r="H35" s="11"/>
      <c r="I35" s="10"/>
      <c r="J35" s="29">
        <f t="shared" si="1"/>
        <v>0</v>
      </c>
      <c r="K35" s="29"/>
      <c r="L35" s="223">
        <f t="shared" si="2"/>
        <v>1700</v>
      </c>
      <c r="M35" s="12"/>
      <c r="N35" s="218" t="str">
        <f t="shared" si="3"/>
        <v xml:space="preserve"> </v>
      </c>
      <c r="O35" s="189"/>
      <c r="P35" s="189"/>
      <c r="Q35" s="189"/>
      <c r="R35" s="189" t="str">
        <f t="shared" si="4"/>
        <v xml:space="preserve"> </v>
      </c>
      <c r="S35" s="189"/>
      <c r="T35" s="253"/>
      <c r="U35" s="13"/>
      <c r="V35" s="253"/>
      <c r="W35" s="253"/>
      <c r="X35" s="16"/>
    </row>
    <row r="36" spans="1:24" ht="15" customHeight="1" x14ac:dyDescent="0.35">
      <c r="A36" s="245">
        <v>45119</v>
      </c>
      <c r="B36" s="246"/>
      <c r="C36" s="212" t="s">
        <v>323</v>
      </c>
      <c r="D36" s="15">
        <v>1</v>
      </c>
      <c r="E36" s="15"/>
      <c r="F36" s="9">
        <v>850</v>
      </c>
      <c r="G36" s="29">
        <f t="shared" si="0"/>
        <v>850</v>
      </c>
      <c r="H36" s="11"/>
      <c r="I36" s="10"/>
      <c r="J36" s="29">
        <f t="shared" si="1"/>
        <v>0</v>
      </c>
      <c r="K36" s="29"/>
      <c r="L36" s="223">
        <f t="shared" si="2"/>
        <v>850</v>
      </c>
      <c r="M36" s="12"/>
      <c r="N36" s="218" t="str">
        <f t="shared" si="3"/>
        <v xml:space="preserve"> </v>
      </c>
      <c r="O36" s="189"/>
      <c r="P36" s="189"/>
      <c r="Q36" s="189"/>
      <c r="R36" s="189" t="str">
        <f t="shared" si="4"/>
        <v xml:space="preserve"> </v>
      </c>
      <c r="S36" s="189"/>
      <c r="T36" s="253"/>
      <c r="U36" s="13"/>
      <c r="V36" s="253"/>
      <c r="W36" s="253"/>
      <c r="X36" s="16"/>
    </row>
    <row r="37" spans="1:24" ht="15" customHeight="1" x14ac:dyDescent="0.35">
      <c r="A37" s="245">
        <v>45120</v>
      </c>
      <c r="B37" s="246"/>
      <c r="C37" s="211" t="s">
        <v>428</v>
      </c>
      <c r="D37" s="15"/>
      <c r="E37" s="15">
        <v>2</v>
      </c>
      <c r="F37" s="9">
        <v>800</v>
      </c>
      <c r="G37" s="29">
        <f t="shared" si="0"/>
        <v>1600</v>
      </c>
      <c r="H37" s="11"/>
      <c r="I37" s="10"/>
      <c r="J37" s="29">
        <f t="shared" si="1"/>
        <v>0</v>
      </c>
      <c r="K37" s="29"/>
      <c r="L37" s="223">
        <f t="shared" si="2"/>
        <v>1600</v>
      </c>
      <c r="M37" s="12"/>
      <c r="N37" s="218" t="str">
        <f t="shared" si="3"/>
        <v xml:space="preserve"> </v>
      </c>
      <c r="O37" s="189"/>
      <c r="P37" s="189"/>
      <c r="Q37" s="189"/>
      <c r="R37" s="189" t="str">
        <f t="shared" si="4"/>
        <v xml:space="preserve"> </v>
      </c>
      <c r="S37" s="189"/>
      <c r="T37" s="253"/>
      <c r="U37" s="13"/>
      <c r="V37" s="253"/>
      <c r="W37" s="253"/>
      <c r="X37" s="16"/>
    </row>
    <row r="38" spans="1:24" ht="15" customHeight="1" x14ac:dyDescent="0.35">
      <c r="A38" s="245">
        <v>45120</v>
      </c>
      <c r="B38" s="246"/>
      <c r="C38" s="212" t="s">
        <v>153</v>
      </c>
      <c r="D38" s="15">
        <v>1</v>
      </c>
      <c r="E38" s="15"/>
      <c r="F38" s="9">
        <v>850</v>
      </c>
      <c r="G38" s="29">
        <f t="shared" si="0"/>
        <v>850</v>
      </c>
      <c r="H38" s="11"/>
      <c r="I38" s="10"/>
      <c r="J38" s="29">
        <f t="shared" si="1"/>
        <v>0</v>
      </c>
      <c r="K38" s="29"/>
      <c r="L38" s="223">
        <f t="shared" si="2"/>
        <v>850</v>
      </c>
      <c r="M38" s="12"/>
      <c r="N38" s="218" t="str">
        <f t="shared" si="3"/>
        <v xml:space="preserve"> </v>
      </c>
      <c r="O38" s="189"/>
      <c r="P38" s="189"/>
      <c r="Q38" s="189"/>
      <c r="R38" s="189" t="str">
        <f t="shared" si="4"/>
        <v xml:space="preserve"> </v>
      </c>
      <c r="S38" s="189"/>
      <c r="T38" s="253"/>
      <c r="U38" s="13"/>
      <c r="V38" s="253"/>
      <c r="W38" s="253"/>
      <c r="X38" s="16"/>
    </row>
    <row r="39" spans="1:24" ht="15" customHeight="1" x14ac:dyDescent="0.35">
      <c r="A39" s="245">
        <v>45121</v>
      </c>
      <c r="B39" s="246"/>
      <c r="C39" s="212" t="s">
        <v>279</v>
      </c>
      <c r="D39" s="15">
        <v>6</v>
      </c>
      <c r="E39" s="15"/>
      <c r="F39" s="9">
        <v>800</v>
      </c>
      <c r="G39" s="29">
        <f t="shared" si="0"/>
        <v>4800</v>
      </c>
      <c r="H39" s="11"/>
      <c r="I39" s="10"/>
      <c r="J39" s="29">
        <f t="shared" si="1"/>
        <v>0</v>
      </c>
      <c r="K39" s="29"/>
      <c r="L39" s="223">
        <f t="shared" si="2"/>
        <v>4800</v>
      </c>
      <c r="M39" s="12"/>
      <c r="N39" s="218" t="str">
        <f t="shared" si="3"/>
        <v xml:space="preserve"> </v>
      </c>
      <c r="O39" s="189"/>
      <c r="P39" s="189"/>
      <c r="Q39" s="189"/>
      <c r="R39" s="189" t="str">
        <f t="shared" si="4"/>
        <v xml:space="preserve"> </v>
      </c>
      <c r="S39" s="189"/>
      <c r="T39" s="253"/>
      <c r="U39" s="13"/>
      <c r="V39" s="253"/>
      <c r="W39" s="253"/>
      <c r="X39" s="16"/>
    </row>
    <row r="40" spans="1:24" ht="15" customHeight="1" x14ac:dyDescent="0.35">
      <c r="A40" s="245">
        <v>45122</v>
      </c>
      <c r="B40" s="246"/>
      <c r="C40" s="212" t="s">
        <v>428</v>
      </c>
      <c r="D40" s="15">
        <v>2</v>
      </c>
      <c r="E40" s="15"/>
      <c r="F40" s="9">
        <v>800</v>
      </c>
      <c r="G40" s="29">
        <f t="shared" si="0"/>
        <v>1600</v>
      </c>
      <c r="H40" s="11"/>
      <c r="I40" s="10"/>
      <c r="J40" s="29">
        <f t="shared" si="1"/>
        <v>0</v>
      </c>
      <c r="K40" s="29"/>
      <c r="L40" s="223">
        <f t="shared" si="2"/>
        <v>1600</v>
      </c>
      <c r="M40" s="12"/>
      <c r="N40" s="218" t="str">
        <f t="shared" si="3"/>
        <v xml:space="preserve"> </v>
      </c>
      <c r="O40" s="189"/>
      <c r="P40" s="189"/>
      <c r="Q40" s="189"/>
      <c r="R40" s="189" t="str">
        <f t="shared" si="4"/>
        <v xml:space="preserve"> </v>
      </c>
      <c r="S40" s="189"/>
      <c r="T40" s="253"/>
      <c r="U40" s="13"/>
      <c r="V40" s="253"/>
      <c r="W40" s="253"/>
      <c r="X40" s="16"/>
    </row>
    <row r="41" spans="1:24" ht="15" customHeight="1" x14ac:dyDescent="0.35">
      <c r="A41" s="245">
        <v>45122</v>
      </c>
      <c r="B41" s="246"/>
      <c r="C41" s="212" t="s">
        <v>281</v>
      </c>
      <c r="D41" s="15"/>
      <c r="E41" s="15">
        <v>2</v>
      </c>
      <c r="F41" s="9">
        <v>800</v>
      </c>
      <c r="G41" s="29">
        <f t="shared" si="0"/>
        <v>1600</v>
      </c>
      <c r="H41" s="11"/>
      <c r="I41" s="10"/>
      <c r="J41" s="29">
        <f t="shared" si="1"/>
        <v>0</v>
      </c>
      <c r="K41" s="29"/>
      <c r="L41" s="223">
        <f t="shared" si="2"/>
        <v>1600</v>
      </c>
      <c r="M41" s="12"/>
      <c r="N41" s="218" t="str">
        <f t="shared" si="3"/>
        <v xml:space="preserve"> </v>
      </c>
      <c r="O41" s="189"/>
      <c r="P41" s="189"/>
      <c r="Q41" s="189"/>
      <c r="R41" s="189" t="str">
        <f t="shared" si="4"/>
        <v xml:space="preserve"> </v>
      </c>
      <c r="S41" s="189"/>
      <c r="T41" s="253"/>
      <c r="U41" s="13"/>
      <c r="V41" s="253"/>
      <c r="W41" s="253"/>
      <c r="X41" s="16"/>
    </row>
    <row r="42" spans="1:24" ht="15" customHeight="1" x14ac:dyDescent="0.35">
      <c r="A42" s="245">
        <v>45122</v>
      </c>
      <c r="B42" s="246"/>
      <c r="C42" s="212" t="s">
        <v>330</v>
      </c>
      <c r="D42" s="15"/>
      <c r="E42" s="15">
        <v>3</v>
      </c>
      <c r="F42" s="9">
        <v>820</v>
      </c>
      <c r="G42" s="29">
        <f t="shared" si="0"/>
        <v>2460</v>
      </c>
      <c r="H42" s="11"/>
      <c r="I42" s="10"/>
      <c r="J42" s="29">
        <f t="shared" si="1"/>
        <v>0</v>
      </c>
      <c r="K42" s="29"/>
      <c r="L42" s="223">
        <f t="shared" si="2"/>
        <v>2460</v>
      </c>
      <c r="M42" s="12"/>
      <c r="N42" s="218" t="str">
        <f t="shared" si="3"/>
        <v xml:space="preserve"> </v>
      </c>
      <c r="O42" s="189"/>
      <c r="P42" s="189"/>
      <c r="Q42" s="189"/>
      <c r="R42" s="189" t="str">
        <f t="shared" si="4"/>
        <v xml:space="preserve"> </v>
      </c>
      <c r="S42" s="189"/>
      <c r="T42" s="253"/>
      <c r="U42" s="13"/>
      <c r="V42" s="253"/>
      <c r="W42" s="253"/>
      <c r="X42" s="16"/>
    </row>
    <row r="43" spans="1:24" ht="15" customHeight="1" x14ac:dyDescent="0.35">
      <c r="A43" s="245">
        <v>45122</v>
      </c>
      <c r="B43" s="246"/>
      <c r="C43" s="212" t="s">
        <v>331</v>
      </c>
      <c r="D43" s="15"/>
      <c r="E43" s="15">
        <v>1</v>
      </c>
      <c r="F43" s="9">
        <v>850</v>
      </c>
      <c r="G43" s="29">
        <f t="shared" si="0"/>
        <v>850</v>
      </c>
      <c r="H43" s="11"/>
      <c r="I43" s="10"/>
      <c r="J43" s="29">
        <f t="shared" si="1"/>
        <v>0</v>
      </c>
      <c r="K43" s="29"/>
      <c r="L43" s="223">
        <f t="shared" si="2"/>
        <v>850</v>
      </c>
      <c r="M43" s="12"/>
      <c r="N43" s="218" t="str">
        <f t="shared" si="3"/>
        <v xml:space="preserve"> </v>
      </c>
      <c r="O43" s="189"/>
      <c r="P43" s="189"/>
      <c r="Q43" s="189"/>
      <c r="R43" s="189" t="str">
        <f t="shared" si="4"/>
        <v xml:space="preserve"> </v>
      </c>
      <c r="S43" s="189"/>
      <c r="T43" s="253"/>
      <c r="U43" s="13"/>
      <c r="V43" s="253"/>
      <c r="W43" s="253"/>
      <c r="X43" s="16"/>
    </row>
    <row r="44" spans="1:24" ht="15" customHeight="1" x14ac:dyDescent="0.35">
      <c r="A44" s="245">
        <v>45124</v>
      </c>
      <c r="B44" s="246"/>
      <c r="C44" s="211" t="s">
        <v>322</v>
      </c>
      <c r="D44" s="15">
        <v>2</v>
      </c>
      <c r="E44" s="15"/>
      <c r="F44" s="9">
        <v>850</v>
      </c>
      <c r="G44" s="29">
        <f t="shared" si="0"/>
        <v>1700</v>
      </c>
      <c r="H44" s="11"/>
      <c r="I44" s="10"/>
      <c r="J44" s="29">
        <f t="shared" si="1"/>
        <v>0</v>
      </c>
      <c r="K44" s="29"/>
      <c r="L44" s="223">
        <f t="shared" si="2"/>
        <v>1700</v>
      </c>
      <c r="M44" s="213"/>
      <c r="N44" s="218" t="str">
        <f t="shared" si="3"/>
        <v xml:space="preserve"> </v>
      </c>
      <c r="O44" s="189"/>
      <c r="P44" s="189"/>
      <c r="Q44" s="189"/>
      <c r="R44" s="189" t="str">
        <f t="shared" si="4"/>
        <v xml:space="preserve"> </v>
      </c>
      <c r="S44" s="189"/>
      <c r="T44" s="253"/>
      <c r="U44" s="13"/>
      <c r="V44" s="253"/>
      <c r="W44" s="253"/>
      <c r="X44" s="16"/>
    </row>
    <row r="45" spans="1:24" ht="15" customHeight="1" x14ac:dyDescent="0.35">
      <c r="A45" s="245">
        <v>45125</v>
      </c>
      <c r="B45" s="246"/>
      <c r="C45" s="211" t="s">
        <v>346</v>
      </c>
      <c r="D45" s="15">
        <v>1</v>
      </c>
      <c r="E45" s="15"/>
      <c r="F45" s="9">
        <v>850</v>
      </c>
      <c r="G45" s="29">
        <f t="shared" si="0"/>
        <v>850</v>
      </c>
      <c r="H45" s="11"/>
      <c r="I45" s="10"/>
      <c r="J45" s="29">
        <f t="shared" si="1"/>
        <v>0</v>
      </c>
      <c r="K45" s="29"/>
      <c r="L45" s="223">
        <f t="shared" si="2"/>
        <v>850</v>
      </c>
      <c r="M45" s="213"/>
      <c r="N45" s="218" t="str">
        <f t="shared" si="3"/>
        <v xml:space="preserve"> </v>
      </c>
      <c r="O45" s="189"/>
      <c r="P45" s="189"/>
      <c r="Q45" s="189"/>
      <c r="R45" s="189" t="str">
        <f t="shared" si="4"/>
        <v xml:space="preserve"> </v>
      </c>
      <c r="S45" s="189"/>
      <c r="T45" s="253"/>
      <c r="U45" s="13"/>
      <c r="V45" s="253"/>
      <c r="W45" s="253"/>
      <c r="X45" s="16"/>
    </row>
    <row r="46" spans="1:24" ht="15" customHeight="1" x14ac:dyDescent="0.35">
      <c r="A46" s="245">
        <v>45125</v>
      </c>
      <c r="B46" s="246"/>
      <c r="C46" s="211" t="s">
        <v>323</v>
      </c>
      <c r="D46" s="15">
        <v>1</v>
      </c>
      <c r="E46" s="15"/>
      <c r="F46" s="9">
        <v>850</v>
      </c>
      <c r="G46" s="29">
        <f t="shared" si="0"/>
        <v>850</v>
      </c>
      <c r="H46" s="11"/>
      <c r="I46" s="10"/>
      <c r="J46" s="29">
        <f t="shared" si="1"/>
        <v>0</v>
      </c>
      <c r="K46" s="29"/>
      <c r="L46" s="223">
        <f t="shared" si="2"/>
        <v>850</v>
      </c>
      <c r="M46" s="12"/>
      <c r="N46" s="218" t="str">
        <f>IF(M46&gt;0,SUM(L46-M46)," ")</f>
        <v xml:space="preserve"> </v>
      </c>
      <c r="O46" s="189"/>
      <c r="P46" s="189"/>
      <c r="Q46" s="189"/>
      <c r="R46" s="189" t="str">
        <f t="shared" si="4"/>
        <v xml:space="preserve"> </v>
      </c>
      <c r="S46" s="189"/>
      <c r="T46" s="253"/>
      <c r="U46" s="13"/>
      <c r="V46" s="253"/>
      <c r="W46" s="253"/>
      <c r="X46" s="16"/>
    </row>
    <row r="47" spans="1:24" ht="15" customHeight="1" x14ac:dyDescent="0.35">
      <c r="A47" s="245">
        <v>45125</v>
      </c>
      <c r="B47" s="246"/>
      <c r="C47" s="211" t="s">
        <v>153</v>
      </c>
      <c r="D47" s="15">
        <v>1</v>
      </c>
      <c r="E47" s="15"/>
      <c r="F47" s="9">
        <v>850</v>
      </c>
      <c r="G47" s="29">
        <f t="shared" si="0"/>
        <v>850</v>
      </c>
      <c r="H47" s="11"/>
      <c r="I47" s="10"/>
      <c r="J47" s="29">
        <f t="shared" si="1"/>
        <v>0</v>
      </c>
      <c r="K47" s="29"/>
      <c r="L47" s="223">
        <f t="shared" si="2"/>
        <v>850</v>
      </c>
      <c r="M47" s="12"/>
      <c r="N47" s="218" t="str">
        <f>IF(M47&gt;0,SUM(L47-M47)," ")</f>
        <v xml:space="preserve"> </v>
      </c>
      <c r="O47" s="189"/>
      <c r="P47" s="189"/>
      <c r="Q47" s="189"/>
      <c r="R47" s="189" t="str">
        <f t="shared" si="4"/>
        <v xml:space="preserve"> </v>
      </c>
      <c r="S47" s="189"/>
      <c r="T47" s="253"/>
      <c r="U47" s="13"/>
      <c r="V47" s="253"/>
      <c r="W47" s="253"/>
      <c r="X47" s="16"/>
    </row>
    <row r="48" spans="1:24" ht="15" customHeight="1" x14ac:dyDescent="0.35">
      <c r="A48" s="245">
        <v>45125</v>
      </c>
      <c r="B48" s="246"/>
      <c r="C48" s="211" t="s">
        <v>152</v>
      </c>
      <c r="D48" s="15">
        <v>8</v>
      </c>
      <c r="E48" s="15"/>
      <c r="F48" s="9">
        <v>830</v>
      </c>
      <c r="G48" s="29">
        <f t="shared" si="0"/>
        <v>6640</v>
      </c>
      <c r="H48" s="11"/>
      <c r="I48" s="10"/>
      <c r="J48" s="29">
        <f t="shared" si="1"/>
        <v>0</v>
      </c>
      <c r="K48" s="29"/>
      <c r="L48" s="223">
        <f t="shared" si="2"/>
        <v>6640</v>
      </c>
      <c r="M48" s="213"/>
      <c r="N48" s="218" t="str">
        <f t="shared" si="3"/>
        <v xml:space="preserve"> </v>
      </c>
      <c r="O48" s="189"/>
      <c r="P48" s="189"/>
      <c r="Q48" s="189"/>
      <c r="R48" s="189" t="str">
        <f t="shared" si="4"/>
        <v xml:space="preserve"> </v>
      </c>
      <c r="S48" s="189"/>
      <c r="T48" s="253"/>
      <c r="U48" s="13"/>
      <c r="V48" s="253"/>
      <c r="W48" s="253"/>
      <c r="X48" s="16"/>
    </row>
    <row r="49" spans="1:24" ht="15" customHeight="1" x14ac:dyDescent="0.35">
      <c r="A49" s="245">
        <v>45124</v>
      </c>
      <c r="B49" s="246"/>
      <c r="C49" s="212" t="s">
        <v>280</v>
      </c>
      <c r="D49" s="15"/>
      <c r="E49" s="15">
        <v>2</v>
      </c>
      <c r="F49" s="9">
        <v>840</v>
      </c>
      <c r="G49" s="29">
        <f t="shared" si="0"/>
        <v>1680</v>
      </c>
      <c r="H49" s="11"/>
      <c r="I49" s="10"/>
      <c r="J49" s="29">
        <f t="shared" si="1"/>
        <v>0</v>
      </c>
      <c r="K49" s="29"/>
      <c r="L49" s="223">
        <f t="shared" si="2"/>
        <v>1680</v>
      </c>
      <c r="M49" s="12"/>
      <c r="N49" s="218" t="str">
        <f t="shared" si="3"/>
        <v xml:space="preserve"> </v>
      </c>
      <c r="O49" s="189"/>
      <c r="P49" s="189"/>
      <c r="Q49" s="189"/>
      <c r="R49" s="189" t="str">
        <f t="shared" si="4"/>
        <v xml:space="preserve"> </v>
      </c>
      <c r="S49" s="189"/>
      <c r="T49" s="253"/>
      <c r="U49" s="13"/>
      <c r="V49" s="253"/>
      <c r="W49" s="253"/>
      <c r="X49" s="16"/>
    </row>
    <row r="50" spans="1:24" ht="15" customHeight="1" x14ac:dyDescent="0.35">
      <c r="A50" s="245">
        <v>45124</v>
      </c>
      <c r="B50" s="24"/>
      <c r="C50" s="211" t="s">
        <v>338</v>
      </c>
      <c r="D50" s="15"/>
      <c r="E50" s="15">
        <v>1</v>
      </c>
      <c r="F50" s="9">
        <v>800</v>
      </c>
      <c r="G50" s="29">
        <f t="shared" si="0"/>
        <v>800</v>
      </c>
      <c r="H50" s="11"/>
      <c r="I50" s="10"/>
      <c r="J50" s="29">
        <f t="shared" si="1"/>
        <v>0</v>
      </c>
      <c r="K50" s="29"/>
      <c r="L50" s="223">
        <f t="shared" si="2"/>
        <v>800</v>
      </c>
      <c r="M50" s="12"/>
      <c r="N50" s="218" t="str">
        <f t="shared" si="3"/>
        <v xml:space="preserve"> </v>
      </c>
      <c r="O50" s="189"/>
      <c r="P50" s="189"/>
      <c r="Q50" s="189"/>
      <c r="R50" s="189" t="str">
        <f t="shared" si="4"/>
        <v xml:space="preserve"> </v>
      </c>
      <c r="S50" s="189"/>
      <c r="T50" s="253"/>
      <c r="U50" s="13"/>
      <c r="V50" s="253"/>
      <c r="W50" s="253"/>
      <c r="X50" s="16"/>
    </row>
    <row r="51" spans="1:24" ht="15" customHeight="1" x14ac:dyDescent="0.35">
      <c r="A51" s="245">
        <v>45124</v>
      </c>
      <c r="B51" s="24"/>
      <c r="C51" s="211" t="s">
        <v>441</v>
      </c>
      <c r="D51" s="15"/>
      <c r="E51" s="15">
        <v>1</v>
      </c>
      <c r="F51" s="9">
        <v>830</v>
      </c>
      <c r="G51" s="29">
        <f t="shared" si="0"/>
        <v>830</v>
      </c>
      <c r="H51" s="11"/>
      <c r="I51" s="10"/>
      <c r="J51" s="29">
        <f t="shared" si="1"/>
        <v>0</v>
      </c>
      <c r="K51" s="29"/>
      <c r="L51" s="223">
        <f t="shared" si="2"/>
        <v>830</v>
      </c>
      <c r="M51" s="213"/>
      <c r="N51" s="218" t="str">
        <f t="shared" si="3"/>
        <v xml:space="preserve"> </v>
      </c>
      <c r="O51" s="189"/>
      <c r="P51" s="189"/>
      <c r="Q51" s="189"/>
      <c r="R51" s="189" t="str">
        <f t="shared" si="4"/>
        <v xml:space="preserve"> </v>
      </c>
      <c r="S51" s="189"/>
      <c r="T51" s="253"/>
      <c r="U51" s="13"/>
      <c r="V51" s="253"/>
      <c r="W51" s="253"/>
      <c r="X51" s="16"/>
    </row>
    <row r="52" spans="1:24" ht="15" customHeight="1" x14ac:dyDescent="0.35">
      <c r="A52" s="245">
        <v>45124</v>
      </c>
      <c r="B52" s="24"/>
      <c r="C52" s="211" t="s">
        <v>321</v>
      </c>
      <c r="D52" s="15"/>
      <c r="E52" s="15">
        <v>2</v>
      </c>
      <c r="F52" s="9">
        <v>850</v>
      </c>
      <c r="G52" s="29">
        <f t="shared" si="0"/>
        <v>1700</v>
      </c>
      <c r="H52" s="11"/>
      <c r="I52" s="10"/>
      <c r="J52" s="29">
        <f t="shared" si="1"/>
        <v>0</v>
      </c>
      <c r="K52" s="29"/>
      <c r="L52" s="223">
        <f t="shared" si="2"/>
        <v>1700</v>
      </c>
      <c r="M52" s="12"/>
      <c r="N52" s="218" t="str">
        <f t="shared" si="3"/>
        <v xml:space="preserve"> </v>
      </c>
      <c r="O52" s="189"/>
      <c r="P52" s="189"/>
      <c r="Q52" s="189"/>
      <c r="R52" s="189" t="str">
        <f t="shared" si="4"/>
        <v xml:space="preserve"> </v>
      </c>
      <c r="S52" s="189"/>
      <c r="T52" s="253"/>
      <c r="U52" s="13"/>
      <c r="V52" s="253"/>
      <c r="W52" s="253"/>
      <c r="X52" s="16"/>
    </row>
    <row r="53" spans="1:24" ht="15" customHeight="1" x14ac:dyDescent="0.35">
      <c r="A53" s="245">
        <v>45124</v>
      </c>
      <c r="B53" s="246"/>
      <c r="C53" s="212" t="s">
        <v>349</v>
      </c>
      <c r="D53" s="15"/>
      <c r="E53" s="15">
        <v>2</v>
      </c>
      <c r="F53" s="9">
        <v>830</v>
      </c>
      <c r="G53" s="29">
        <f t="shared" si="0"/>
        <v>1660</v>
      </c>
      <c r="H53" s="11"/>
      <c r="I53" s="10"/>
      <c r="J53" s="29">
        <f t="shared" si="1"/>
        <v>0</v>
      </c>
      <c r="K53" s="29"/>
      <c r="L53" s="223">
        <f t="shared" si="2"/>
        <v>1660</v>
      </c>
      <c r="M53" s="12"/>
      <c r="N53" s="218" t="str">
        <f t="shared" si="3"/>
        <v xml:space="preserve"> </v>
      </c>
      <c r="O53" s="189"/>
      <c r="P53" s="189"/>
      <c r="Q53" s="189"/>
      <c r="R53" s="189" t="str">
        <f t="shared" si="4"/>
        <v xml:space="preserve"> </v>
      </c>
      <c r="S53" s="189"/>
      <c r="T53" s="253"/>
      <c r="U53" s="13"/>
      <c r="V53" s="253"/>
      <c r="W53" s="253"/>
      <c r="X53" s="16"/>
    </row>
    <row r="54" spans="1:24" ht="15" customHeight="1" x14ac:dyDescent="0.35">
      <c r="A54" s="245">
        <v>45125</v>
      </c>
      <c r="B54" s="246"/>
      <c r="C54" s="211" t="s">
        <v>324</v>
      </c>
      <c r="D54" s="15"/>
      <c r="E54" s="15">
        <v>1</v>
      </c>
      <c r="F54" s="9">
        <v>850</v>
      </c>
      <c r="G54" s="29">
        <f t="shared" si="0"/>
        <v>850</v>
      </c>
      <c r="H54" s="11"/>
      <c r="I54" s="10"/>
      <c r="J54" s="29">
        <f t="shared" si="1"/>
        <v>0</v>
      </c>
      <c r="K54" s="29"/>
      <c r="L54" s="223">
        <f t="shared" si="2"/>
        <v>850</v>
      </c>
      <c r="M54" s="12"/>
      <c r="N54" s="218" t="str">
        <f t="shared" si="3"/>
        <v xml:space="preserve"> </v>
      </c>
      <c r="O54" s="189"/>
      <c r="P54" s="189"/>
      <c r="Q54" s="189"/>
      <c r="R54" s="189" t="str">
        <f t="shared" si="4"/>
        <v xml:space="preserve"> </v>
      </c>
      <c r="S54" s="189"/>
      <c r="T54" s="253"/>
      <c r="U54" s="13"/>
      <c r="V54" s="253"/>
      <c r="W54" s="253"/>
      <c r="X54" s="16"/>
    </row>
    <row r="55" spans="1:24" ht="15" customHeight="1" x14ac:dyDescent="0.35">
      <c r="A55" s="245">
        <v>45125</v>
      </c>
      <c r="B55" s="246"/>
      <c r="C55" s="211" t="s">
        <v>296</v>
      </c>
      <c r="D55" s="15"/>
      <c r="E55" s="15">
        <v>4</v>
      </c>
      <c r="F55" s="9">
        <v>840</v>
      </c>
      <c r="G55" s="29">
        <f t="shared" si="0"/>
        <v>3360</v>
      </c>
      <c r="H55" s="11"/>
      <c r="I55" s="10"/>
      <c r="J55" s="29">
        <f t="shared" si="1"/>
        <v>0</v>
      </c>
      <c r="K55" s="29"/>
      <c r="L55" s="223">
        <f t="shared" si="2"/>
        <v>3360</v>
      </c>
      <c r="M55" s="12"/>
      <c r="N55" s="218" t="str">
        <f t="shared" si="3"/>
        <v xml:space="preserve"> </v>
      </c>
      <c r="O55" s="189"/>
      <c r="P55" s="189"/>
      <c r="Q55" s="189"/>
      <c r="R55" s="189" t="str">
        <f t="shared" si="4"/>
        <v xml:space="preserve"> </v>
      </c>
      <c r="S55" s="189"/>
      <c r="T55" s="253"/>
      <c r="U55" s="13"/>
      <c r="V55" s="253"/>
      <c r="W55" s="253"/>
      <c r="X55" s="16"/>
    </row>
    <row r="56" spans="1:24" ht="15" customHeight="1" x14ac:dyDescent="0.35">
      <c r="A56" s="245">
        <v>45126</v>
      </c>
      <c r="B56" s="246"/>
      <c r="C56" s="211" t="s">
        <v>112</v>
      </c>
      <c r="D56" s="15">
        <v>10</v>
      </c>
      <c r="E56" s="15"/>
      <c r="F56" s="9">
        <v>820</v>
      </c>
      <c r="G56" s="29">
        <f t="shared" si="0"/>
        <v>8200</v>
      </c>
      <c r="H56" s="11"/>
      <c r="I56" s="10"/>
      <c r="J56" s="29">
        <f t="shared" si="1"/>
        <v>0</v>
      </c>
      <c r="K56" s="29"/>
      <c r="L56" s="223">
        <f t="shared" si="2"/>
        <v>8200</v>
      </c>
      <c r="M56" s="12"/>
      <c r="N56" s="218" t="str">
        <f t="shared" si="3"/>
        <v xml:space="preserve"> </v>
      </c>
      <c r="O56" s="189"/>
      <c r="P56" s="189"/>
      <c r="Q56" s="189"/>
      <c r="R56" s="189" t="str">
        <f t="shared" si="4"/>
        <v xml:space="preserve"> </v>
      </c>
      <c r="S56" s="189"/>
      <c r="T56" s="253"/>
      <c r="U56" s="13"/>
      <c r="V56" s="253"/>
      <c r="W56" s="253"/>
      <c r="X56" s="16"/>
    </row>
    <row r="57" spans="1:24" ht="15" customHeight="1" x14ac:dyDescent="0.35">
      <c r="A57" s="245">
        <v>45126</v>
      </c>
      <c r="B57" s="246"/>
      <c r="C57" s="211" t="s">
        <v>339</v>
      </c>
      <c r="D57" s="15"/>
      <c r="E57" s="15">
        <v>5</v>
      </c>
      <c r="F57" s="9">
        <v>830</v>
      </c>
      <c r="G57" s="29">
        <f t="shared" si="0"/>
        <v>4150</v>
      </c>
      <c r="H57" s="11"/>
      <c r="I57" s="10"/>
      <c r="J57" s="29">
        <f t="shared" si="1"/>
        <v>0</v>
      </c>
      <c r="K57" s="29"/>
      <c r="L57" s="223">
        <f t="shared" si="2"/>
        <v>4150</v>
      </c>
      <c r="M57" s="12"/>
      <c r="N57" s="218" t="str">
        <f t="shared" si="3"/>
        <v xml:space="preserve"> </v>
      </c>
      <c r="O57" s="189"/>
      <c r="P57" s="189"/>
      <c r="Q57" s="189"/>
      <c r="R57" s="189" t="str">
        <f t="shared" si="4"/>
        <v xml:space="preserve"> </v>
      </c>
      <c r="S57" s="189"/>
      <c r="T57" s="253"/>
      <c r="U57" s="13"/>
      <c r="V57" s="253"/>
      <c r="W57" s="253"/>
      <c r="X57" s="16"/>
    </row>
    <row r="58" spans="1:24" ht="15" customHeight="1" x14ac:dyDescent="0.35">
      <c r="A58" s="245">
        <v>45126</v>
      </c>
      <c r="B58" s="246"/>
      <c r="C58" s="212" t="s">
        <v>415</v>
      </c>
      <c r="D58" s="15"/>
      <c r="E58" s="15">
        <v>5</v>
      </c>
      <c r="F58" s="9">
        <v>820</v>
      </c>
      <c r="G58" s="29">
        <f t="shared" si="0"/>
        <v>4100</v>
      </c>
      <c r="H58" s="11"/>
      <c r="I58" s="10"/>
      <c r="J58" s="29">
        <f t="shared" si="1"/>
        <v>0</v>
      </c>
      <c r="K58" s="29"/>
      <c r="L58" s="223">
        <f t="shared" si="2"/>
        <v>4100</v>
      </c>
      <c r="M58" s="12"/>
      <c r="N58" s="239" t="str">
        <f t="shared" si="3"/>
        <v xml:space="preserve"> </v>
      </c>
      <c r="O58" s="189"/>
      <c r="P58" s="189"/>
      <c r="Q58" s="189"/>
      <c r="R58" s="189" t="str">
        <f t="shared" si="4"/>
        <v xml:space="preserve"> </v>
      </c>
      <c r="S58" s="189"/>
      <c r="T58" s="253"/>
      <c r="U58" s="13"/>
      <c r="V58" s="253"/>
      <c r="W58" s="253"/>
      <c r="X58" s="16"/>
    </row>
    <row r="59" spans="1:24" ht="15" customHeight="1" x14ac:dyDescent="0.35">
      <c r="A59" s="245">
        <v>45126</v>
      </c>
      <c r="B59" s="246"/>
      <c r="C59" s="211" t="s">
        <v>279</v>
      </c>
      <c r="D59" s="15"/>
      <c r="E59" s="15">
        <v>6</v>
      </c>
      <c r="F59" s="9">
        <v>800</v>
      </c>
      <c r="G59" s="29">
        <f t="shared" si="0"/>
        <v>4800</v>
      </c>
      <c r="H59" s="11"/>
      <c r="I59" s="10"/>
      <c r="J59" s="29">
        <f t="shared" si="1"/>
        <v>0</v>
      </c>
      <c r="K59" s="29"/>
      <c r="L59" s="223">
        <f t="shared" si="2"/>
        <v>4800</v>
      </c>
      <c r="M59" s="12"/>
      <c r="N59" s="218" t="str">
        <f t="shared" si="3"/>
        <v xml:space="preserve"> </v>
      </c>
      <c r="O59" s="189"/>
      <c r="P59" s="189"/>
      <c r="Q59" s="189"/>
      <c r="R59" s="189" t="str">
        <f t="shared" si="4"/>
        <v xml:space="preserve"> </v>
      </c>
      <c r="S59" s="189"/>
      <c r="T59" s="253"/>
      <c r="U59" s="13"/>
      <c r="V59" s="253"/>
      <c r="W59" s="253"/>
      <c r="X59" s="16"/>
    </row>
    <row r="60" spans="1:24" ht="15" customHeight="1" x14ac:dyDescent="0.35">
      <c r="A60" s="245">
        <v>45126</v>
      </c>
      <c r="B60" s="246"/>
      <c r="C60" s="211" t="s">
        <v>442</v>
      </c>
      <c r="D60" s="15"/>
      <c r="E60" s="15">
        <v>1</v>
      </c>
      <c r="F60" s="9">
        <v>850</v>
      </c>
      <c r="G60" s="29">
        <f t="shared" si="0"/>
        <v>850</v>
      </c>
      <c r="H60" s="11"/>
      <c r="I60" s="10"/>
      <c r="J60" s="29">
        <f t="shared" si="1"/>
        <v>0</v>
      </c>
      <c r="K60" s="29"/>
      <c r="L60" s="223">
        <f t="shared" si="2"/>
        <v>850</v>
      </c>
      <c r="M60" s="12"/>
      <c r="N60" s="218" t="str">
        <f t="shared" si="3"/>
        <v xml:space="preserve"> </v>
      </c>
      <c r="O60" s="189"/>
      <c r="P60" s="189"/>
      <c r="Q60" s="189"/>
      <c r="R60" s="189" t="str">
        <f>IF(O60&gt;0,SUM(O60-(L60+P60))," ")</f>
        <v xml:space="preserve"> </v>
      </c>
      <c r="S60" s="189"/>
      <c r="T60" s="253"/>
      <c r="U60" s="13"/>
      <c r="V60" s="253"/>
      <c r="W60" s="253"/>
      <c r="X60" s="16"/>
    </row>
    <row r="61" spans="1:24" ht="15" customHeight="1" x14ac:dyDescent="0.35">
      <c r="A61" s="245">
        <v>45127</v>
      </c>
      <c r="B61" s="246"/>
      <c r="C61" s="212" t="s">
        <v>281</v>
      </c>
      <c r="D61" s="15"/>
      <c r="E61" s="15">
        <v>2</v>
      </c>
      <c r="F61" s="9">
        <v>800</v>
      </c>
      <c r="G61" s="29">
        <f t="shared" si="0"/>
        <v>1600</v>
      </c>
      <c r="H61" s="11"/>
      <c r="I61" s="10"/>
      <c r="J61" s="29">
        <f t="shared" si="1"/>
        <v>0</v>
      </c>
      <c r="K61" s="29"/>
      <c r="L61" s="223">
        <f t="shared" si="2"/>
        <v>1600</v>
      </c>
      <c r="M61" s="12"/>
      <c r="N61" s="218" t="str">
        <f t="shared" si="3"/>
        <v xml:space="preserve"> </v>
      </c>
      <c r="O61" s="189"/>
      <c r="P61" s="189"/>
      <c r="Q61" s="189"/>
      <c r="R61" s="189" t="str">
        <f>IF(O61&gt;0,SUM(O61-(L61+P61))," ")</f>
        <v xml:space="preserve"> </v>
      </c>
      <c r="S61" s="189"/>
      <c r="T61" s="253"/>
      <c r="U61" s="13"/>
      <c r="V61" s="253"/>
      <c r="W61" s="253"/>
      <c r="X61" s="16"/>
    </row>
    <row r="62" spans="1:24" ht="15" customHeight="1" x14ac:dyDescent="0.35">
      <c r="A62" s="245">
        <v>45127</v>
      </c>
      <c r="B62" s="246"/>
      <c r="C62" s="211" t="s">
        <v>349</v>
      </c>
      <c r="D62" s="15"/>
      <c r="E62" s="15">
        <v>1</v>
      </c>
      <c r="F62" s="9">
        <v>830</v>
      </c>
      <c r="G62" s="29">
        <f t="shared" si="0"/>
        <v>830</v>
      </c>
      <c r="H62" s="11"/>
      <c r="I62" s="10"/>
      <c r="J62" s="29">
        <f t="shared" si="1"/>
        <v>0</v>
      </c>
      <c r="K62" s="29"/>
      <c r="L62" s="223">
        <f t="shared" si="2"/>
        <v>830</v>
      </c>
      <c r="M62" s="213"/>
      <c r="N62" s="218" t="str">
        <f t="shared" ref="N62:N101" si="5">IF(M62&gt;0,SUM(L62-M62)," ")</f>
        <v xml:space="preserve"> </v>
      </c>
      <c r="O62" s="189"/>
      <c r="P62" s="189"/>
      <c r="Q62" s="189"/>
      <c r="R62" s="189" t="str">
        <f t="shared" ref="R62:R97" si="6">IF(O62&gt;0,SUM(O62-(L62+P62))," ")</f>
        <v xml:space="preserve"> </v>
      </c>
      <c r="S62" s="189"/>
      <c r="T62" s="253"/>
      <c r="U62" s="13"/>
      <c r="V62" s="253"/>
      <c r="W62" s="253"/>
      <c r="X62" s="16"/>
    </row>
    <row r="63" spans="1:24" ht="15" customHeight="1" x14ac:dyDescent="0.35">
      <c r="A63" s="245">
        <v>45127</v>
      </c>
      <c r="B63" s="246"/>
      <c r="C63" s="211" t="s">
        <v>330</v>
      </c>
      <c r="D63" s="15"/>
      <c r="E63" s="15">
        <v>4</v>
      </c>
      <c r="F63" s="9">
        <v>820</v>
      </c>
      <c r="G63" s="29">
        <f t="shared" si="0"/>
        <v>3280</v>
      </c>
      <c r="H63" s="11"/>
      <c r="I63" s="10"/>
      <c r="J63" s="29">
        <f t="shared" si="1"/>
        <v>0</v>
      </c>
      <c r="K63" s="29"/>
      <c r="L63" s="223">
        <f t="shared" si="2"/>
        <v>3280</v>
      </c>
      <c r="M63" s="213"/>
      <c r="N63" s="239" t="str">
        <f t="shared" si="5"/>
        <v xml:space="preserve"> </v>
      </c>
      <c r="O63" s="189"/>
      <c r="P63" s="189"/>
      <c r="Q63" s="189"/>
      <c r="R63" s="189" t="str">
        <f t="shared" si="6"/>
        <v xml:space="preserve"> </v>
      </c>
      <c r="S63" s="189"/>
      <c r="T63" s="253"/>
      <c r="U63" s="13"/>
      <c r="V63" s="253"/>
      <c r="W63" s="253"/>
      <c r="X63" s="16"/>
    </row>
    <row r="64" spans="1:24" ht="15" customHeight="1" x14ac:dyDescent="0.35">
      <c r="A64" s="245">
        <v>45127</v>
      </c>
      <c r="B64" s="246"/>
      <c r="C64" s="212" t="s">
        <v>321</v>
      </c>
      <c r="D64" s="15">
        <v>1</v>
      </c>
      <c r="E64" s="15"/>
      <c r="F64" s="9">
        <v>850</v>
      </c>
      <c r="G64" s="29">
        <f t="shared" si="0"/>
        <v>850</v>
      </c>
      <c r="H64" s="11"/>
      <c r="I64" s="10"/>
      <c r="J64" s="29">
        <f t="shared" si="1"/>
        <v>0</v>
      </c>
      <c r="K64" s="29"/>
      <c r="L64" s="223">
        <f t="shared" si="2"/>
        <v>850</v>
      </c>
      <c r="M64" s="12"/>
      <c r="N64" s="218" t="str">
        <f t="shared" si="5"/>
        <v xml:space="preserve"> </v>
      </c>
      <c r="O64" s="189"/>
      <c r="P64" s="189"/>
      <c r="Q64" s="189"/>
      <c r="R64" s="189" t="str">
        <f t="shared" si="6"/>
        <v xml:space="preserve"> </v>
      </c>
      <c r="S64" s="189"/>
      <c r="T64" s="253"/>
      <c r="U64" s="13"/>
      <c r="V64" s="253"/>
      <c r="W64" s="253"/>
      <c r="X64" s="16"/>
    </row>
    <row r="65" spans="1:24" ht="15" customHeight="1" x14ac:dyDescent="0.35">
      <c r="A65" s="245">
        <v>45127</v>
      </c>
      <c r="B65" s="246"/>
      <c r="C65" s="212" t="s">
        <v>153</v>
      </c>
      <c r="D65" s="15">
        <v>1</v>
      </c>
      <c r="E65" s="15"/>
      <c r="F65" s="9">
        <v>850</v>
      </c>
      <c r="G65" s="29">
        <f t="shared" si="0"/>
        <v>850</v>
      </c>
      <c r="H65" s="11"/>
      <c r="I65" s="10"/>
      <c r="J65" s="29">
        <f t="shared" si="1"/>
        <v>0</v>
      </c>
      <c r="K65" s="29"/>
      <c r="L65" s="223">
        <f t="shared" si="2"/>
        <v>850</v>
      </c>
      <c r="M65" s="12"/>
      <c r="N65" s="218" t="str">
        <f t="shared" si="5"/>
        <v xml:space="preserve"> </v>
      </c>
      <c r="O65" s="189"/>
      <c r="P65" s="189"/>
      <c r="Q65" s="189"/>
      <c r="R65" s="189" t="str">
        <f t="shared" si="6"/>
        <v xml:space="preserve"> </v>
      </c>
      <c r="S65" s="189"/>
      <c r="T65" s="253"/>
      <c r="U65" s="13"/>
      <c r="V65" s="253"/>
      <c r="W65" s="253"/>
      <c r="X65" s="16"/>
    </row>
    <row r="66" spans="1:24" ht="15" customHeight="1" x14ac:dyDescent="0.35">
      <c r="A66" s="245">
        <v>45128</v>
      </c>
      <c r="B66" s="246"/>
      <c r="C66" s="211" t="s">
        <v>428</v>
      </c>
      <c r="D66" s="15">
        <v>2</v>
      </c>
      <c r="E66" s="15"/>
      <c r="F66" s="9">
        <v>800</v>
      </c>
      <c r="G66" s="29">
        <f t="shared" si="0"/>
        <v>1600</v>
      </c>
      <c r="H66" s="11"/>
      <c r="I66" s="10"/>
      <c r="J66" s="29">
        <f t="shared" si="1"/>
        <v>0</v>
      </c>
      <c r="K66" s="29"/>
      <c r="L66" s="223">
        <f t="shared" si="2"/>
        <v>1600</v>
      </c>
      <c r="M66" s="12"/>
      <c r="N66" s="218" t="str">
        <f t="shared" si="5"/>
        <v xml:space="preserve"> </v>
      </c>
      <c r="O66" s="189"/>
      <c r="P66" s="189"/>
      <c r="Q66" s="189"/>
      <c r="R66" s="189" t="str">
        <f t="shared" si="6"/>
        <v xml:space="preserve"> </v>
      </c>
      <c r="S66" s="189"/>
      <c r="T66" s="253"/>
      <c r="U66" s="13"/>
      <c r="V66" s="253"/>
      <c r="W66" s="253"/>
      <c r="X66" s="16"/>
    </row>
    <row r="67" spans="1:24" ht="15" customHeight="1" x14ac:dyDescent="0.35">
      <c r="A67" s="245">
        <v>45128</v>
      </c>
      <c r="B67" s="246"/>
      <c r="C67" s="212" t="s">
        <v>322</v>
      </c>
      <c r="D67" s="15">
        <v>1</v>
      </c>
      <c r="E67" s="15"/>
      <c r="F67" s="9">
        <v>850</v>
      </c>
      <c r="G67" s="29">
        <f t="shared" si="0"/>
        <v>850</v>
      </c>
      <c r="H67" s="11"/>
      <c r="I67" s="10"/>
      <c r="J67" s="29">
        <f t="shared" si="1"/>
        <v>0</v>
      </c>
      <c r="K67" s="29"/>
      <c r="L67" s="223">
        <f t="shared" si="2"/>
        <v>850</v>
      </c>
      <c r="M67" s="12"/>
      <c r="N67" s="218" t="str">
        <f t="shared" si="5"/>
        <v xml:space="preserve"> </v>
      </c>
      <c r="O67" s="189"/>
      <c r="P67" s="189"/>
      <c r="Q67" s="189"/>
      <c r="R67" s="189" t="str">
        <f t="shared" si="6"/>
        <v xml:space="preserve"> </v>
      </c>
      <c r="S67" s="189"/>
      <c r="T67" s="253"/>
      <c r="U67" s="13"/>
      <c r="V67" s="253"/>
      <c r="W67" s="253"/>
      <c r="X67" s="16"/>
    </row>
    <row r="68" spans="1:24" ht="15" customHeight="1" x14ac:dyDescent="0.35">
      <c r="A68" s="245">
        <v>45129</v>
      </c>
      <c r="B68" s="246"/>
      <c r="C68" s="211" t="s">
        <v>321</v>
      </c>
      <c r="D68" s="15">
        <v>2</v>
      </c>
      <c r="E68" s="15"/>
      <c r="F68" s="9">
        <v>850</v>
      </c>
      <c r="G68" s="29">
        <f t="shared" ref="G68:G100" si="7">(F68*D68)+(E68*F68)</f>
        <v>1700</v>
      </c>
      <c r="H68" s="11"/>
      <c r="I68" s="10"/>
      <c r="J68" s="29">
        <f t="shared" ref="J68:J100" si="8">H68*I68</f>
        <v>0</v>
      </c>
      <c r="K68" s="29"/>
      <c r="L68" s="223">
        <f t="shared" si="2"/>
        <v>1700</v>
      </c>
      <c r="M68" s="12"/>
      <c r="N68" s="218" t="str">
        <f t="shared" si="5"/>
        <v xml:space="preserve"> </v>
      </c>
      <c r="O68" s="189"/>
      <c r="P68" s="189"/>
      <c r="Q68" s="189"/>
      <c r="R68" s="189" t="str">
        <f t="shared" si="6"/>
        <v xml:space="preserve"> </v>
      </c>
      <c r="S68" s="189"/>
      <c r="T68" s="253"/>
      <c r="U68" s="13"/>
      <c r="V68" s="253"/>
      <c r="W68" s="253"/>
      <c r="X68" s="16"/>
    </row>
    <row r="69" spans="1:24" ht="15" customHeight="1" x14ac:dyDescent="0.35">
      <c r="A69" s="245">
        <v>45130</v>
      </c>
      <c r="B69" s="246"/>
      <c r="C69" s="211" t="s">
        <v>323</v>
      </c>
      <c r="D69" s="15">
        <v>1</v>
      </c>
      <c r="E69" s="15"/>
      <c r="F69" s="9">
        <v>850</v>
      </c>
      <c r="G69" s="29">
        <f t="shared" si="7"/>
        <v>850</v>
      </c>
      <c r="H69" s="11"/>
      <c r="I69" s="10"/>
      <c r="J69" s="29">
        <f t="shared" si="8"/>
        <v>0</v>
      </c>
      <c r="K69" s="29"/>
      <c r="L69" s="223">
        <f t="shared" ref="L69:L100" si="9">(J69+G69)-K69</f>
        <v>850</v>
      </c>
      <c r="M69" s="12"/>
      <c r="N69" s="218" t="str">
        <f t="shared" si="5"/>
        <v xml:space="preserve"> </v>
      </c>
      <c r="O69" s="189"/>
      <c r="P69" s="189"/>
      <c r="Q69" s="189"/>
      <c r="R69" s="189" t="str">
        <f t="shared" si="6"/>
        <v xml:space="preserve"> </v>
      </c>
      <c r="S69" s="189"/>
      <c r="T69" s="253"/>
      <c r="U69" s="13"/>
      <c r="V69" s="253"/>
      <c r="W69" s="253"/>
      <c r="X69" s="16"/>
    </row>
    <row r="70" spans="1:24" ht="15" customHeight="1" x14ac:dyDescent="0.35">
      <c r="A70" s="245">
        <v>45131</v>
      </c>
      <c r="B70" s="246"/>
      <c r="C70" s="212" t="s">
        <v>325</v>
      </c>
      <c r="D70" s="15">
        <v>1</v>
      </c>
      <c r="E70" s="15"/>
      <c r="F70" s="9">
        <v>850</v>
      </c>
      <c r="G70" s="29">
        <f t="shared" si="7"/>
        <v>850</v>
      </c>
      <c r="H70" s="11"/>
      <c r="I70" s="10"/>
      <c r="J70" s="29">
        <f t="shared" si="8"/>
        <v>0</v>
      </c>
      <c r="K70" s="29"/>
      <c r="L70" s="223">
        <f t="shared" si="9"/>
        <v>850</v>
      </c>
      <c r="M70" s="12"/>
      <c r="N70" s="218" t="str">
        <f t="shared" si="5"/>
        <v xml:space="preserve"> </v>
      </c>
      <c r="O70" s="189"/>
      <c r="P70" s="189"/>
      <c r="Q70" s="189"/>
      <c r="R70" s="189" t="str">
        <f t="shared" si="6"/>
        <v xml:space="preserve"> </v>
      </c>
      <c r="S70" s="189"/>
      <c r="T70" s="253"/>
      <c r="U70" s="13"/>
      <c r="V70" s="253"/>
      <c r="W70" s="253"/>
      <c r="X70" s="16"/>
    </row>
    <row r="71" spans="1:24" ht="15" customHeight="1" x14ac:dyDescent="0.35">
      <c r="A71" s="245">
        <v>45131</v>
      </c>
      <c r="B71" s="246"/>
      <c r="C71" s="211" t="s">
        <v>296</v>
      </c>
      <c r="D71" s="15">
        <v>4</v>
      </c>
      <c r="E71" s="15"/>
      <c r="F71" s="9">
        <v>840</v>
      </c>
      <c r="G71" s="29">
        <f t="shared" si="7"/>
        <v>3360</v>
      </c>
      <c r="H71" s="11"/>
      <c r="I71" s="10"/>
      <c r="J71" s="29">
        <f t="shared" si="8"/>
        <v>0</v>
      </c>
      <c r="K71" s="29"/>
      <c r="L71" s="223">
        <f t="shared" si="9"/>
        <v>3360</v>
      </c>
      <c r="M71" s="12"/>
      <c r="N71" s="218" t="str">
        <f t="shared" si="5"/>
        <v xml:space="preserve"> </v>
      </c>
      <c r="O71" s="189"/>
      <c r="P71" s="189"/>
      <c r="Q71" s="189"/>
      <c r="R71" s="189" t="str">
        <f t="shared" si="6"/>
        <v xml:space="preserve"> </v>
      </c>
      <c r="S71" s="189"/>
      <c r="T71" s="253"/>
      <c r="U71" s="13"/>
      <c r="V71" s="253"/>
      <c r="W71" s="253"/>
      <c r="X71" s="16"/>
    </row>
    <row r="72" spans="1:24" ht="15" customHeight="1" x14ac:dyDescent="0.35">
      <c r="A72" s="245">
        <v>45132</v>
      </c>
      <c r="B72" s="246"/>
      <c r="C72" s="212" t="s">
        <v>153</v>
      </c>
      <c r="D72" s="15"/>
      <c r="E72" s="15">
        <v>1</v>
      </c>
      <c r="F72" s="9">
        <v>850</v>
      </c>
      <c r="G72" s="29">
        <f t="shared" si="7"/>
        <v>850</v>
      </c>
      <c r="H72" s="11"/>
      <c r="I72" s="10"/>
      <c r="J72" s="29">
        <f t="shared" si="8"/>
        <v>0</v>
      </c>
      <c r="K72" s="29"/>
      <c r="L72" s="223">
        <f t="shared" si="9"/>
        <v>850</v>
      </c>
      <c r="M72" s="12"/>
      <c r="N72" s="218" t="str">
        <f t="shared" si="5"/>
        <v xml:space="preserve"> </v>
      </c>
      <c r="O72" s="189"/>
      <c r="P72" s="189"/>
      <c r="Q72" s="189"/>
      <c r="R72" s="189" t="str">
        <f t="shared" si="6"/>
        <v xml:space="preserve"> </v>
      </c>
      <c r="S72" s="189"/>
      <c r="T72" s="253"/>
      <c r="U72" s="13"/>
      <c r="V72" s="253"/>
      <c r="W72" s="253"/>
      <c r="X72" s="16"/>
    </row>
    <row r="73" spans="1:24" ht="15" customHeight="1" x14ac:dyDescent="0.35">
      <c r="A73" s="245">
        <v>45132</v>
      </c>
      <c r="B73" s="246"/>
      <c r="C73" s="211" t="s">
        <v>443</v>
      </c>
      <c r="D73" s="15"/>
      <c r="E73" s="15">
        <v>1</v>
      </c>
      <c r="F73" s="9">
        <v>820</v>
      </c>
      <c r="G73" s="29">
        <f t="shared" si="7"/>
        <v>820</v>
      </c>
      <c r="H73" s="11"/>
      <c r="I73" s="10"/>
      <c r="J73" s="29">
        <f t="shared" si="8"/>
        <v>0</v>
      </c>
      <c r="K73" s="29"/>
      <c r="L73" s="223">
        <f t="shared" si="9"/>
        <v>820</v>
      </c>
      <c r="M73" s="12"/>
      <c r="N73" s="218" t="str">
        <f t="shared" si="5"/>
        <v xml:space="preserve"> </v>
      </c>
      <c r="O73" s="189"/>
      <c r="P73" s="189"/>
      <c r="Q73" s="189"/>
      <c r="R73" s="189" t="str">
        <f t="shared" si="6"/>
        <v xml:space="preserve"> </v>
      </c>
      <c r="S73" s="189"/>
      <c r="T73" s="253"/>
      <c r="U73" s="13"/>
      <c r="V73" s="253"/>
      <c r="W73" s="253"/>
      <c r="X73" s="16"/>
    </row>
    <row r="74" spans="1:24" ht="15" customHeight="1" x14ac:dyDescent="0.35">
      <c r="A74" s="245">
        <v>45132</v>
      </c>
      <c r="B74" s="246"/>
      <c r="C74" s="211" t="s">
        <v>415</v>
      </c>
      <c r="D74" s="15"/>
      <c r="E74" s="15">
        <v>2</v>
      </c>
      <c r="F74" s="9">
        <v>830</v>
      </c>
      <c r="G74" s="29">
        <f t="shared" si="7"/>
        <v>1660</v>
      </c>
      <c r="H74" s="11"/>
      <c r="I74" s="10"/>
      <c r="J74" s="29">
        <f t="shared" si="8"/>
        <v>0</v>
      </c>
      <c r="K74" s="29"/>
      <c r="L74" s="223">
        <f t="shared" si="9"/>
        <v>1660</v>
      </c>
      <c r="M74" s="12"/>
      <c r="N74" s="218" t="str">
        <f t="shared" si="5"/>
        <v xml:space="preserve"> </v>
      </c>
      <c r="O74" s="189"/>
      <c r="P74" s="189"/>
      <c r="Q74" s="189"/>
      <c r="R74" s="189" t="str">
        <f t="shared" si="6"/>
        <v xml:space="preserve"> </v>
      </c>
      <c r="S74" s="189"/>
      <c r="T74" s="253"/>
      <c r="U74" s="13"/>
      <c r="V74" s="253"/>
      <c r="W74" s="253"/>
      <c r="X74" s="16"/>
    </row>
    <row r="75" spans="1:24" ht="15" customHeight="1" x14ac:dyDescent="0.35">
      <c r="A75" s="245">
        <v>45133</v>
      </c>
      <c r="B75" s="246"/>
      <c r="C75" s="211" t="s">
        <v>339</v>
      </c>
      <c r="D75" s="15">
        <v>5</v>
      </c>
      <c r="E75" s="15"/>
      <c r="F75" s="9">
        <v>830</v>
      </c>
      <c r="G75" s="29">
        <f t="shared" si="7"/>
        <v>4150</v>
      </c>
      <c r="H75" s="11"/>
      <c r="I75" s="10"/>
      <c r="J75" s="29">
        <f t="shared" si="8"/>
        <v>0</v>
      </c>
      <c r="K75" s="29"/>
      <c r="L75" s="223">
        <f t="shared" si="9"/>
        <v>4150</v>
      </c>
      <c r="M75" s="12"/>
      <c r="N75" s="218" t="str">
        <f t="shared" si="5"/>
        <v xml:space="preserve"> </v>
      </c>
      <c r="O75" s="189"/>
      <c r="P75" s="189"/>
      <c r="Q75" s="189"/>
      <c r="R75" s="189" t="str">
        <f t="shared" si="6"/>
        <v xml:space="preserve"> </v>
      </c>
      <c r="S75" s="189"/>
      <c r="T75" s="253"/>
      <c r="U75" s="13"/>
      <c r="V75" s="253"/>
      <c r="W75" s="253"/>
      <c r="X75" s="16"/>
    </row>
    <row r="76" spans="1:24" ht="15" customHeight="1" x14ac:dyDescent="0.35">
      <c r="A76" s="245">
        <v>45133</v>
      </c>
      <c r="B76" s="246"/>
      <c r="C76" s="211" t="s">
        <v>280</v>
      </c>
      <c r="D76" s="15"/>
      <c r="E76" s="15">
        <v>2</v>
      </c>
      <c r="F76" s="9">
        <v>830</v>
      </c>
      <c r="G76" s="29">
        <f t="shared" si="7"/>
        <v>1660</v>
      </c>
      <c r="H76" s="11"/>
      <c r="I76" s="10"/>
      <c r="J76" s="29">
        <f t="shared" si="8"/>
        <v>0</v>
      </c>
      <c r="K76" s="29"/>
      <c r="L76" s="223">
        <f t="shared" si="9"/>
        <v>1660</v>
      </c>
      <c r="M76" s="12"/>
      <c r="N76" s="218" t="str">
        <f t="shared" si="5"/>
        <v xml:space="preserve"> </v>
      </c>
      <c r="O76" s="189"/>
      <c r="P76" s="189"/>
      <c r="Q76" s="189"/>
      <c r="R76" s="189" t="str">
        <f t="shared" si="6"/>
        <v xml:space="preserve"> </v>
      </c>
      <c r="S76" s="189"/>
      <c r="T76" s="253"/>
      <c r="U76" s="13"/>
      <c r="V76" s="253"/>
      <c r="W76" s="253"/>
      <c r="X76" s="16"/>
    </row>
    <row r="77" spans="1:24" ht="15" customHeight="1" x14ac:dyDescent="0.35">
      <c r="A77" s="245">
        <v>45133</v>
      </c>
      <c r="B77" s="246"/>
      <c r="C77" s="211" t="s">
        <v>323</v>
      </c>
      <c r="D77" s="15">
        <v>1</v>
      </c>
      <c r="E77" s="15"/>
      <c r="F77" s="9">
        <v>850</v>
      </c>
      <c r="G77" s="29">
        <f t="shared" si="7"/>
        <v>850</v>
      </c>
      <c r="H77" s="11"/>
      <c r="I77" s="10"/>
      <c r="J77" s="29">
        <f t="shared" si="8"/>
        <v>0</v>
      </c>
      <c r="K77" s="29"/>
      <c r="L77" s="223">
        <f t="shared" si="9"/>
        <v>850</v>
      </c>
      <c r="M77" s="12"/>
      <c r="N77" s="218" t="str">
        <f t="shared" si="5"/>
        <v xml:space="preserve"> </v>
      </c>
      <c r="O77" s="189"/>
      <c r="P77" s="189"/>
      <c r="Q77" s="189"/>
      <c r="R77" s="189" t="str">
        <f t="shared" si="6"/>
        <v xml:space="preserve"> </v>
      </c>
      <c r="S77" s="189"/>
      <c r="T77" s="253"/>
      <c r="U77" s="13"/>
      <c r="V77" s="253"/>
      <c r="W77" s="253"/>
      <c r="X77" s="16"/>
    </row>
    <row r="78" spans="1:24" ht="15" customHeight="1" x14ac:dyDescent="0.35">
      <c r="A78" s="245">
        <v>45133</v>
      </c>
      <c r="B78" s="246"/>
      <c r="C78" s="211" t="s">
        <v>279</v>
      </c>
      <c r="D78" s="15"/>
      <c r="E78" s="15">
        <v>6</v>
      </c>
      <c r="F78" s="9">
        <v>800</v>
      </c>
      <c r="G78" s="29">
        <f t="shared" si="7"/>
        <v>4800</v>
      </c>
      <c r="H78" s="11"/>
      <c r="I78" s="10"/>
      <c r="J78" s="29">
        <f t="shared" si="8"/>
        <v>0</v>
      </c>
      <c r="K78" s="29"/>
      <c r="L78" s="223">
        <f t="shared" si="9"/>
        <v>4800</v>
      </c>
      <c r="M78" s="12"/>
      <c r="N78" s="239" t="str">
        <f t="shared" si="5"/>
        <v xml:space="preserve"> </v>
      </c>
      <c r="O78" s="189"/>
      <c r="P78" s="189"/>
      <c r="Q78" s="189"/>
      <c r="R78" s="189" t="str">
        <f t="shared" si="6"/>
        <v xml:space="preserve"> </v>
      </c>
      <c r="S78" s="189"/>
      <c r="T78" s="253"/>
      <c r="U78" s="13"/>
      <c r="V78" s="253"/>
      <c r="W78" s="253"/>
      <c r="X78" s="16"/>
    </row>
    <row r="79" spans="1:24" ht="15" customHeight="1" x14ac:dyDescent="0.35">
      <c r="A79" s="245">
        <v>45134</v>
      </c>
      <c r="B79" s="246"/>
      <c r="C79" s="211" t="s">
        <v>281</v>
      </c>
      <c r="D79" s="15"/>
      <c r="E79" s="15">
        <v>2</v>
      </c>
      <c r="F79" s="9">
        <v>800</v>
      </c>
      <c r="G79" s="29">
        <f t="shared" si="7"/>
        <v>1600</v>
      </c>
      <c r="H79" s="11"/>
      <c r="I79" s="10"/>
      <c r="J79" s="29">
        <f t="shared" si="8"/>
        <v>0</v>
      </c>
      <c r="K79" s="29"/>
      <c r="L79" s="223">
        <f t="shared" si="9"/>
        <v>1600</v>
      </c>
      <c r="M79" s="12"/>
      <c r="N79" s="218" t="str">
        <f t="shared" si="5"/>
        <v xml:space="preserve"> </v>
      </c>
      <c r="O79" s="189"/>
      <c r="P79" s="189"/>
      <c r="Q79" s="189"/>
      <c r="R79" s="189" t="str">
        <f t="shared" si="6"/>
        <v xml:space="preserve"> </v>
      </c>
      <c r="S79" s="189"/>
      <c r="T79" s="253"/>
      <c r="U79" s="13"/>
      <c r="V79" s="253"/>
      <c r="W79" s="253"/>
      <c r="X79" s="16"/>
    </row>
    <row r="80" spans="1:24" ht="15" customHeight="1" x14ac:dyDescent="0.35">
      <c r="A80" s="23">
        <v>45134</v>
      </c>
      <c r="B80" s="24"/>
      <c r="C80" s="211" t="s">
        <v>153</v>
      </c>
      <c r="D80" s="15">
        <v>1</v>
      </c>
      <c r="E80" s="15"/>
      <c r="F80" s="9">
        <v>850</v>
      </c>
      <c r="G80" s="29">
        <f t="shared" si="7"/>
        <v>850</v>
      </c>
      <c r="H80" s="11"/>
      <c r="I80" s="10"/>
      <c r="J80" s="29">
        <f t="shared" si="8"/>
        <v>0</v>
      </c>
      <c r="K80" s="29"/>
      <c r="L80" s="223">
        <f t="shared" si="9"/>
        <v>850</v>
      </c>
      <c r="M80" s="12"/>
      <c r="N80" s="218" t="str">
        <f t="shared" ref="N80:N88" si="10">IF(M80&gt;0,SUM(L80-M80)," ")</f>
        <v xml:space="preserve"> </v>
      </c>
      <c r="O80" s="189"/>
      <c r="P80" s="189"/>
      <c r="Q80" s="189"/>
      <c r="R80" s="189" t="str">
        <f t="shared" si="6"/>
        <v xml:space="preserve"> </v>
      </c>
      <c r="S80" s="189"/>
      <c r="T80" s="253"/>
      <c r="U80" s="13"/>
      <c r="V80" s="253"/>
      <c r="W80" s="253"/>
      <c r="X80" s="16"/>
    </row>
    <row r="81" spans="1:24" ht="15" customHeight="1" x14ac:dyDescent="0.35">
      <c r="A81" s="23">
        <v>45134</v>
      </c>
      <c r="B81" s="24"/>
      <c r="C81" s="211" t="s">
        <v>338</v>
      </c>
      <c r="D81" s="15">
        <v>1</v>
      </c>
      <c r="E81" s="15"/>
      <c r="F81" s="9">
        <v>800</v>
      </c>
      <c r="G81" s="29">
        <f t="shared" si="7"/>
        <v>800</v>
      </c>
      <c r="H81" s="11"/>
      <c r="I81" s="10"/>
      <c r="J81" s="29">
        <f t="shared" si="8"/>
        <v>0</v>
      </c>
      <c r="K81" s="29"/>
      <c r="L81" s="223">
        <f t="shared" si="9"/>
        <v>800</v>
      </c>
      <c r="M81" s="12"/>
      <c r="N81" s="218" t="str">
        <f t="shared" si="10"/>
        <v xml:space="preserve"> </v>
      </c>
      <c r="O81" s="189"/>
      <c r="P81" s="189"/>
      <c r="Q81" s="189"/>
      <c r="R81" s="189" t="str">
        <f t="shared" si="6"/>
        <v xml:space="preserve"> </v>
      </c>
      <c r="S81" s="189"/>
      <c r="T81" s="253"/>
      <c r="U81" s="13"/>
      <c r="V81" s="253"/>
      <c r="W81" s="253"/>
      <c r="X81" s="16"/>
    </row>
    <row r="82" spans="1:24" ht="15" customHeight="1" x14ac:dyDescent="0.35">
      <c r="A82" s="23">
        <v>45134</v>
      </c>
      <c r="B82" s="24"/>
      <c r="C82" s="211" t="s">
        <v>152</v>
      </c>
      <c r="D82" s="15">
        <v>4</v>
      </c>
      <c r="E82" s="15"/>
      <c r="F82" s="9">
        <v>830</v>
      </c>
      <c r="G82" s="29">
        <f t="shared" si="7"/>
        <v>3320</v>
      </c>
      <c r="H82" s="11"/>
      <c r="I82" s="10"/>
      <c r="J82" s="29">
        <f t="shared" si="8"/>
        <v>0</v>
      </c>
      <c r="K82" s="29"/>
      <c r="L82" s="223">
        <f t="shared" si="9"/>
        <v>3320</v>
      </c>
      <c r="M82" s="12"/>
      <c r="N82" s="218" t="str">
        <f t="shared" si="10"/>
        <v xml:space="preserve"> </v>
      </c>
      <c r="O82" s="189"/>
      <c r="P82" s="189"/>
      <c r="Q82" s="189"/>
      <c r="R82" s="189" t="str">
        <f t="shared" si="6"/>
        <v xml:space="preserve"> </v>
      </c>
      <c r="S82" s="189"/>
      <c r="T82" s="253"/>
      <c r="U82" s="13"/>
      <c r="V82" s="253"/>
      <c r="W82" s="253"/>
      <c r="X82" s="16"/>
    </row>
    <row r="83" spans="1:24" ht="15" customHeight="1" x14ac:dyDescent="0.35">
      <c r="A83" s="23">
        <v>45135</v>
      </c>
      <c r="B83" s="23"/>
      <c r="C83" s="188" t="s">
        <v>296</v>
      </c>
      <c r="D83" s="15">
        <v>4</v>
      </c>
      <c r="E83" s="15"/>
      <c r="F83" s="9">
        <v>840</v>
      </c>
      <c r="G83" s="29">
        <f t="shared" si="7"/>
        <v>3360</v>
      </c>
      <c r="H83" s="11"/>
      <c r="I83" s="10"/>
      <c r="J83" s="29">
        <f t="shared" si="8"/>
        <v>0</v>
      </c>
      <c r="K83" s="29"/>
      <c r="L83" s="223">
        <f t="shared" si="9"/>
        <v>3360</v>
      </c>
      <c r="M83" s="12"/>
      <c r="N83" s="218" t="str">
        <f t="shared" si="10"/>
        <v xml:space="preserve"> </v>
      </c>
      <c r="O83" s="189"/>
      <c r="P83" s="189"/>
      <c r="Q83" s="189"/>
      <c r="R83" s="189" t="str">
        <f t="shared" si="6"/>
        <v xml:space="preserve"> </v>
      </c>
      <c r="S83" s="189"/>
      <c r="T83" s="253"/>
      <c r="U83" s="13"/>
      <c r="V83" s="253"/>
      <c r="W83" s="253"/>
      <c r="X83" s="16"/>
    </row>
    <row r="84" spans="1:24" ht="15" customHeight="1" x14ac:dyDescent="0.35">
      <c r="A84" s="23">
        <v>45136</v>
      </c>
      <c r="B84" s="23"/>
      <c r="C84" s="211" t="s">
        <v>322</v>
      </c>
      <c r="D84" s="15">
        <v>2</v>
      </c>
      <c r="E84" s="15"/>
      <c r="F84" s="9">
        <v>850</v>
      </c>
      <c r="G84" s="29">
        <f t="shared" si="7"/>
        <v>1700</v>
      </c>
      <c r="H84" s="11"/>
      <c r="I84" s="10"/>
      <c r="J84" s="29">
        <f t="shared" si="8"/>
        <v>0</v>
      </c>
      <c r="K84" s="29"/>
      <c r="L84" s="223">
        <f t="shared" si="9"/>
        <v>1700</v>
      </c>
      <c r="M84" s="12"/>
      <c r="N84" s="218" t="str">
        <f t="shared" si="10"/>
        <v xml:space="preserve"> </v>
      </c>
      <c r="O84" s="189"/>
      <c r="P84" s="189"/>
      <c r="Q84" s="189"/>
      <c r="R84" s="189" t="str">
        <f t="shared" si="6"/>
        <v xml:space="preserve"> </v>
      </c>
      <c r="S84" s="189"/>
      <c r="T84" s="253"/>
      <c r="U84" s="13"/>
      <c r="V84" s="253"/>
      <c r="W84" s="253"/>
      <c r="X84" s="16"/>
    </row>
    <row r="85" spans="1:24" ht="15" customHeight="1" x14ac:dyDescent="0.35">
      <c r="A85" s="23">
        <v>45136</v>
      </c>
      <c r="B85" s="24"/>
      <c r="C85" s="211" t="s">
        <v>321</v>
      </c>
      <c r="D85" s="15">
        <v>2</v>
      </c>
      <c r="E85" s="15"/>
      <c r="F85" s="9">
        <v>850</v>
      </c>
      <c r="G85" s="29">
        <f t="shared" si="7"/>
        <v>1700</v>
      </c>
      <c r="H85" s="11"/>
      <c r="I85" s="10"/>
      <c r="J85" s="29">
        <f t="shared" si="8"/>
        <v>0</v>
      </c>
      <c r="K85" s="29"/>
      <c r="L85" s="223">
        <f t="shared" si="9"/>
        <v>1700</v>
      </c>
      <c r="M85" s="12"/>
      <c r="N85" s="218" t="str">
        <f t="shared" si="10"/>
        <v xml:space="preserve"> </v>
      </c>
      <c r="O85" s="189"/>
      <c r="P85" s="189"/>
      <c r="Q85" s="189"/>
      <c r="R85" s="189" t="str">
        <f t="shared" si="6"/>
        <v xml:space="preserve"> </v>
      </c>
      <c r="S85" s="189"/>
      <c r="T85" s="253"/>
      <c r="U85" s="13"/>
      <c r="V85" s="253"/>
      <c r="W85" s="253"/>
      <c r="X85" s="16"/>
    </row>
    <row r="86" spans="1:24" ht="15" customHeight="1" x14ac:dyDescent="0.35">
      <c r="A86" s="23">
        <v>45138</v>
      </c>
      <c r="B86" s="24"/>
      <c r="C86" s="211" t="s">
        <v>323</v>
      </c>
      <c r="D86" s="15">
        <v>1</v>
      </c>
      <c r="E86" s="15"/>
      <c r="F86" s="9">
        <v>850</v>
      </c>
      <c r="G86" s="29">
        <f t="shared" si="7"/>
        <v>850</v>
      </c>
      <c r="H86" s="11"/>
      <c r="I86" s="10"/>
      <c r="J86" s="29">
        <f t="shared" si="8"/>
        <v>0</v>
      </c>
      <c r="K86" s="29"/>
      <c r="L86" s="223">
        <f t="shared" si="9"/>
        <v>850</v>
      </c>
      <c r="M86" s="12"/>
      <c r="N86" s="218" t="str">
        <f t="shared" si="10"/>
        <v xml:space="preserve"> </v>
      </c>
      <c r="O86" s="189"/>
      <c r="P86" s="189"/>
      <c r="Q86" s="189"/>
      <c r="R86" s="189" t="str">
        <f t="shared" si="6"/>
        <v xml:space="preserve"> </v>
      </c>
      <c r="S86" s="189"/>
      <c r="T86" s="253"/>
      <c r="U86" s="13"/>
      <c r="V86" s="253"/>
      <c r="W86" s="253"/>
      <c r="X86" s="16"/>
    </row>
    <row r="87" spans="1:24" ht="15" customHeight="1" x14ac:dyDescent="0.35">
      <c r="A87" s="23">
        <v>45138</v>
      </c>
      <c r="B87" s="23"/>
      <c r="C87" s="212" t="s">
        <v>153</v>
      </c>
      <c r="D87" s="15">
        <v>1</v>
      </c>
      <c r="E87" s="15"/>
      <c r="F87" s="9">
        <v>850</v>
      </c>
      <c r="G87" s="29">
        <f t="shared" si="7"/>
        <v>850</v>
      </c>
      <c r="H87" s="11"/>
      <c r="I87" s="10"/>
      <c r="J87" s="29">
        <f t="shared" si="8"/>
        <v>0</v>
      </c>
      <c r="K87" s="29"/>
      <c r="L87" s="223">
        <f t="shared" si="9"/>
        <v>850</v>
      </c>
      <c r="M87" s="12"/>
      <c r="N87" s="218" t="str">
        <f t="shared" si="10"/>
        <v xml:space="preserve"> </v>
      </c>
      <c r="O87" s="189"/>
      <c r="P87" s="189"/>
      <c r="Q87" s="189"/>
      <c r="R87" s="189" t="str">
        <f t="shared" si="6"/>
        <v xml:space="preserve"> </v>
      </c>
      <c r="S87" s="189"/>
      <c r="T87" s="253"/>
      <c r="U87" s="13"/>
      <c r="V87" s="253"/>
      <c r="W87" s="253"/>
      <c r="X87" s="16"/>
    </row>
    <row r="88" spans="1:24" ht="15" customHeight="1" x14ac:dyDescent="0.35">
      <c r="A88" s="23">
        <v>45138</v>
      </c>
      <c r="B88" s="24"/>
      <c r="C88" s="211" t="s">
        <v>279</v>
      </c>
      <c r="D88" s="15">
        <v>3</v>
      </c>
      <c r="E88" s="15"/>
      <c r="F88" s="9">
        <v>800</v>
      </c>
      <c r="G88" s="29">
        <f t="shared" si="7"/>
        <v>2400</v>
      </c>
      <c r="H88" s="11"/>
      <c r="I88" s="10"/>
      <c r="J88" s="29">
        <f t="shared" si="8"/>
        <v>0</v>
      </c>
      <c r="K88" s="29"/>
      <c r="L88" s="223">
        <f t="shared" si="9"/>
        <v>2400</v>
      </c>
      <c r="M88" s="12"/>
      <c r="N88" s="218" t="str">
        <f t="shared" si="10"/>
        <v xml:space="preserve"> </v>
      </c>
      <c r="O88" s="189"/>
      <c r="P88" s="189"/>
      <c r="Q88" s="189"/>
      <c r="R88" s="189" t="str">
        <f t="shared" si="6"/>
        <v xml:space="preserve"> </v>
      </c>
      <c r="S88" s="189"/>
      <c r="T88" s="253"/>
      <c r="U88" s="13"/>
      <c r="V88" s="253"/>
      <c r="W88" s="253"/>
      <c r="X88" s="16"/>
    </row>
    <row r="89" spans="1:24" ht="15" customHeight="1" x14ac:dyDescent="0.35">
      <c r="A89" s="23">
        <v>45138</v>
      </c>
      <c r="B89" s="24"/>
      <c r="C89" s="211" t="s">
        <v>328</v>
      </c>
      <c r="D89" s="15"/>
      <c r="E89" s="15">
        <v>4</v>
      </c>
      <c r="F89" s="9">
        <v>800</v>
      </c>
      <c r="G89" s="29">
        <f t="shared" si="7"/>
        <v>3200</v>
      </c>
      <c r="H89" s="11"/>
      <c r="I89" s="10"/>
      <c r="J89" s="29">
        <f t="shared" si="8"/>
        <v>0</v>
      </c>
      <c r="K89" s="29"/>
      <c r="L89" s="223">
        <f t="shared" si="9"/>
        <v>3200</v>
      </c>
      <c r="M89" s="12"/>
      <c r="N89" s="218" t="str">
        <f t="shared" si="5"/>
        <v xml:space="preserve"> </v>
      </c>
      <c r="O89" s="189"/>
      <c r="P89" s="189"/>
      <c r="Q89" s="189"/>
      <c r="R89" s="189" t="str">
        <f t="shared" si="6"/>
        <v xml:space="preserve"> </v>
      </c>
      <c r="S89" s="189"/>
      <c r="T89" s="253"/>
      <c r="U89" s="13"/>
      <c r="V89" s="253"/>
      <c r="W89" s="253"/>
      <c r="X89" s="16"/>
    </row>
    <row r="90" spans="1:24" ht="15" customHeight="1" x14ac:dyDescent="0.35">
      <c r="A90" s="23"/>
      <c r="B90" s="24"/>
      <c r="C90" s="211"/>
      <c r="D90" s="15"/>
      <c r="E90" s="15"/>
      <c r="F90" s="9">
        <v>800</v>
      </c>
      <c r="G90" s="29">
        <f t="shared" si="7"/>
        <v>0</v>
      </c>
      <c r="H90" s="11"/>
      <c r="I90" s="10"/>
      <c r="J90" s="29">
        <f t="shared" si="8"/>
        <v>0</v>
      </c>
      <c r="K90" s="29"/>
      <c r="L90" s="223">
        <f t="shared" si="9"/>
        <v>0</v>
      </c>
      <c r="M90" s="12"/>
      <c r="N90" s="218" t="str">
        <f t="shared" si="5"/>
        <v xml:space="preserve"> </v>
      </c>
      <c r="O90" s="189"/>
      <c r="P90" s="189"/>
      <c r="Q90" s="189"/>
      <c r="R90" s="189" t="str">
        <f t="shared" si="6"/>
        <v xml:space="preserve"> </v>
      </c>
      <c r="S90" s="189"/>
      <c r="T90" s="253"/>
      <c r="U90" s="13"/>
      <c r="V90" s="253"/>
      <c r="W90" s="253"/>
      <c r="X90" s="16"/>
    </row>
    <row r="91" spans="1:24" ht="15" customHeight="1" x14ac:dyDescent="0.35">
      <c r="A91" s="227"/>
      <c r="B91" s="23"/>
      <c r="C91" s="212"/>
      <c r="D91" s="15"/>
      <c r="E91" s="15"/>
      <c r="F91" s="9">
        <v>800</v>
      </c>
      <c r="G91" s="29">
        <f t="shared" si="7"/>
        <v>0</v>
      </c>
      <c r="H91" s="11"/>
      <c r="I91" s="10"/>
      <c r="J91" s="29">
        <f t="shared" si="8"/>
        <v>0</v>
      </c>
      <c r="K91" s="29"/>
      <c r="L91" s="223">
        <f t="shared" si="9"/>
        <v>0</v>
      </c>
      <c r="M91" s="12"/>
      <c r="N91" s="218" t="str">
        <f t="shared" si="5"/>
        <v xml:space="preserve"> </v>
      </c>
      <c r="O91" s="189"/>
      <c r="P91" s="189"/>
      <c r="Q91" s="189"/>
      <c r="R91" s="189" t="str">
        <f t="shared" si="6"/>
        <v xml:space="preserve"> </v>
      </c>
      <c r="S91" s="189"/>
      <c r="T91" s="253"/>
      <c r="U91" s="13"/>
      <c r="V91" s="253"/>
      <c r="W91" s="253"/>
      <c r="X91" s="16"/>
    </row>
    <row r="92" spans="1:24" ht="15" customHeight="1" x14ac:dyDescent="0.35">
      <c r="A92" s="23"/>
      <c r="B92" s="24"/>
      <c r="C92" s="211"/>
      <c r="D92" s="15"/>
      <c r="E92" s="15"/>
      <c r="F92" s="9">
        <v>800</v>
      </c>
      <c r="G92" s="29">
        <f t="shared" si="7"/>
        <v>0</v>
      </c>
      <c r="H92" s="11"/>
      <c r="I92" s="10"/>
      <c r="J92" s="29">
        <f t="shared" si="8"/>
        <v>0</v>
      </c>
      <c r="K92" s="29"/>
      <c r="L92" s="223">
        <f t="shared" si="9"/>
        <v>0</v>
      </c>
      <c r="M92" s="12"/>
      <c r="N92" s="218" t="str">
        <f t="shared" si="5"/>
        <v xml:space="preserve"> </v>
      </c>
      <c r="O92" s="189"/>
      <c r="P92" s="189"/>
      <c r="Q92" s="189"/>
      <c r="R92" s="189" t="str">
        <f t="shared" si="6"/>
        <v xml:space="preserve"> </v>
      </c>
      <c r="S92" s="189"/>
      <c r="T92" s="253"/>
      <c r="U92" s="13"/>
      <c r="V92" s="253"/>
      <c r="W92" s="253"/>
      <c r="X92" s="16"/>
    </row>
    <row r="93" spans="1:24" ht="15" customHeight="1" x14ac:dyDescent="0.35">
      <c r="A93" s="227"/>
      <c r="B93" s="24"/>
      <c r="C93" s="211"/>
      <c r="D93" s="15"/>
      <c r="E93" s="15"/>
      <c r="F93" s="9">
        <v>800</v>
      </c>
      <c r="G93" s="29">
        <f t="shared" si="7"/>
        <v>0</v>
      </c>
      <c r="H93" s="11"/>
      <c r="I93" s="10"/>
      <c r="J93" s="29">
        <f t="shared" si="8"/>
        <v>0</v>
      </c>
      <c r="K93" s="29"/>
      <c r="L93" s="223">
        <f t="shared" si="9"/>
        <v>0</v>
      </c>
      <c r="M93" s="12"/>
      <c r="N93" s="218" t="str">
        <f t="shared" si="5"/>
        <v xml:space="preserve"> </v>
      </c>
      <c r="O93" s="189"/>
      <c r="P93" s="189"/>
      <c r="Q93" s="189"/>
      <c r="R93" s="189" t="str">
        <f t="shared" si="6"/>
        <v xml:space="preserve"> </v>
      </c>
      <c r="S93" s="189"/>
      <c r="T93" s="253"/>
      <c r="U93" s="13"/>
      <c r="V93" s="253"/>
      <c r="W93" s="253"/>
      <c r="X93" s="16"/>
    </row>
    <row r="94" spans="1:24" ht="15" customHeight="1" x14ac:dyDescent="0.35">
      <c r="A94" s="227"/>
      <c r="B94" s="24"/>
      <c r="C94" s="212"/>
      <c r="D94" s="15"/>
      <c r="E94" s="15"/>
      <c r="F94" s="9">
        <v>800</v>
      </c>
      <c r="G94" s="29">
        <f t="shared" si="7"/>
        <v>0</v>
      </c>
      <c r="H94" s="11"/>
      <c r="I94" s="10"/>
      <c r="J94" s="29">
        <f t="shared" si="8"/>
        <v>0</v>
      </c>
      <c r="K94" s="29"/>
      <c r="L94" s="223">
        <f t="shared" si="9"/>
        <v>0</v>
      </c>
      <c r="M94" s="12"/>
      <c r="N94" s="218" t="str">
        <f t="shared" si="5"/>
        <v xml:space="preserve"> </v>
      </c>
      <c r="O94" s="189"/>
      <c r="P94" s="189"/>
      <c r="Q94" s="189"/>
      <c r="R94" s="189" t="str">
        <f t="shared" si="6"/>
        <v xml:space="preserve"> </v>
      </c>
      <c r="S94" s="189"/>
      <c r="T94" s="253"/>
      <c r="U94" s="13"/>
      <c r="V94" s="253"/>
      <c r="W94" s="253"/>
      <c r="X94" s="16"/>
    </row>
    <row r="95" spans="1:24" ht="15" customHeight="1" x14ac:dyDescent="0.35">
      <c r="A95" s="227"/>
      <c r="B95" s="24"/>
      <c r="C95" s="211"/>
      <c r="D95" s="15"/>
      <c r="E95" s="15"/>
      <c r="F95" s="9">
        <v>800</v>
      </c>
      <c r="G95" s="29">
        <f t="shared" si="7"/>
        <v>0</v>
      </c>
      <c r="H95" s="11"/>
      <c r="I95" s="10"/>
      <c r="J95" s="29">
        <f t="shared" si="8"/>
        <v>0</v>
      </c>
      <c r="K95" s="29"/>
      <c r="L95" s="223">
        <f t="shared" si="9"/>
        <v>0</v>
      </c>
      <c r="M95" s="12"/>
      <c r="N95" s="218" t="str">
        <f t="shared" si="5"/>
        <v xml:space="preserve"> </v>
      </c>
      <c r="O95" s="189"/>
      <c r="P95" s="189"/>
      <c r="Q95" s="189"/>
      <c r="R95" s="189" t="str">
        <f t="shared" si="6"/>
        <v xml:space="preserve"> </v>
      </c>
      <c r="S95" s="189"/>
      <c r="T95" s="253"/>
      <c r="U95" s="13"/>
      <c r="V95" s="253"/>
      <c r="W95" s="253"/>
      <c r="X95" s="16"/>
    </row>
    <row r="96" spans="1:24" ht="15" customHeight="1" x14ac:dyDescent="0.35">
      <c r="A96" s="227"/>
      <c r="B96" s="24"/>
      <c r="C96" s="212"/>
      <c r="D96" s="15"/>
      <c r="E96" s="15"/>
      <c r="F96" s="9">
        <v>800</v>
      </c>
      <c r="G96" s="29">
        <f t="shared" si="7"/>
        <v>0</v>
      </c>
      <c r="H96" s="11"/>
      <c r="I96" s="10"/>
      <c r="J96" s="29">
        <f t="shared" si="8"/>
        <v>0</v>
      </c>
      <c r="K96" s="29"/>
      <c r="L96" s="223">
        <f t="shared" si="9"/>
        <v>0</v>
      </c>
      <c r="M96" s="12"/>
      <c r="N96" s="218" t="str">
        <f>IF(M96&gt;0,SUM(L96-M96)," ")</f>
        <v xml:space="preserve"> </v>
      </c>
      <c r="O96" s="189"/>
      <c r="P96" s="189"/>
      <c r="Q96" s="189"/>
      <c r="R96" s="189" t="str">
        <f t="shared" si="6"/>
        <v xml:space="preserve"> </v>
      </c>
      <c r="S96" s="189"/>
      <c r="T96" s="253"/>
      <c r="U96" s="13"/>
      <c r="V96" s="253"/>
      <c r="W96" s="253"/>
      <c r="X96" s="16"/>
    </row>
    <row r="97" spans="1:24" ht="15" customHeight="1" x14ac:dyDescent="0.35">
      <c r="A97" s="227"/>
      <c r="B97" s="24"/>
      <c r="C97" s="211"/>
      <c r="D97" s="15"/>
      <c r="E97" s="15"/>
      <c r="F97" s="9">
        <v>800</v>
      </c>
      <c r="G97" s="29">
        <f t="shared" si="7"/>
        <v>0</v>
      </c>
      <c r="H97" s="11"/>
      <c r="I97" s="10"/>
      <c r="J97" s="29">
        <f t="shared" si="8"/>
        <v>0</v>
      </c>
      <c r="K97" s="29"/>
      <c r="L97" s="223">
        <f t="shared" si="9"/>
        <v>0</v>
      </c>
      <c r="M97" s="12"/>
      <c r="N97" s="218" t="str">
        <f>IF(M97&gt;0,SUM(L97-M97)," ")</f>
        <v xml:space="preserve"> </v>
      </c>
      <c r="O97" s="189"/>
      <c r="P97" s="189"/>
      <c r="Q97" s="189"/>
      <c r="R97" s="189" t="str">
        <f t="shared" si="6"/>
        <v xml:space="preserve"> </v>
      </c>
      <c r="S97" s="189"/>
      <c r="T97" s="253"/>
      <c r="U97" s="13"/>
      <c r="V97" s="253"/>
      <c r="W97" s="253"/>
      <c r="X97" s="16"/>
    </row>
    <row r="98" spans="1:24" ht="15" customHeight="1" x14ac:dyDescent="0.35">
      <c r="A98" s="227"/>
      <c r="B98" s="24"/>
      <c r="C98" s="206"/>
      <c r="D98" s="15"/>
      <c r="E98" s="15"/>
      <c r="F98" s="9">
        <v>800</v>
      </c>
      <c r="G98" s="29">
        <f t="shared" si="7"/>
        <v>0</v>
      </c>
      <c r="H98" s="11"/>
      <c r="I98" s="10"/>
      <c r="J98" s="29">
        <f t="shared" si="8"/>
        <v>0</v>
      </c>
      <c r="K98" s="29"/>
      <c r="L98" s="223">
        <f t="shared" si="9"/>
        <v>0</v>
      </c>
      <c r="M98" s="12"/>
      <c r="N98" s="218" t="str">
        <f t="shared" si="5"/>
        <v xml:space="preserve"> </v>
      </c>
      <c r="O98" s="189"/>
      <c r="P98" s="189"/>
      <c r="Q98" s="189"/>
      <c r="R98" s="189" t="str">
        <f t="shared" si="4"/>
        <v xml:space="preserve"> </v>
      </c>
      <c r="S98" s="189"/>
      <c r="T98" s="253"/>
      <c r="U98" s="13"/>
      <c r="V98" s="253"/>
      <c r="W98" s="253"/>
      <c r="X98" s="16"/>
    </row>
    <row r="99" spans="1:24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7"/>
        <v>0</v>
      </c>
      <c r="H99" s="11"/>
      <c r="I99" s="10"/>
      <c r="J99" s="29">
        <f t="shared" si="8"/>
        <v>0</v>
      </c>
      <c r="K99" s="29"/>
      <c r="L99" s="223">
        <f t="shared" si="9"/>
        <v>0</v>
      </c>
      <c r="M99" s="12"/>
      <c r="N99" s="218" t="str">
        <f t="shared" si="5"/>
        <v xml:space="preserve"> </v>
      </c>
      <c r="O99" s="189"/>
      <c r="P99" s="189"/>
      <c r="Q99" s="189"/>
      <c r="R99" s="189" t="str">
        <f t="shared" si="4"/>
        <v xml:space="preserve"> </v>
      </c>
      <c r="S99" s="189"/>
      <c r="T99" s="253"/>
      <c r="U99" s="13"/>
      <c r="V99" s="253"/>
      <c r="W99" s="253"/>
      <c r="X99" s="16"/>
    </row>
    <row r="100" spans="1:24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7"/>
        <v>0</v>
      </c>
      <c r="H100" s="11"/>
      <c r="I100" s="10"/>
      <c r="J100" s="29">
        <f t="shared" si="8"/>
        <v>0</v>
      </c>
      <c r="K100" s="29"/>
      <c r="L100" s="223">
        <f t="shared" si="9"/>
        <v>0</v>
      </c>
      <c r="M100" s="12"/>
      <c r="N100" s="218" t="str">
        <f t="shared" si="5"/>
        <v xml:space="preserve"> </v>
      </c>
      <c r="O100" s="189"/>
      <c r="P100" s="189"/>
      <c r="Q100" s="189"/>
      <c r="R100" s="189" t="str">
        <f t="shared" si="4"/>
        <v xml:space="preserve"> </v>
      </c>
      <c r="S100" s="189"/>
      <c r="T100" s="253"/>
      <c r="U100" s="13"/>
      <c r="V100" s="253"/>
      <c r="W100" s="253"/>
      <c r="X100" s="16"/>
    </row>
    <row r="101" spans="1:24" ht="16" x14ac:dyDescent="0.5">
      <c r="D101" s="21">
        <f>SUM(D4:D100)</f>
        <v>119</v>
      </c>
      <c r="E101" s="21">
        <f>SUM(E4:E100)</f>
        <v>101</v>
      </c>
      <c r="G101" s="198">
        <f>SUM(G4:G100)</f>
        <v>181620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181620</v>
      </c>
      <c r="M101" s="198"/>
      <c r="N101" s="218" t="str">
        <f t="shared" si="5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-3810</v>
      </c>
      <c r="S101" s="199">
        <f>SUM(S4:S100)</f>
        <v>0</v>
      </c>
    </row>
    <row r="102" spans="1:24" x14ac:dyDescent="0.35">
      <c r="D102" s="290">
        <f>D101+E101</f>
        <v>220</v>
      </c>
      <c r="E102" s="291"/>
      <c r="G102" s="22"/>
      <c r="I102" s="5"/>
      <c r="J102" s="22"/>
      <c r="K102" s="22"/>
    </row>
    <row r="103" spans="1:24" x14ac:dyDescent="0.35">
      <c r="I103" s="5"/>
      <c r="J103" s="6"/>
      <c r="K103" s="6"/>
    </row>
    <row r="108" spans="1:24" x14ac:dyDescent="0.35">
      <c r="C108" s="211" t="s">
        <v>82</v>
      </c>
    </row>
    <row r="109" spans="1:24" x14ac:dyDescent="0.35">
      <c r="C109" s="211" t="s">
        <v>103</v>
      </c>
    </row>
    <row r="110" spans="1:24" x14ac:dyDescent="0.35">
      <c r="C110" s="211" t="s">
        <v>82</v>
      </c>
    </row>
    <row r="111" spans="1:24" x14ac:dyDescent="0.35">
      <c r="C111" s="211" t="s">
        <v>15</v>
      </c>
    </row>
    <row r="112" spans="1:24" x14ac:dyDescent="0.35">
      <c r="C112" s="212" t="s">
        <v>100</v>
      </c>
    </row>
    <row r="113" spans="3:3" x14ac:dyDescent="0.35">
      <c r="C113" s="211" t="s">
        <v>81</v>
      </c>
    </row>
    <row r="114" spans="3:3" x14ac:dyDescent="0.35">
      <c r="C114" s="211" t="s">
        <v>82</v>
      </c>
    </row>
    <row r="115" spans="3:3" x14ac:dyDescent="0.35">
      <c r="C115" s="211" t="s">
        <v>82</v>
      </c>
    </row>
    <row r="116" spans="3:3" x14ac:dyDescent="0.35">
      <c r="C116" s="211" t="s">
        <v>82</v>
      </c>
    </row>
    <row r="117" spans="3:3" x14ac:dyDescent="0.35">
      <c r="C117" s="211" t="s">
        <v>103</v>
      </c>
    </row>
    <row r="118" spans="3:3" x14ac:dyDescent="0.35">
      <c r="C118" s="212"/>
    </row>
    <row r="119" spans="3:3" x14ac:dyDescent="0.35">
      <c r="C119" s="211"/>
    </row>
    <row r="120" spans="3:3" x14ac:dyDescent="0.35">
      <c r="C120" s="212" t="s">
        <v>112</v>
      </c>
    </row>
    <row r="121" spans="3:3" x14ac:dyDescent="0.35">
      <c r="C121" s="211" t="s">
        <v>102</v>
      </c>
    </row>
    <row r="122" spans="3:3" x14ac:dyDescent="0.35">
      <c r="C122" s="211" t="s">
        <v>15</v>
      </c>
    </row>
    <row r="123" spans="3:3" x14ac:dyDescent="0.35">
      <c r="C123" s="211"/>
    </row>
    <row r="124" spans="3:3" x14ac:dyDescent="0.35">
      <c r="C124" s="211"/>
    </row>
    <row r="125" spans="3:3" x14ac:dyDescent="0.35">
      <c r="C125" s="211" t="s">
        <v>82</v>
      </c>
    </row>
    <row r="126" spans="3:3" x14ac:dyDescent="0.35">
      <c r="C126" s="212" t="s">
        <v>100</v>
      </c>
    </row>
    <row r="127" spans="3:3" x14ac:dyDescent="0.35">
      <c r="C127" s="211" t="s">
        <v>82</v>
      </c>
    </row>
    <row r="128" spans="3:3" x14ac:dyDescent="0.35">
      <c r="C128" s="211" t="s">
        <v>81</v>
      </c>
    </row>
    <row r="129" spans="3:3" x14ac:dyDescent="0.35">
      <c r="C129" s="211" t="s">
        <v>115</v>
      </c>
    </row>
    <row r="130" spans="3:3" x14ac:dyDescent="0.35">
      <c r="C130" s="212" t="s">
        <v>101</v>
      </c>
    </row>
    <row r="131" spans="3:3" x14ac:dyDescent="0.35">
      <c r="C131" s="211" t="s">
        <v>82</v>
      </c>
    </row>
    <row r="132" spans="3:3" x14ac:dyDescent="0.35">
      <c r="C132" s="211" t="s">
        <v>111</v>
      </c>
    </row>
    <row r="133" spans="3:3" x14ac:dyDescent="0.35">
      <c r="C133" s="206"/>
    </row>
    <row r="134" spans="3:3" x14ac:dyDescent="0.35">
      <c r="C134" s="212"/>
    </row>
    <row r="135" spans="3:3" x14ac:dyDescent="0.35">
      <c r="C135" s="212" t="s">
        <v>101</v>
      </c>
    </row>
    <row r="136" spans="3:3" x14ac:dyDescent="0.35">
      <c r="C136" s="212" t="s">
        <v>15</v>
      </c>
    </row>
    <row r="137" spans="3:3" x14ac:dyDescent="0.35">
      <c r="C137" s="211" t="s">
        <v>81</v>
      </c>
    </row>
    <row r="138" spans="3:3" x14ac:dyDescent="0.35">
      <c r="C138" s="211"/>
    </row>
    <row r="1048434" spans="15:21" x14ac:dyDescent="0.35">
      <c r="O1048434" s="189"/>
      <c r="P1048434" s="189"/>
      <c r="Q1048434" s="189"/>
      <c r="R1048434" s="189"/>
      <c r="S1048434" s="189"/>
      <c r="U1048434" s="13"/>
    </row>
  </sheetData>
  <autoFilter ref="B3:AA102" xr:uid="{00000000-0009-0000-0000-00000D000000}"/>
  <mergeCells count="15">
    <mergeCell ref="A2:A3"/>
    <mergeCell ref="B2:B3"/>
    <mergeCell ref="C2:C3"/>
    <mergeCell ref="D2:G2"/>
    <mergeCell ref="H2:J2"/>
    <mergeCell ref="K2:K3"/>
    <mergeCell ref="V2:V3"/>
    <mergeCell ref="X2:X3"/>
    <mergeCell ref="O3:O4"/>
    <mergeCell ref="L2:L3"/>
    <mergeCell ref="M2:M3"/>
    <mergeCell ref="N2:N3"/>
    <mergeCell ref="O2:S2"/>
    <mergeCell ref="T2:T3"/>
    <mergeCell ref="U2:U3"/>
  </mergeCells>
  <conditionalFormatting sqref="B2 B100:B1048576 A93:A94 A82:A91 A25 A75:A76 A78:A80 A38 A69 A49 A18:A23 A27:A30 A41:A43 A53:A60">
    <cfRule type="containsText" dxfId="1293" priority="296" operator="containsText" text="OK">
      <formula>NOT(ISERROR(SEARCH("OK",A2)))</formula>
    </cfRule>
  </conditionalFormatting>
  <conditionalFormatting sqref="B2 B100:B1048576 A93:A94 A82:A91 A25 A75:A76 A78:A80 A38 A69 A49 A18:A23 A27:A30 A41:A43 A53:A60">
    <cfRule type="containsText" dxfId="1292" priority="295" operator="containsText" text="ok">
      <formula>NOT(ISERROR(SEARCH("ok",A2)))</formula>
    </cfRule>
  </conditionalFormatting>
  <conditionalFormatting sqref="B54:B65">
    <cfRule type="containsText" dxfId="1291" priority="294" operator="containsText" text="OK">
      <formula>NOT(ISERROR(SEARCH("OK",B54)))</formula>
    </cfRule>
  </conditionalFormatting>
  <conditionalFormatting sqref="B54:B65">
    <cfRule type="containsText" dxfId="1290" priority="293" operator="containsText" text="ok">
      <formula>NOT(ISERROR(SEARCH("ok",B54)))</formula>
    </cfRule>
  </conditionalFormatting>
  <conditionalFormatting sqref="B91">
    <cfRule type="containsText" dxfId="1289" priority="292" operator="containsText" text="OK">
      <formula>NOT(ISERROR(SEARCH("OK",B91)))</formula>
    </cfRule>
  </conditionalFormatting>
  <conditionalFormatting sqref="B91">
    <cfRule type="containsText" dxfId="1288" priority="291" operator="containsText" text="ok">
      <formula>NOT(ISERROR(SEARCH("ok",B91)))</formula>
    </cfRule>
  </conditionalFormatting>
  <conditionalFormatting sqref="A2 A100:A1048576">
    <cfRule type="containsText" dxfId="1287" priority="290" operator="containsText" text="OK">
      <formula>NOT(ISERROR(SEARCH("OK",A2)))</formula>
    </cfRule>
  </conditionalFormatting>
  <conditionalFormatting sqref="A2 A100:A1048576">
    <cfRule type="containsText" dxfId="1286" priority="289" operator="containsText" text="ok">
      <formula>NOT(ISERROR(SEARCH("ok",A2)))</formula>
    </cfRule>
  </conditionalFormatting>
  <conditionalFormatting sqref="A95">
    <cfRule type="containsText" dxfId="1285" priority="288" operator="containsText" text="OK">
      <formula>NOT(ISERROR(SEARCH("OK",A95)))</formula>
    </cfRule>
  </conditionalFormatting>
  <conditionalFormatting sqref="A95">
    <cfRule type="containsText" dxfId="1284" priority="287" operator="containsText" text="ok">
      <formula>NOT(ISERROR(SEARCH("ok",A95)))</formula>
    </cfRule>
  </conditionalFormatting>
  <conditionalFormatting sqref="A96">
    <cfRule type="containsText" dxfId="1283" priority="286" operator="containsText" text="OK">
      <formula>NOT(ISERROR(SEARCH("OK",A96)))</formula>
    </cfRule>
  </conditionalFormatting>
  <conditionalFormatting sqref="A96">
    <cfRule type="containsText" dxfId="1282" priority="285" operator="containsText" text="ok">
      <formula>NOT(ISERROR(SEARCH("ok",A96)))</formula>
    </cfRule>
  </conditionalFormatting>
  <conditionalFormatting sqref="A97">
    <cfRule type="containsText" dxfId="1281" priority="284" operator="containsText" text="OK">
      <formula>NOT(ISERROR(SEARCH("OK",A97)))</formula>
    </cfRule>
  </conditionalFormatting>
  <conditionalFormatting sqref="A97">
    <cfRule type="containsText" dxfId="1280" priority="283" operator="containsText" text="ok">
      <formula>NOT(ISERROR(SEARCH("ok",A97)))</formula>
    </cfRule>
  </conditionalFormatting>
  <conditionalFormatting sqref="A98">
    <cfRule type="containsText" dxfId="1279" priority="282" operator="containsText" text="OK">
      <formula>NOT(ISERROR(SEARCH("OK",A98)))</formula>
    </cfRule>
  </conditionalFormatting>
  <conditionalFormatting sqref="A98">
    <cfRule type="containsText" dxfId="1278" priority="281" operator="containsText" text="ok">
      <formula>NOT(ISERROR(SEARCH("ok",A98)))</formula>
    </cfRule>
  </conditionalFormatting>
  <conditionalFormatting sqref="A99">
    <cfRule type="containsText" dxfId="1277" priority="280" operator="containsText" text="OK">
      <formula>NOT(ISERROR(SEARCH("OK",A99)))</formula>
    </cfRule>
  </conditionalFormatting>
  <conditionalFormatting sqref="A99">
    <cfRule type="containsText" dxfId="1276" priority="279" operator="containsText" text="ok">
      <formula>NOT(ISERROR(SEARCH("ok",A99)))</formula>
    </cfRule>
  </conditionalFormatting>
  <conditionalFormatting sqref="B87">
    <cfRule type="containsText" dxfId="1275" priority="278" operator="containsText" text="OK">
      <formula>NOT(ISERROR(SEARCH("OK",B87)))</formula>
    </cfRule>
  </conditionalFormatting>
  <conditionalFormatting sqref="B87">
    <cfRule type="containsText" dxfId="1274" priority="277" operator="containsText" text="ok">
      <formula>NOT(ISERROR(SEARCH("ok",B87)))</formula>
    </cfRule>
  </conditionalFormatting>
  <conditionalFormatting sqref="B82">
    <cfRule type="containsText" dxfId="1273" priority="276" operator="containsText" text="OK">
      <formula>NOT(ISERROR(SEARCH("OK",B82)))</formula>
    </cfRule>
  </conditionalFormatting>
  <conditionalFormatting sqref="B82">
    <cfRule type="containsText" dxfId="1272" priority="275" operator="containsText" text="ok">
      <formula>NOT(ISERROR(SEARCH("ok",B82)))</formula>
    </cfRule>
  </conditionalFormatting>
  <conditionalFormatting sqref="B83">
    <cfRule type="containsText" dxfId="1271" priority="274" operator="containsText" text="OK">
      <formula>NOT(ISERROR(SEARCH("OK",B83)))</formula>
    </cfRule>
  </conditionalFormatting>
  <conditionalFormatting sqref="B83">
    <cfRule type="containsText" dxfId="1270" priority="273" operator="containsText" text="ok">
      <formula>NOT(ISERROR(SEARCH("ok",B83)))</formula>
    </cfRule>
  </conditionalFormatting>
  <conditionalFormatting sqref="B84">
    <cfRule type="containsText" dxfId="1269" priority="272" operator="containsText" text="OK">
      <formula>NOT(ISERROR(SEARCH("OK",B84)))</formula>
    </cfRule>
  </conditionalFormatting>
  <conditionalFormatting sqref="B84">
    <cfRule type="containsText" dxfId="1268" priority="271" operator="containsText" text="ok">
      <formula>NOT(ISERROR(SEARCH("ok",B84)))</formula>
    </cfRule>
  </conditionalFormatting>
  <conditionalFormatting sqref="B85">
    <cfRule type="containsText" dxfId="1267" priority="270" operator="containsText" text="OK">
      <formula>NOT(ISERROR(SEARCH("OK",B85)))</formula>
    </cfRule>
  </conditionalFormatting>
  <conditionalFormatting sqref="B85">
    <cfRule type="containsText" dxfId="1266" priority="269" operator="containsText" text="ok">
      <formula>NOT(ISERROR(SEARCH("ok",B85)))</formula>
    </cfRule>
  </conditionalFormatting>
  <conditionalFormatting sqref="B86">
    <cfRule type="containsText" dxfId="1265" priority="268" operator="containsText" text="OK">
      <formula>NOT(ISERROR(SEARCH("OK",B86)))</formula>
    </cfRule>
  </conditionalFormatting>
  <conditionalFormatting sqref="B86">
    <cfRule type="containsText" dxfId="1264" priority="267" operator="containsText" text="ok">
      <formula>NOT(ISERROR(SEARCH("ok",B86)))</formula>
    </cfRule>
  </conditionalFormatting>
  <conditionalFormatting sqref="A45">
    <cfRule type="containsText" dxfId="1263" priority="266" operator="containsText" text="OK">
      <formula>NOT(ISERROR(SEARCH("OK",A45)))</formula>
    </cfRule>
  </conditionalFormatting>
  <conditionalFormatting sqref="A45">
    <cfRule type="containsText" dxfId="1262" priority="265" operator="containsText" text="ok">
      <formula>NOT(ISERROR(SEARCH("ok",A45)))</formula>
    </cfRule>
  </conditionalFormatting>
  <conditionalFormatting sqref="B69">
    <cfRule type="containsText" dxfId="1261" priority="264" operator="containsText" text="OK">
      <formula>NOT(ISERROR(SEARCH("OK",B69)))</formula>
    </cfRule>
  </conditionalFormatting>
  <conditionalFormatting sqref="B69">
    <cfRule type="containsText" dxfId="1260" priority="263" operator="containsText" text="ok">
      <formula>NOT(ISERROR(SEARCH("ok",B69)))</formula>
    </cfRule>
  </conditionalFormatting>
  <conditionalFormatting sqref="B88">
    <cfRule type="containsText" dxfId="1259" priority="262" operator="containsText" text="OK">
      <formula>NOT(ISERROR(SEARCH("OK",B88)))</formula>
    </cfRule>
  </conditionalFormatting>
  <conditionalFormatting sqref="B88">
    <cfRule type="containsText" dxfId="1258" priority="261" operator="containsText" text="ok">
      <formula>NOT(ISERROR(SEARCH("ok",B88)))</formula>
    </cfRule>
  </conditionalFormatting>
  <conditionalFormatting sqref="A92">
    <cfRule type="containsText" dxfId="1257" priority="260" operator="containsText" text="OK">
      <formula>NOT(ISERROR(SEARCH("OK",A92)))</formula>
    </cfRule>
  </conditionalFormatting>
  <conditionalFormatting sqref="A92">
    <cfRule type="containsText" dxfId="1256" priority="259" operator="containsText" text="ok">
      <formula>NOT(ISERROR(SEARCH("ok",A92)))</formula>
    </cfRule>
  </conditionalFormatting>
  <conditionalFormatting sqref="B87">
    <cfRule type="containsText" dxfId="1255" priority="258" operator="containsText" text="OK">
      <formula>NOT(ISERROR(SEARCH("OK",B87)))</formula>
    </cfRule>
  </conditionalFormatting>
  <conditionalFormatting sqref="B87">
    <cfRule type="containsText" dxfId="1254" priority="257" operator="containsText" text="ok">
      <formula>NOT(ISERROR(SEARCH("ok",B87)))</formula>
    </cfRule>
  </conditionalFormatting>
  <conditionalFormatting sqref="B83">
    <cfRule type="containsText" dxfId="1253" priority="256" operator="containsText" text="OK">
      <formula>NOT(ISERROR(SEARCH("OK",B83)))</formula>
    </cfRule>
  </conditionalFormatting>
  <conditionalFormatting sqref="B83">
    <cfRule type="containsText" dxfId="1252" priority="255" operator="containsText" text="ok">
      <formula>NOT(ISERROR(SEARCH("ok",B83)))</formula>
    </cfRule>
  </conditionalFormatting>
  <conditionalFormatting sqref="B84">
    <cfRule type="containsText" dxfId="1251" priority="254" operator="containsText" text="OK">
      <formula>NOT(ISERROR(SEARCH("OK",B84)))</formula>
    </cfRule>
  </conditionalFormatting>
  <conditionalFormatting sqref="B84">
    <cfRule type="containsText" dxfId="1250" priority="253" operator="containsText" text="ok">
      <formula>NOT(ISERROR(SEARCH("ok",B84)))</formula>
    </cfRule>
  </conditionalFormatting>
  <conditionalFormatting sqref="A88">
    <cfRule type="containsText" dxfId="1249" priority="252" operator="containsText" text="OK">
      <formula>NOT(ISERROR(SEARCH("OK",A88)))</formula>
    </cfRule>
  </conditionalFormatting>
  <conditionalFormatting sqref="A88">
    <cfRule type="containsText" dxfId="1248" priority="251" operator="containsText" text="ok">
      <formula>NOT(ISERROR(SEARCH("ok",A88)))</formula>
    </cfRule>
  </conditionalFormatting>
  <conditionalFormatting sqref="A81">
    <cfRule type="containsText" dxfId="1247" priority="250" operator="containsText" text="OK">
      <formula>NOT(ISERROR(SEARCH("OK",A81)))</formula>
    </cfRule>
  </conditionalFormatting>
  <conditionalFormatting sqref="A81">
    <cfRule type="containsText" dxfId="1246" priority="249" operator="containsText" text="ok">
      <formula>NOT(ISERROR(SEARCH("ok",A81)))</formula>
    </cfRule>
  </conditionalFormatting>
  <conditionalFormatting sqref="B81">
    <cfRule type="containsText" dxfId="1245" priority="248" operator="containsText" text="OK">
      <formula>NOT(ISERROR(SEARCH("OK",B81)))</formula>
    </cfRule>
  </conditionalFormatting>
  <conditionalFormatting sqref="B81">
    <cfRule type="containsText" dxfId="1244" priority="247" operator="containsText" text="ok">
      <formula>NOT(ISERROR(SEARCH("ok",B81)))</formula>
    </cfRule>
  </conditionalFormatting>
  <conditionalFormatting sqref="B66">
    <cfRule type="containsText" dxfId="1243" priority="242" operator="containsText" text="OK">
      <formula>NOT(ISERROR(SEARCH("OK",B66)))</formula>
    </cfRule>
  </conditionalFormatting>
  <conditionalFormatting sqref="B66">
    <cfRule type="containsText" dxfId="1242" priority="241" operator="containsText" text="ok">
      <formula>NOT(ISERROR(SEARCH("ok",B66)))</formula>
    </cfRule>
  </conditionalFormatting>
  <conditionalFormatting sqref="B75">
    <cfRule type="containsText" dxfId="1241" priority="238" operator="containsText" text="OK">
      <formula>NOT(ISERROR(SEARCH("OK",B75)))</formula>
    </cfRule>
  </conditionalFormatting>
  <conditionalFormatting sqref="B75">
    <cfRule type="containsText" dxfId="1240" priority="237" operator="containsText" text="ok">
      <formula>NOT(ISERROR(SEARCH("ok",B75)))</formula>
    </cfRule>
  </conditionalFormatting>
  <conditionalFormatting sqref="B74">
    <cfRule type="containsText" dxfId="1239" priority="240" operator="containsText" text="OK">
      <formula>NOT(ISERROR(SEARCH("OK",B74)))</formula>
    </cfRule>
  </conditionalFormatting>
  <conditionalFormatting sqref="B74">
    <cfRule type="containsText" dxfId="1238" priority="239" operator="containsText" text="ok">
      <formula>NOT(ISERROR(SEARCH("ok",B74)))</formula>
    </cfRule>
  </conditionalFormatting>
  <conditionalFormatting sqref="B76">
    <cfRule type="containsText" dxfId="1237" priority="236" operator="containsText" text="OK">
      <formula>NOT(ISERROR(SEARCH("OK",B76)))</formula>
    </cfRule>
  </conditionalFormatting>
  <conditionalFormatting sqref="B76">
    <cfRule type="containsText" dxfId="1236" priority="235" operator="containsText" text="ok">
      <formula>NOT(ISERROR(SEARCH("ok",B76)))</formula>
    </cfRule>
  </conditionalFormatting>
  <conditionalFormatting sqref="B77">
    <cfRule type="containsText" dxfId="1235" priority="234" operator="containsText" text="OK">
      <formula>NOT(ISERROR(SEARCH("OK",B77)))</formula>
    </cfRule>
  </conditionalFormatting>
  <conditionalFormatting sqref="B77">
    <cfRule type="containsText" dxfId="1234" priority="233" operator="containsText" text="ok">
      <formula>NOT(ISERROR(SEARCH("ok",B77)))</formula>
    </cfRule>
  </conditionalFormatting>
  <conditionalFormatting sqref="B78">
    <cfRule type="containsText" dxfId="1233" priority="232" operator="containsText" text="OK">
      <formula>NOT(ISERROR(SEARCH("OK",B78)))</formula>
    </cfRule>
  </conditionalFormatting>
  <conditionalFormatting sqref="B78">
    <cfRule type="containsText" dxfId="1232" priority="231" operator="containsText" text="ok">
      <formula>NOT(ISERROR(SEARCH("ok",B78)))</formula>
    </cfRule>
  </conditionalFormatting>
  <conditionalFormatting sqref="A77">
    <cfRule type="containsText" dxfId="1231" priority="230" operator="containsText" text="OK">
      <formula>NOT(ISERROR(SEARCH("OK",A77)))</formula>
    </cfRule>
  </conditionalFormatting>
  <conditionalFormatting sqref="A77">
    <cfRule type="containsText" dxfId="1230" priority="229" operator="containsText" text="ok">
      <formula>NOT(ISERROR(SEARCH("ok",A77)))</formula>
    </cfRule>
  </conditionalFormatting>
  <conditionalFormatting sqref="A48">
    <cfRule type="containsText" dxfId="1229" priority="228" operator="containsText" text="OK">
      <formula>NOT(ISERROR(SEARCH("OK",A48)))</formula>
    </cfRule>
  </conditionalFormatting>
  <conditionalFormatting sqref="A48">
    <cfRule type="containsText" dxfId="1228" priority="227" operator="containsText" text="ok">
      <formula>NOT(ISERROR(SEARCH("ok",A48)))</formula>
    </cfRule>
  </conditionalFormatting>
  <conditionalFormatting sqref="A74">
    <cfRule type="containsText" dxfId="1227" priority="226" operator="containsText" text="OK">
      <formula>NOT(ISERROR(SEARCH("OK",A74)))</formula>
    </cfRule>
  </conditionalFormatting>
  <conditionalFormatting sqref="A74">
    <cfRule type="containsText" dxfId="1226" priority="225" operator="containsText" text="ok">
      <formula>NOT(ISERROR(SEARCH("ok",A74)))</formula>
    </cfRule>
  </conditionalFormatting>
  <conditionalFormatting sqref="A44">
    <cfRule type="containsText" dxfId="1225" priority="224" operator="containsText" text="OK">
      <formula>NOT(ISERROR(SEARCH("OK",A44)))</formula>
    </cfRule>
  </conditionalFormatting>
  <conditionalFormatting sqref="A44">
    <cfRule type="containsText" dxfId="1224" priority="223" operator="containsText" text="ok">
      <formula>NOT(ISERROR(SEARCH("ok",A44)))</formula>
    </cfRule>
  </conditionalFormatting>
  <conditionalFormatting sqref="A64">
    <cfRule type="containsText" dxfId="1223" priority="222" operator="containsText" text="OK">
      <formula>NOT(ISERROR(SEARCH("OK",A64)))</formula>
    </cfRule>
  </conditionalFormatting>
  <conditionalFormatting sqref="A64">
    <cfRule type="containsText" dxfId="1222" priority="221" operator="containsText" text="ok">
      <formula>NOT(ISERROR(SEARCH("ok",A64)))</formula>
    </cfRule>
  </conditionalFormatting>
  <conditionalFormatting sqref="A38">
    <cfRule type="containsText" dxfId="1221" priority="220" operator="containsText" text="OK">
      <formula>NOT(ISERROR(SEARCH("OK",A38)))</formula>
    </cfRule>
  </conditionalFormatting>
  <conditionalFormatting sqref="A38">
    <cfRule type="containsText" dxfId="1220" priority="219" operator="containsText" text="ok">
      <formula>NOT(ISERROR(SEARCH("ok",A38)))</formula>
    </cfRule>
  </conditionalFormatting>
  <conditionalFormatting sqref="A46">
    <cfRule type="containsText" dxfId="1219" priority="218" operator="containsText" text="OK">
      <formula>NOT(ISERROR(SEARCH("OK",A46)))</formula>
    </cfRule>
  </conditionalFormatting>
  <conditionalFormatting sqref="A46">
    <cfRule type="containsText" dxfId="1218" priority="217" operator="containsText" text="ok">
      <formula>NOT(ISERROR(SEARCH("ok",A46)))</formula>
    </cfRule>
  </conditionalFormatting>
  <conditionalFormatting sqref="A47">
    <cfRule type="containsText" dxfId="1217" priority="216" operator="containsText" text="OK">
      <formula>NOT(ISERROR(SEARCH("OK",A47)))</formula>
    </cfRule>
  </conditionalFormatting>
  <conditionalFormatting sqref="A47">
    <cfRule type="containsText" dxfId="1216" priority="215" operator="containsText" text="ok">
      <formula>NOT(ISERROR(SEARCH("ok",A47)))</formula>
    </cfRule>
  </conditionalFormatting>
  <conditionalFormatting sqref="B66">
    <cfRule type="containsText" dxfId="1215" priority="208" operator="containsText" text="OK">
      <formula>NOT(ISERROR(SEARCH("OK",B66)))</formula>
    </cfRule>
  </conditionalFormatting>
  <conditionalFormatting sqref="B66">
    <cfRule type="containsText" dxfId="1214" priority="207" operator="containsText" text="ok">
      <formula>NOT(ISERROR(SEARCH("ok",B66)))</formula>
    </cfRule>
  </conditionalFormatting>
  <conditionalFormatting sqref="B65">
    <cfRule type="containsText" dxfId="1213" priority="204" operator="containsText" text="OK">
      <formula>NOT(ISERROR(SEARCH("OK",B65)))</formula>
    </cfRule>
  </conditionalFormatting>
  <conditionalFormatting sqref="B65">
    <cfRule type="containsText" dxfId="1212" priority="203" operator="containsText" text="ok">
      <formula>NOT(ISERROR(SEARCH("ok",B65)))</formula>
    </cfRule>
  </conditionalFormatting>
  <conditionalFormatting sqref="B70">
    <cfRule type="containsText" dxfId="1211" priority="198" operator="containsText" text="OK">
      <formula>NOT(ISERROR(SEARCH("OK",B70)))</formula>
    </cfRule>
  </conditionalFormatting>
  <conditionalFormatting sqref="B70">
    <cfRule type="containsText" dxfId="1210" priority="197" operator="containsText" text="ok">
      <formula>NOT(ISERROR(SEARCH("ok",B70)))</formula>
    </cfRule>
  </conditionalFormatting>
  <conditionalFormatting sqref="A70">
    <cfRule type="containsText" dxfId="1209" priority="196" operator="containsText" text="OK">
      <formula>NOT(ISERROR(SEARCH("OK",A70)))</formula>
    </cfRule>
  </conditionalFormatting>
  <conditionalFormatting sqref="A70">
    <cfRule type="containsText" dxfId="1208" priority="195" operator="containsText" text="ok">
      <formula>NOT(ISERROR(SEARCH("ok",A70)))</formula>
    </cfRule>
  </conditionalFormatting>
  <conditionalFormatting sqref="B71">
    <cfRule type="containsText" dxfId="1207" priority="192" operator="containsText" text="OK">
      <formula>NOT(ISERROR(SEARCH("OK",B71)))</formula>
    </cfRule>
  </conditionalFormatting>
  <conditionalFormatting sqref="B71">
    <cfRule type="containsText" dxfId="1206" priority="191" operator="containsText" text="ok">
      <formula>NOT(ISERROR(SEARCH("ok",B71)))</formula>
    </cfRule>
  </conditionalFormatting>
  <conditionalFormatting sqref="B71">
    <cfRule type="containsText" dxfId="1205" priority="188" operator="containsText" text="OK">
      <formula>NOT(ISERROR(SEARCH("OK",B71)))</formula>
    </cfRule>
  </conditionalFormatting>
  <conditionalFormatting sqref="B71">
    <cfRule type="containsText" dxfId="1204" priority="187" operator="containsText" text="ok">
      <formula>NOT(ISERROR(SEARCH("ok",B71)))</formula>
    </cfRule>
  </conditionalFormatting>
  <conditionalFormatting sqref="B72">
    <cfRule type="containsText" dxfId="1203" priority="184" operator="containsText" text="OK">
      <formula>NOT(ISERROR(SEARCH("OK",B72)))</formula>
    </cfRule>
  </conditionalFormatting>
  <conditionalFormatting sqref="B72">
    <cfRule type="containsText" dxfId="1202" priority="183" operator="containsText" text="ok">
      <formula>NOT(ISERROR(SEARCH("ok",B72)))</formula>
    </cfRule>
  </conditionalFormatting>
  <conditionalFormatting sqref="B73">
    <cfRule type="containsText" dxfId="1201" priority="180" operator="containsText" text="OK">
      <formula>NOT(ISERROR(SEARCH("OK",B73)))</formula>
    </cfRule>
  </conditionalFormatting>
  <conditionalFormatting sqref="B73">
    <cfRule type="containsText" dxfId="1200" priority="179" operator="containsText" text="ok">
      <formula>NOT(ISERROR(SEARCH("ok",B73)))</formula>
    </cfRule>
  </conditionalFormatting>
  <conditionalFormatting sqref="A73">
    <cfRule type="containsText" dxfId="1199" priority="182" operator="containsText" text="OK">
      <formula>NOT(ISERROR(SEARCH("OK",A73)))</formula>
    </cfRule>
  </conditionalFormatting>
  <conditionalFormatting sqref="A73">
    <cfRule type="containsText" dxfId="1198" priority="181" operator="containsText" text="ok">
      <formula>NOT(ISERROR(SEARCH("ok",A73)))</formula>
    </cfRule>
  </conditionalFormatting>
  <conditionalFormatting sqref="A73">
    <cfRule type="containsText" dxfId="1197" priority="178" operator="containsText" text="OK">
      <formula>NOT(ISERROR(SEARCH("OK",A73)))</formula>
    </cfRule>
  </conditionalFormatting>
  <conditionalFormatting sqref="A73">
    <cfRule type="containsText" dxfId="1196" priority="177" operator="containsText" text="ok">
      <formula>NOT(ISERROR(SEARCH("ok",A73)))</formula>
    </cfRule>
  </conditionalFormatting>
  <conditionalFormatting sqref="B73">
    <cfRule type="containsText" dxfId="1195" priority="176" operator="containsText" text="OK">
      <formula>NOT(ISERROR(SEARCH("OK",B73)))</formula>
    </cfRule>
  </conditionalFormatting>
  <conditionalFormatting sqref="B73">
    <cfRule type="containsText" dxfId="1194" priority="175" operator="containsText" text="ok">
      <formula>NOT(ISERROR(SEARCH("ok",B73)))</formula>
    </cfRule>
  </conditionalFormatting>
  <conditionalFormatting sqref="B72">
    <cfRule type="containsText" dxfId="1193" priority="172" operator="containsText" text="OK">
      <formula>NOT(ISERROR(SEARCH("OK",B72)))</formula>
    </cfRule>
  </conditionalFormatting>
  <conditionalFormatting sqref="B72">
    <cfRule type="containsText" dxfId="1192" priority="171" operator="containsText" text="ok">
      <formula>NOT(ISERROR(SEARCH("ok",B72)))</formula>
    </cfRule>
  </conditionalFormatting>
  <conditionalFormatting sqref="A34">
    <cfRule type="containsText" dxfId="1191" priority="144" operator="containsText" text="OK">
      <formula>NOT(ISERROR(SEARCH("OK",A34)))</formula>
    </cfRule>
  </conditionalFormatting>
  <conditionalFormatting sqref="A34">
    <cfRule type="containsText" dxfId="1190" priority="143" operator="containsText" text="ok">
      <formula>NOT(ISERROR(SEARCH("ok",A34)))</formula>
    </cfRule>
  </conditionalFormatting>
  <conditionalFormatting sqref="A35">
    <cfRule type="containsText" dxfId="1189" priority="142" operator="containsText" text="OK">
      <formula>NOT(ISERROR(SEARCH("OK",A35)))</formula>
    </cfRule>
  </conditionalFormatting>
  <conditionalFormatting sqref="A35">
    <cfRule type="containsText" dxfId="1188" priority="141" operator="containsText" text="ok">
      <formula>NOT(ISERROR(SEARCH("ok",A35)))</formula>
    </cfRule>
  </conditionalFormatting>
  <conditionalFormatting sqref="A37">
    <cfRule type="containsText" dxfId="1187" priority="138" operator="containsText" text="OK">
      <formula>NOT(ISERROR(SEARCH("OK",A37)))</formula>
    </cfRule>
  </conditionalFormatting>
  <conditionalFormatting sqref="A37">
    <cfRule type="containsText" dxfId="1186" priority="137" operator="containsText" text="ok">
      <formula>NOT(ISERROR(SEARCH("ok",A37)))</formula>
    </cfRule>
  </conditionalFormatting>
  <conditionalFormatting sqref="A36">
    <cfRule type="containsText" dxfId="1185" priority="140" operator="containsText" text="OK">
      <formula>NOT(ISERROR(SEARCH("OK",A36)))</formula>
    </cfRule>
  </conditionalFormatting>
  <conditionalFormatting sqref="A36">
    <cfRule type="containsText" dxfId="1184" priority="139" operator="containsText" text="ok">
      <formula>NOT(ISERROR(SEARCH("ok",A36)))</formula>
    </cfRule>
  </conditionalFormatting>
  <conditionalFormatting sqref="A11">
    <cfRule type="containsText" dxfId="1183" priority="124" operator="containsText" text="OK">
      <formula>NOT(ISERROR(SEARCH("OK",A11)))</formula>
    </cfRule>
  </conditionalFormatting>
  <conditionalFormatting sqref="A11">
    <cfRule type="containsText" dxfId="1182" priority="123" operator="containsText" text="ok">
      <formula>NOT(ISERROR(SEARCH("ok",A11)))</formula>
    </cfRule>
  </conditionalFormatting>
  <conditionalFormatting sqref="A7">
    <cfRule type="containsText" dxfId="1181" priority="132" operator="containsText" text="OK">
      <formula>NOT(ISERROR(SEARCH("OK",A7)))</formula>
    </cfRule>
  </conditionalFormatting>
  <conditionalFormatting sqref="A7">
    <cfRule type="containsText" dxfId="1180" priority="131" operator="containsText" text="ok">
      <formula>NOT(ISERROR(SEARCH("ok",A7)))</formula>
    </cfRule>
  </conditionalFormatting>
  <conditionalFormatting sqref="A8">
    <cfRule type="containsText" dxfId="1179" priority="130" operator="containsText" text="OK">
      <formula>NOT(ISERROR(SEARCH("OK",A8)))</formula>
    </cfRule>
  </conditionalFormatting>
  <conditionalFormatting sqref="A8">
    <cfRule type="containsText" dxfId="1178" priority="129" operator="containsText" text="ok">
      <formula>NOT(ISERROR(SEARCH("ok",A8)))</formula>
    </cfRule>
  </conditionalFormatting>
  <conditionalFormatting sqref="A9">
    <cfRule type="containsText" dxfId="1177" priority="120" operator="containsText" text="OK">
      <formula>NOT(ISERROR(SEARCH("OK",A9)))</formula>
    </cfRule>
  </conditionalFormatting>
  <conditionalFormatting sqref="A9">
    <cfRule type="containsText" dxfId="1176" priority="119" operator="containsText" text="ok">
      <formula>NOT(ISERROR(SEARCH("ok",A9)))</formula>
    </cfRule>
  </conditionalFormatting>
  <conditionalFormatting sqref="A10">
    <cfRule type="containsText" dxfId="1175" priority="118" operator="containsText" text="OK">
      <formula>NOT(ISERROR(SEARCH("OK",A10)))</formula>
    </cfRule>
  </conditionalFormatting>
  <conditionalFormatting sqref="A10">
    <cfRule type="containsText" dxfId="1174" priority="117" operator="containsText" text="ok">
      <formula>NOT(ISERROR(SEARCH("ok",A10)))</formula>
    </cfRule>
  </conditionalFormatting>
  <conditionalFormatting sqref="A10">
    <cfRule type="containsText" dxfId="1173" priority="116" operator="containsText" text="OK">
      <formula>NOT(ISERROR(SEARCH("OK",A10)))</formula>
    </cfRule>
  </conditionalFormatting>
  <conditionalFormatting sqref="A10">
    <cfRule type="containsText" dxfId="1172" priority="115" operator="containsText" text="ok">
      <formula>NOT(ISERROR(SEARCH("ok",A10)))</formula>
    </cfRule>
  </conditionalFormatting>
  <conditionalFormatting sqref="A11">
    <cfRule type="containsText" dxfId="1171" priority="114" operator="containsText" text="OK">
      <formula>NOT(ISERROR(SEARCH("OK",A11)))</formula>
    </cfRule>
  </conditionalFormatting>
  <conditionalFormatting sqref="A11">
    <cfRule type="containsText" dxfId="1170" priority="113" operator="containsText" text="ok">
      <formula>NOT(ISERROR(SEARCH("ok",A11)))</formula>
    </cfRule>
  </conditionalFormatting>
  <conditionalFormatting sqref="A15">
    <cfRule type="containsText" dxfId="1169" priority="112" operator="containsText" text="OK">
      <formula>NOT(ISERROR(SEARCH("OK",A15)))</formula>
    </cfRule>
  </conditionalFormatting>
  <conditionalFormatting sqref="A15">
    <cfRule type="containsText" dxfId="1168" priority="111" operator="containsText" text="ok">
      <formula>NOT(ISERROR(SEARCH("ok",A15)))</formula>
    </cfRule>
  </conditionalFormatting>
  <conditionalFormatting sqref="A11">
    <cfRule type="containsText" dxfId="1167" priority="96" operator="containsText" text="OK">
      <formula>NOT(ISERROR(SEARCH("OK",A11)))</formula>
    </cfRule>
  </conditionalFormatting>
  <conditionalFormatting sqref="A11">
    <cfRule type="containsText" dxfId="1166" priority="95" operator="containsText" text="ok">
      <formula>NOT(ISERROR(SEARCH("ok",A11)))</formula>
    </cfRule>
  </conditionalFormatting>
  <conditionalFormatting sqref="A15">
    <cfRule type="containsText" dxfId="1165" priority="106" operator="containsText" text="OK">
      <formula>NOT(ISERROR(SEARCH("OK",A15)))</formula>
    </cfRule>
  </conditionalFormatting>
  <conditionalFormatting sqref="A15">
    <cfRule type="containsText" dxfId="1164" priority="105" operator="containsText" text="ok">
      <formula>NOT(ISERROR(SEARCH("ok",A15)))</formula>
    </cfRule>
  </conditionalFormatting>
  <conditionalFormatting sqref="A13">
    <cfRule type="containsText" dxfId="1163" priority="92" operator="containsText" text="OK">
      <formula>NOT(ISERROR(SEARCH("OK",A13)))</formula>
    </cfRule>
  </conditionalFormatting>
  <conditionalFormatting sqref="A13">
    <cfRule type="containsText" dxfId="1162" priority="91" operator="containsText" text="ok">
      <formula>NOT(ISERROR(SEARCH("ok",A13)))</formula>
    </cfRule>
  </conditionalFormatting>
  <conditionalFormatting sqref="A13">
    <cfRule type="containsText" dxfId="1161" priority="102" operator="containsText" text="OK">
      <formula>NOT(ISERROR(SEARCH("OK",A13)))</formula>
    </cfRule>
  </conditionalFormatting>
  <conditionalFormatting sqref="A13">
    <cfRule type="containsText" dxfId="1160" priority="101" operator="containsText" text="ok">
      <formula>NOT(ISERROR(SEARCH("ok",A13)))</formula>
    </cfRule>
  </conditionalFormatting>
  <conditionalFormatting sqref="A13">
    <cfRule type="containsText" dxfId="1159" priority="100" operator="containsText" text="OK">
      <formula>NOT(ISERROR(SEARCH("OK",A13)))</formula>
    </cfRule>
  </conditionalFormatting>
  <conditionalFormatting sqref="A13">
    <cfRule type="containsText" dxfId="1158" priority="99" operator="containsText" text="ok">
      <formula>NOT(ISERROR(SEARCH("ok",A13)))</formula>
    </cfRule>
  </conditionalFormatting>
  <conditionalFormatting sqref="A13">
    <cfRule type="containsText" dxfId="1157" priority="83" operator="containsText" text="ok">
      <formula>NOT(ISERROR(SEARCH("ok",A13)))</formula>
    </cfRule>
  </conditionalFormatting>
  <conditionalFormatting sqref="A13">
    <cfRule type="containsText" dxfId="1156" priority="94" operator="containsText" text="OK">
      <formula>NOT(ISERROR(SEARCH("OK",A13)))</formula>
    </cfRule>
  </conditionalFormatting>
  <conditionalFormatting sqref="A13">
    <cfRule type="containsText" dxfId="1155" priority="93" operator="containsText" text="ok">
      <formula>NOT(ISERROR(SEARCH("ok",A13)))</formula>
    </cfRule>
  </conditionalFormatting>
  <conditionalFormatting sqref="A13">
    <cfRule type="containsText" dxfId="1154" priority="90" operator="containsText" text="OK">
      <formula>NOT(ISERROR(SEARCH("OK",A13)))</formula>
    </cfRule>
  </conditionalFormatting>
  <conditionalFormatting sqref="A13">
    <cfRule type="containsText" dxfId="1153" priority="89" operator="containsText" text="ok">
      <formula>NOT(ISERROR(SEARCH("ok",A13)))</formula>
    </cfRule>
  </conditionalFormatting>
  <conditionalFormatting sqref="A13">
    <cfRule type="containsText" dxfId="1152" priority="84" operator="containsText" text="OK">
      <formula>NOT(ISERROR(SEARCH("OK",A13)))</formula>
    </cfRule>
  </conditionalFormatting>
  <conditionalFormatting sqref="A31">
    <cfRule type="containsText" dxfId="1151" priority="82" operator="containsText" text="OK">
      <formula>NOT(ISERROR(SEARCH("OK",A31)))</formula>
    </cfRule>
  </conditionalFormatting>
  <conditionalFormatting sqref="A31">
    <cfRule type="containsText" dxfId="1150" priority="81" operator="containsText" text="ok">
      <formula>NOT(ISERROR(SEARCH("ok",A31)))</formula>
    </cfRule>
  </conditionalFormatting>
  <conditionalFormatting sqref="A32">
    <cfRule type="containsText" dxfId="1149" priority="80" operator="containsText" text="OK">
      <formula>NOT(ISERROR(SEARCH("OK",A32)))</formula>
    </cfRule>
  </conditionalFormatting>
  <conditionalFormatting sqref="A32">
    <cfRule type="containsText" dxfId="1148" priority="79" operator="containsText" text="ok">
      <formula>NOT(ISERROR(SEARCH("ok",A32)))</formula>
    </cfRule>
  </conditionalFormatting>
  <conditionalFormatting sqref="A33">
    <cfRule type="containsText" dxfId="1147" priority="78" operator="containsText" text="OK">
      <formula>NOT(ISERROR(SEARCH("OK",A33)))</formula>
    </cfRule>
  </conditionalFormatting>
  <conditionalFormatting sqref="A33">
    <cfRule type="containsText" dxfId="1146" priority="77" operator="containsText" text="ok">
      <formula>NOT(ISERROR(SEARCH("ok",A33)))</formula>
    </cfRule>
  </conditionalFormatting>
  <conditionalFormatting sqref="A61">
    <cfRule type="containsText" dxfId="1145" priority="76" operator="containsText" text="OK">
      <formula>NOT(ISERROR(SEARCH("OK",A61)))</formula>
    </cfRule>
  </conditionalFormatting>
  <conditionalFormatting sqref="A61">
    <cfRule type="containsText" dxfId="1144" priority="75" operator="containsText" text="ok">
      <formula>NOT(ISERROR(SEARCH("ok",A61)))</formula>
    </cfRule>
  </conditionalFormatting>
  <conditionalFormatting sqref="A67">
    <cfRule type="containsText" dxfId="1143" priority="74" operator="containsText" text="OK">
      <formula>NOT(ISERROR(SEARCH("OK",A67)))</formula>
    </cfRule>
  </conditionalFormatting>
  <conditionalFormatting sqref="A67">
    <cfRule type="containsText" dxfId="1142" priority="73" operator="containsText" text="ok">
      <formula>NOT(ISERROR(SEARCH("ok",A67)))</formula>
    </cfRule>
  </conditionalFormatting>
  <conditionalFormatting sqref="B67">
    <cfRule type="containsText" dxfId="1141" priority="72" operator="containsText" text="OK">
      <formula>NOT(ISERROR(SEARCH("OK",B67)))</formula>
    </cfRule>
  </conditionalFormatting>
  <conditionalFormatting sqref="B67">
    <cfRule type="containsText" dxfId="1140" priority="71" operator="containsText" text="ok">
      <formula>NOT(ISERROR(SEARCH("ok",B67)))</formula>
    </cfRule>
  </conditionalFormatting>
  <conditionalFormatting sqref="B68">
    <cfRule type="containsText" dxfId="1139" priority="68" operator="containsText" text="OK">
      <formula>NOT(ISERROR(SEARCH("OK",B68)))</formula>
    </cfRule>
  </conditionalFormatting>
  <conditionalFormatting sqref="B68">
    <cfRule type="containsText" dxfId="1138" priority="67" operator="containsText" text="ok">
      <formula>NOT(ISERROR(SEARCH("ok",B68)))</formula>
    </cfRule>
  </conditionalFormatting>
  <conditionalFormatting sqref="A68">
    <cfRule type="containsText" dxfId="1137" priority="70" operator="containsText" text="OK">
      <formula>NOT(ISERROR(SEARCH("OK",A68)))</formula>
    </cfRule>
  </conditionalFormatting>
  <conditionalFormatting sqref="A68">
    <cfRule type="containsText" dxfId="1136" priority="69" operator="containsText" text="ok">
      <formula>NOT(ISERROR(SEARCH("ok",A68)))</formula>
    </cfRule>
  </conditionalFormatting>
  <conditionalFormatting sqref="A68">
    <cfRule type="containsText" dxfId="1135" priority="66" operator="containsText" text="OK">
      <formula>NOT(ISERROR(SEARCH("OK",A68)))</formula>
    </cfRule>
  </conditionalFormatting>
  <conditionalFormatting sqref="A68">
    <cfRule type="containsText" dxfId="1134" priority="65" operator="containsText" text="ok">
      <formula>NOT(ISERROR(SEARCH("ok",A68)))</formula>
    </cfRule>
  </conditionalFormatting>
  <conditionalFormatting sqref="B68">
    <cfRule type="containsText" dxfId="1133" priority="64" operator="containsText" text="OK">
      <formula>NOT(ISERROR(SEARCH("OK",B68)))</formula>
    </cfRule>
  </conditionalFormatting>
  <conditionalFormatting sqref="B68">
    <cfRule type="containsText" dxfId="1132" priority="63" operator="containsText" text="ok">
      <formula>NOT(ISERROR(SEARCH("ok",B68)))</formula>
    </cfRule>
  </conditionalFormatting>
  <conditionalFormatting sqref="B67">
    <cfRule type="containsText" dxfId="1131" priority="60" operator="containsText" text="OK">
      <formula>NOT(ISERROR(SEARCH("OK",B67)))</formula>
    </cfRule>
  </conditionalFormatting>
  <conditionalFormatting sqref="B67">
    <cfRule type="containsText" dxfId="1130" priority="59" operator="containsText" text="ok">
      <formula>NOT(ISERROR(SEARCH("ok",B67)))</formula>
    </cfRule>
  </conditionalFormatting>
  <conditionalFormatting sqref="A67">
    <cfRule type="containsText" dxfId="1129" priority="62" operator="containsText" text="OK">
      <formula>NOT(ISERROR(SEARCH("OK",A67)))</formula>
    </cfRule>
  </conditionalFormatting>
  <conditionalFormatting sqref="A67">
    <cfRule type="containsText" dxfId="1128" priority="61" operator="containsText" text="ok">
      <formula>NOT(ISERROR(SEARCH("ok",A67)))</formula>
    </cfRule>
  </conditionalFormatting>
  <conditionalFormatting sqref="A71">
    <cfRule type="containsText" dxfId="1127" priority="58" operator="containsText" text="OK">
      <formula>NOT(ISERROR(SEARCH("OK",A71)))</formula>
    </cfRule>
  </conditionalFormatting>
  <conditionalFormatting sqref="A71">
    <cfRule type="containsText" dxfId="1126" priority="57" operator="containsText" text="ok">
      <formula>NOT(ISERROR(SEARCH("ok",A71)))</formula>
    </cfRule>
  </conditionalFormatting>
  <conditionalFormatting sqref="A72">
    <cfRule type="containsText" dxfId="1125" priority="56" operator="containsText" text="OK">
      <formula>NOT(ISERROR(SEARCH("OK",A72)))</formula>
    </cfRule>
  </conditionalFormatting>
  <conditionalFormatting sqref="A72">
    <cfRule type="containsText" dxfId="1124" priority="55" operator="containsText" text="ok">
      <formula>NOT(ISERROR(SEARCH("ok",A72)))</formula>
    </cfRule>
  </conditionalFormatting>
  <conditionalFormatting sqref="A14">
    <cfRule type="containsText" dxfId="1123" priority="54" operator="containsText" text="OK">
      <formula>NOT(ISERROR(SEARCH("OK",A14)))</formula>
    </cfRule>
  </conditionalFormatting>
  <conditionalFormatting sqref="A14">
    <cfRule type="containsText" dxfId="1122" priority="53" operator="containsText" text="ok">
      <formula>NOT(ISERROR(SEARCH("ok",A14)))</formula>
    </cfRule>
  </conditionalFormatting>
  <conditionalFormatting sqref="A14">
    <cfRule type="containsText" dxfId="1121" priority="52" operator="containsText" text="OK">
      <formula>NOT(ISERROR(SEARCH("OK",A14)))</formula>
    </cfRule>
  </conditionalFormatting>
  <conditionalFormatting sqref="A14">
    <cfRule type="containsText" dxfId="1120" priority="51" operator="containsText" text="ok">
      <formula>NOT(ISERROR(SEARCH("ok",A14)))</formula>
    </cfRule>
  </conditionalFormatting>
  <conditionalFormatting sqref="A14">
    <cfRule type="containsText" dxfId="1119" priority="43" operator="containsText" text="ok">
      <formula>NOT(ISERROR(SEARCH("ok",A14)))</formula>
    </cfRule>
  </conditionalFormatting>
  <conditionalFormatting sqref="A14">
    <cfRule type="containsText" dxfId="1118" priority="50" operator="containsText" text="OK">
      <formula>NOT(ISERROR(SEARCH("OK",A14)))</formula>
    </cfRule>
  </conditionalFormatting>
  <conditionalFormatting sqref="A14">
    <cfRule type="containsText" dxfId="1117" priority="49" operator="containsText" text="ok">
      <formula>NOT(ISERROR(SEARCH("ok",A14)))</formula>
    </cfRule>
  </conditionalFormatting>
  <conditionalFormatting sqref="A14">
    <cfRule type="containsText" dxfId="1116" priority="48" operator="containsText" text="OK">
      <formula>NOT(ISERROR(SEARCH("OK",A14)))</formula>
    </cfRule>
  </conditionalFormatting>
  <conditionalFormatting sqref="A14">
    <cfRule type="containsText" dxfId="1115" priority="47" operator="containsText" text="ok">
      <formula>NOT(ISERROR(SEARCH("ok",A14)))</formula>
    </cfRule>
  </conditionalFormatting>
  <conditionalFormatting sqref="A14">
    <cfRule type="containsText" dxfId="1114" priority="46" operator="containsText" text="OK">
      <formula>NOT(ISERROR(SEARCH("OK",A14)))</formula>
    </cfRule>
  </conditionalFormatting>
  <conditionalFormatting sqref="A14">
    <cfRule type="containsText" dxfId="1113" priority="45" operator="containsText" text="ok">
      <formula>NOT(ISERROR(SEARCH("ok",A14)))</formula>
    </cfRule>
  </conditionalFormatting>
  <conditionalFormatting sqref="A14">
    <cfRule type="containsText" dxfId="1112" priority="44" operator="containsText" text="OK">
      <formula>NOT(ISERROR(SEARCH("OK",A14)))</formula>
    </cfRule>
  </conditionalFormatting>
  <conditionalFormatting sqref="A31">
    <cfRule type="containsText" dxfId="1111" priority="42" operator="containsText" text="OK">
      <formula>NOT(ISERROR(SEARCH("OK",A31)))</formula>
    </cfRule>
  </conditionalFormatting>
  <conditionalFormatting sqref="A31">
    <cfRule type="containsText" dxfId="1110" priority="41" operator="containsText" text="ok">
      <formula>NOT(ISERROR(SEARCH("ok",A31)))</formula>
    </cfRule>
  </conditionalFormatting>
  <conditionalFormatting sqref="A32">
    <cfRule type="containsText" dxfId="1109" priority="40" operator="containsText" text="OK">
      <formula>NOT(ISERROR(SEARCH("OK",A32)))</formula>
    </cfRule>
  </conditionalFormatting>
  <conditionalFormatting sqref="A32">
    <cfRule type="containsText" dxfId="1108" priority="39" operator="containsText" text="ok">
      <formula>NOT(ISERROR(SEARCH("ok",A32)))</formula>
    </cfRule>
  </conditionalFormatting>
  <conditionalFormatting sqref="A65">
    <cfRule type="containsText" dxfId="1107" priority="38" operator="containsText" text="OK">
      <formula>NOT(ISERROR(SEARCH("OK",A65)))</formula>
    </cfRule>
  </conditionalFormatting>
  <conditionalFormatting sqref="A65">
    <cfRule type="containsText" dxfId="1106" priority="37" operator="containsText" text="ok">
      <formula>NOT(ISERROR(SEARCH("ok",A65)))</formula>
    </cfRule>
  </conditionalFormatting>
  <conditionalFormatting sqref="A66">
    <cfRule type="containsText" dxfId="1105" priority="36" operator="containsText" text="OK">
      <formula>NOT(ISERROR(SEARCH("OK",A66)))</formula>
    </cfRule>
  </conditionalFormatting>
  <conditionalFormatting sqref="A66">
    <cfRule type="containsText" dxfId="1104" priority="35" operator="containsText" text="ok">
      <formula>NOT(ISERROR(SEARCH("ok",A66)))</formula>
    </cfRule>
  </conditionalFormatting>
  <conditionalFormatting sqref="B52">
    <cfRule type="containsText" dxfId="1103" priority="34" operator="containsText" text="OK">
      <formula>NOT(ISERROR(SEARCH("OK",B52)))</formula>
    </cfRule>
  </conditionalFormatting>
  <conditionalFormatting sqref="B52">
    <cfRule type="containsText" dxfId="1102" priority="33" operator="containsText" text="ok">
      <formula>NOT(ISERROR(SEARCH("ok",B52)))</formula>
    </cfRule>
  </conditionalFormatting>
  <conditionalFormatting sqref="B51">
    <cfRule type="containsText" dxfId="1101" priority="32" operator="containsText" text="OK">
      <formula>NOT(ISERROR(SEARCH("OK",B51)))</formula>
    </cfRule>
  </conditionalFormatting>
  <conditionalFormatting sqref="B51">
    <cfRule type="containsText" dxfId="1100" priority="31" operator="containsText" text="ok">
      <formula>NOT(ISERROR(SEARCH("ok",B51)))</formula>
    </cfRule>
  </conditionalFormatting>
  <conditionalFormatting sqref="A50">
    <cfRule type="containsText" dxfId="1099" priority="30" operator="containsText" text="OK">
      <formula>NOT(ISERROR(SEARCH("OK",A50)))</formula>
    </cfRule>
  </conditionalFormatting>
  <conditionalFormatting sqref="A50">
    <cfRule type="containsText" dxfId="1098" priority="29" operator="containsText" text="ok">
      <formula>NOT(ISERROR(SEARCH("ok",A50)))</formula>
    </cfRule>
  </conditionalFormatting>
  <conditionalFormatting sqref="A51">
    <cfRule type="containsText" dxfId="1097" priority="28" operator="containsText" text="OK">
      <formula>NOT(ISERROR(SEARCH("OK",A51)))</formula>
    </cfRule>
  </conditionalFormatting>
  <conditionalFormatting sqref="A51">
    <cfRule type="containsText" dxfId="1096" priority="27" operator="containsText" text="ok">
      <formula>NOT(ISERROR(SEARCH("ok",A51)))</formula>
    </cfRule>
  </conditionalFormatting>
  <conditionalFormatting sqref="A52">
    <cfRule type="containsText" dxfId="1095" priority="26" operator="containsText" text="OK">
      <formula>NOT(ISERROR(SEARCH("OK",A52)))</formula>
    </cfRule>
  </conditionalFormatting>
  <conditionalFormatting sqref="A52">
    <cfRule type="containsText" dxfId="1094" priority="25" operator="containsText" text="ok">
      <formula>NOT(ISERROR(SEARCH("ok",A52)))</formula>
    </cfRule>
  </conditionalFormatting>
  <conditionalFormatting sqref="B6">
    <cfRule type="containsText" dxfId="1093" priority="24" operator="containsText" text="OK">
      <formula>NOT(ISERROR(SEARCH("OK",B6)))</formula>
    </cfRule>
  </conditionalFormatting>
  <conditionalFormatting sqref="B6">
    <cfRule type="containsText" dxfId="1092" priority="23" operator="containsText" text="ok">
      <formula>NOT(ISERROR(SEARCH("ok",B6)))</formula>
    </cfRule>
  </conditionalFormatting>
  <conditionalFormatting sqref="B5">
    <cfRule type="containsText" dxfId="1091" priority="22" operator="containsText" text="OK">
      <formula>NOT(ISERROR(SEARCH("OK",B5)))</formula>
    </cfRule>
  </conditionalFormatting>
  <conditionalFormatting sqref="B5">
    <cfRule type="containsText" dxfId="1090" priority="21" operator="containsText" text="ok">
      <formula>NOT(ISERROR(SEARCH("ok",B5)))</formula>
    </cfRule>
  </conditionalFormatting>
  <conditionalFormatting sqref="A4">
    <cfRule type="containsText" dxfId="1089" priority="20" operator="containsText" text="OK">
      <formula>NOT(ISERROR(SEARCH("OK",A4)))</formula>
    </cfRule>
  </conditionalFormatting>
  <conditionalFormatting sqref="A4">
    <cfRule type="containsText" dxfId="1088" priority="19" operator="containsText" text="ok">
      <formula>NOT(ISERROR(SEARCH("ok",A4)))</formula>
    </cfRule>
  </conditionalFormatting>
  <conditionalFormatting sqref="A5">
    <cfRule type="containsText" dxfId="1087" priority="18" operator="containsText" text="OK">
      <formula>NOT(ISERROR(SEARCH("OK",A5)))</formula>
    </cfRule>
  </conditionalFormatting>
  <conditionalFormatting sqref="A5">
    <cfRule type="containsText" dxfId="1086" priority="17" operator="containsText" text="ok">
      <formula>NOT(ISERROR(SEARCH("ok",A5)))</formula>
    </cfRule>
  </conditionalFormatting>
  <conditionalFormatting sqref="A6">
    <cfRule type="containsText" dxfId="1085" priority="16" operator="containsText" text="OK">
      <formula>NOT(ISERROR(SEARCH("OK",A6)))</formula>
    </cfRule>
  </conditionalFormatting>
  <conditionalFormatting sqref="A6">
    <cfRule type="containsText" dxfId="1084" priority="15" operator="containsText" text="ok">
      <formula>NOT(ISERROR(SEARCH("ok",A6)))</formula>
    </cfRule>
  </conditionalFormatting>
  <conditionalFormatting sqref="A12">
    <cfRule type="containsText" dxfId="1083" priority="14" operator="containsText" text="OK">
      <formula>NOT(ISERROR(SEARCH("OK",A12)))</formula>
    </cfRule>
  </conditionalFormatting>
  <conditionalFormatting sqref="A12">
    <cfRule type="containsText" dxfId="1082" priority="13" operator="containsText" text="ok">
      <formula>NOT(ISERROR(SEARCH("ok",A12)))</formula>
    </cfRule>
  </conditionalFormatting>
  <conditionalFormatting sqref="A12">
    <cfRule type="containsText" dxfId="1081" priority="12" operator="containsText" text="OK">
      <formula>NOT(ISERROR(SEARCH("OK",A12)))</formula>
    </cfRule>
  </conditionalFormatting>
  <conditionalFormatting sqref="A12">
    <cfRule type="containsText" dxfId="1080" priority="11" operator="containsText" text="ok">
      <formula>NOT(ISERROR(SEARCH("ok",A12)))</formula>
    </cfRule>
  </conditionalFormatting>
  <conditionalFormatting sqref="A12">
    <cfRule type="containsText" dxfId="1079" priority="10" operator="containsText" text="OK">
      <formula>NOT(ISERROR(SEARCH("OK",A12)))</formula>
    </cfRule>
  </conditionalFormatting>
  <conditionalFormatting sqref="A12">
    <cfRule type="containsText" dxfId="1078" priority="9" operator="containsText" text="ok">
      <formula>NOT(ISERROR(SEARCH("ok",A12)))</formula>
    </cfRule>
  </conditionalFormatting>
  <conditionalFormatting sqref="A26">
    <cfRule type="containsText" dxfId="1077" priority="8" operator="containsText" text="OK">
      <formula>NOT(ISERROR(SEARCH("OK",A26)))</formula>
    </cfRule>
  </conditionalFormatting>
  <conditionalFormatting sqref="A26">
    <cfRule type="containsText" dxfId="1076" priority="7" operator="containsText" text="ok">
      <formula>NOT(ISERROR(SEARCH("ok",A26)))</formula>
    </cfRule>
  </conditionalFormatting>
  <conditionalFormatting sqref="A39:A40">
    <cfRule type="containsText" dxfId="1075" priority="6" operator="containsText" text="OK">
      <formula>NOT(ISERROR(SEARCH("OK",A39)))</formula>
    </cfRule>
  </conditionalFormatting>
  <conditionalFormatting sqref="A39:A40">
    <cfRule type="containsText" dxfId="1074" priority="5" operator="containsText" text="ok">
      <formula>NOT(ISERROR(SEARCH("ok",A39)))</formula>
    </cfRule>
  </conditionalFormatting>
  <conditionalFormatting sqref="A62">
    <cfRule type="containsText" dxfId="1073" priority="4" operator="containsText" text="OK">
      <formula>NOT(ISERROR(SEARCH("OK",A62)))</formula>
    </cfRule>
  </conditionalFormatting>
  <conditionalFormatting sqref="A62">
    <cfRule type="containsText" dxfId="1072" priority="3" operator="containsText" text="ok">
      <formula>NOT(ISERROR(SEARCH("ok",A62)))</formula>
    </cfRule>
  </conditionalFormatting>
  <conditionalFormatting sqref="A63">
    <cfRule type="containsText" dxfId="1071" priority="2" operator="containsText" text="OK">
      <formula>NOT(ISERROR(SEARCH("OK",A63)))</formula>
    </cfRule>
  </conditionalFormatting>
  <conditionalFormatting sqref="A63">
    <cfRule type="containsText" dxfId="1070" priority="1" operator="containsText" text="ok">
      <formula>NOT(ISERROR(SEARCH("ok",A63)))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33" max="16383" man="1"/>
  </rowBreaks>
  <colBreaks count="1" manualBreakCount="1">
    <brk id="1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48576"/>
  <sheetViews>
    <sheetView zoomScale="86" zoomScaleNormal="86" workbookViewId="0">
      <pane xSplit="3" ySplit="3" topLeftCell="D75" activePane="bottomRight" state="frozen"/>
      <selection activeCell="C83" sqref="C83"/>
      <selection pane="topRight" activeCell="C83" sqref="C83"/>
      <selection pane="bottomLeft" activeCell="C83" sqref="C83"/>
      <selection pane="bottomRight" activeCell="E4" sqref="E4:E88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187" customWidth="1"/>
    <col min="4" max="4" width="14.54296875" style="187" bestFit="1" customWidth="1"/>
    <col min="5" max="5" width="13.1796875" style="187" bestFit="1" customWidth="1"/>
    <col min="6" max="6" width="11.54296875" style="5" bestFit="1" customWidth="1"/>
    <col min="7" max="7" width="15.7265625" style="6" bestFit="1" customWidth="1"/>
    <col min="8" max="8" width="8.81640625" style="187" hidden="1" customWidth="1"/>
    <col min="9" max="9" width="13.26953125" style="187" hidden="1" customWidth="1"/>
    <col min="10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187" hidden="1" customWidth="1"/>
    <col min="21" max="21" width="10.26953125" style="7" hidden="1" customWidth="1"/>
    <col min="22" max="22" width="9.81640625" style="187" hidden="1" customWidth="1"/>
    <col min="23" max="23" width="18.81640625" style="187" hidden="1" customWidth="1"/>
    <col min="24" max="24" width="30.26953125" style="187" customWidth="1"/>
    <col min="25" max="25" width="14.7265625" style="187" bestFit="1" customWidth="1"/>
    <col min="26" max="26" width="5" style="187" bestFit="1" customWidth="1"/>
    <col min="27" max="27" width="15.7265625" style="187" bestFit="1" customWidth="1"/>
    <col min="28" max="28" width="14" style="187" bestFit="1" customWidth="1"/>
    <col min="29" max="16384" width="9.1796875" style="187"/>
  </cols>
  <sheetData>
    <row r="1" spans="1:27" x14ac:dyDescent="0.35">
      <c r="A1" s="226" t="s">
        <v>2</v>
      </c>
      <c r="B1" s="192" t="s">
        <v>2</v>
      </c>
      <c r="C1" s="193"/>
      <c r="D1" s="320">
        <f>D102</f>
        <v>245</v>
      </c>
      <c r="E1" s="193"/>
      <c r="F1" s="193"/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19" t="s">
        <v>3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2" t="s">
        <v>16</v>
      </c>
      <c r="X2" s="718" t="s">
        <v>16</v>
      </c>
    </row>
    <row r="3" spans="1:27" ht="29.5" thickBot="1" x14ac:dyDescent="0.4">
      <c r="A3" s="717"/>
      <c r="B3" s="719"/>
      <c r="C3" s="719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2"/>
      <c r="X3" s="718"/>
      <c r="Y3" s="8"/>
    </row>
    <row r="4" spans="1:27" ht="15" customHeight="1" x14ac:dyDescent="0.35">
      <c r="A4" s="245">
        <v>45138</v>
      </c>
      <c r="B4" s="246"/>
      <c r="C4" s="211" t="s">
        <v>324</v>
      </c>
      <c r="D4" s="15"/>
      <c r="E4" s="15">
        <v>1</v>
      </c>
      <c r="F4" s="9">
        <v>850</v>
      </c>
      <c r="G4" s="29">
        <f t="shared" ref="G4:G67" si="0">(F4*D4)+(E4*F4)</f>
        <v>850</v>
      </c>
      <c r="H4" s="11"/>
      <c r="I4" s="10"/>
      <c r="J4" s="29">
        <f t="shared" ref="J4:J67" si="1">H4*I4</f>
        <v>0</v>
      </c>
      <c r="K4" s="29"/>
      <c r="L4" s="223">
        <f>(J4+G4)-K4</f>
        <v>850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>IF(O4&gt;0,SUM(O4-(L4+P4))," ")</f>
        <v xml:space="preserve"> </v>
      </c>
      <c r="S4" s="189"/>
      <c r="T4" s="253" t="s">
        <v>1</v>
      </c>
      <c r="U4" s="13">
        <v>0</v>
      </c>
      <c r="V4" s="253" t="s">
        <v>10</v>
      </c>
      <c r="W4" s="253"/>
      <c r="X4" s="14"/>
    </row>
    <row r="5" spans="1:27" ht="15" customHeight="1" x14ac:dyDescent="0.35">
      <c r="A5" s="245">
        <v>45140</v>
      </c>
      <c r="B5" s="246"/>
      <c r="C5" s="211" t="s">
        <v>318</v>
      </c>
      <c r="D5" s="15">
        <v>1</v>
      </c>
      <c r="E5" s="15"/>
      <c r="F5" s="9">
        <v>850</v>
      </c>
      <c r="G5" s="29">
        <f t="shared" si="0"/>
        <v>850</v>
      </c>
      <c r="H5" s="11"/>
      <c r="I5" s="10"/>
      <c r="J5" s="29">
        <f t="shared" si="1"/>
        <v>0</v>
      </c>
      <c r="K5" s="29"/>
      <c r="L5" s="223">
        <f t="shared" ref="L5:L68" si="2">(J5+G5)-K5</f>
        <v>850</v>
      </c>
      <c r="M5" s="12"/>
      <c r="N5" s="218" t="str">
        <f t="shared" ref="N5:N61" si="3">IF(M5&gt;0,SUM(L5-M5)," ")</f>
        <v xml:space="preserve"> </v>
      </c>
      <c r="O5" s="189"/>
      <c r="P5" s="189"/>
      <c r="Q5" s="189"/>
      <c r="R5" s="189" t="str">
        <f t="shared" ref="R5:R100" si="4">IF(O5&gt;0,SUM(O5-(L5+P5))," ")</f>
        <v xml:space="preserve"> </v>
      </c>
      <c r="S5" s="189"/>
      <c r="T5" s="253" t="s">
        <v>1</v>
      </c>
      <c r="U5" s="13">
        <v>0</v>
      </c>
      <c r="V5" s="253" t="s">
        <v>10</v>
      </c>
      <c r="W5" s="253"/>
      <c r="X5" s="14"/>
    </row>
    <row r="6" spans="1:27" ht="15" customHeight="1" x14ac:dyDescent="0.35">
      <c r="A6" s="245">
        <v>45140</v>
      </c>
      <c r="B6" s="246"/>
      <c r="C6" s="211" t="s">
        <v>330</v>
      </c>
      <c r="D6" s="15"/>
      <c r="E6" s="15">
        <v>1</v>
      </c>
      <c r="F6" s="9">
        <v>820</v>
      </c>
      <c r="G6" s="29">
        <f t="shared" si="0"/>
        <v>820</v>
      </c>
      <c r="H6" s="11"/>
      <c r="I6" s="10"/>
      <c r="J6" s="29">
        <f t="shared" si="1"/>
        <v>0</v>
      </c>
      <c r="K6" s="29"/>
      <c r="L6" s="223">
        <f t="shared" si="2"/>
        <v>820</v>
      </c>
      <c r="M6" s="213"/>
      <c r="N6" s="218" t="str">
        <f t="shared" si="3"/>
        <v xml:space="preserve"> </v>
      </c>
      <c r="O6" s="189"/>
      <c r="P6" s="189"/>
      <c r="Q6" s="189"/>
      <c r="R6" s="189" t="str">
        <f t="shared" si="4"/>
        <v xml:space="preserve"> </v>
      </c>
      <c r="S6" s="189"/>
      <c r="T6" s="253" t="s">
        <v>1</v>
      </c>
      <c r="U6" s="13">
        <v>0</v>
      </c>
      <c r="V6" s="253" t="s">
        <v>10</v>
      </c>
      <c r="W6" s="253"/>
      <c r="X6" s="17"/>
    </row>
    <row r="7" spans="1:27" ht="15" customHeight="1" x14ac:dyDescent="0.35">
      <c r="A7" s="245">
        <v>45140</v>
      </c>
      <c r="B7" s="246"/>
      <c r="C7" s="211" t="s">
        <v>279</v>
      </c>
      <c r="D7" s="15">
        <v>3</v>
      </c>
      <c r="E7" s="15"/>
      <c r="F7" s="9">
        <v>800</v>
      </c>
      <c r="G7" s="29">
        <f t="shared" si="0"/>
        <v>2400</v>
      </c>
      <c r="H7" s="11"/>
      <c r="I7" s="10"/>
      <c r="J7" s="29">
        <f t="shared" si="1"/>
        <v>0</v>
      </c>
      <c r="K7" s="29"/>
      <c r="L7" s="223">
        <f t="shared" si="2"/>
        <v>2400</v>
      </c>
      <c r="M7" s="12"/>
      <c r="N7" s="218" t="str">
        <f t="shared" si="3"/>
        <v xml:space="preserve"> </v>
      </c>
      <c r="O7" s="189"/>
      <c r="P7" s="189"/>
      <c r="Q7" s="189"/>
      <c r="R7" s="189" t="str">
        <f t="shared" si="4"/>
        <v xml:space="preserve"> </v>
      </c>
      <c r="S7" s="189"/>
      <c r="T7" s="253" t="s">
        <v>1</v>
      </c>
      <c r="U7" s="13">
        <v>0</v>
      </c>
      <c r="V7" s="253" t="s">
        <v>10</v>
      </c>
      <c r="W7" s="253"/>
      <c r="X7" s="16"/>
    </row>
    <row r="8" spans="1:27" ht="15" customHeight="1" x14ac:dyDescent="0.35">
      <c r="A8" s="245">
        <v>45140</v>
      </c>
      <c r="B8" s="246"/>
      <c r="C8" s="211" t="s">
        <v>415</v>
      </c>
      <c r="D8" s="15">
        <v>4</v>
      </c>
      <c r="E8" s="15"/>
      <c r="F8" s="9">
        <v>830</v>
      </c>
      <c r="G8" s="29">
        <f t="shared" si="0"/>
        <v>3320</v>
      </c>
      <c r="H8" s="11"/>
      <c r="I8" s="10"/>
      <c r="J8" s="29">
        <f t="shared" si="1"/>
        <v>0</v>
      </c>
      <c r="K8" s="29"/>
      <c r="L8" s="223">
        <f t="shared" si="2"/>
        <v>3320</v>
      </c>
      <c r="M8" s="12"/>
      <c r="N8" s="218" t="str">
        <f t="shared" si="3"/>
        <v xml:space="preserve"> </v>
      </c>
      <c r="O8" s="189">
        <v>1400</v>
      </c>
      <c r="P8" s="189"/>
      <c r="Q8" s="189"/>
      <c r="R8" s="189">
        <f t="shared" si="4"/>
        <v>-1920</v>
      </c>
      <c r="S8" s="189"/>
      <c r="T8" s="253" t="s">
        <v>83</v>
      </c>
      <c r="U8" s="13">
        <v>0</v>
      </c>
      <c r="V8" s="253" t="s">
        <v>10</v>
      </c>
      <c r="W8" s="253" t="s">
        <v>84</v>
      </c>
      <c r="X8" s="16"/>
      <c r="Y8" s="187" t="s">
        <v>0</v>
      </c>
      <c r="Z8" s="187" t="s">
        <v>8</v>
      </c>
      <c r="AA8" s="249">
        <f>G101</f>
        <v>202040</v>
      </c>
    </row>
    <row r="9" spans="1:27" ht="15" customHeight="1" x14ac:dyDescent="0.35">
      <c r="A9" s="245">
        <v>45140</v>
      </c>
      <c r="B9" s="246"/>
      <c r="C9" s="211" t="s">
        <v>153</v>
      </c>
      <c r="D9" s="15">
        <v>1</v>
      </c>
      <c r="E9" s="15"/>
      <c r="F9" s="9">
        <v>850</v>
      </c>
      <c r="G9" s="29">
        <f t="shared" si="0"/>
        <v>850</v>
      </c>
      <c r="H9" s="11"/>
      <c r="I9" s="10"/>
      <c r="J9" s="29">
        <f t="shared" si="1"/>
        <v>0</v>
      </c>
      <c r="K9" s="29"/>
      <c r="L9" s="223">
        <f t="shared" si="2"/>
        <v>850</v>
      </c>
      <c r="M9" s="12"/>
      <c r="N9" s="218" t="str">
        <f t="shared" si="3"/>
        <v xml:space="preserve"> </v>
      </c>
      <c r="O9" s="189"/>
      <c r="P9" s="189"/>
      <c r="Q9" s="189"/>
      <c r="R9" s="189" t="str">
        <f t="shared" si="4"/>
        <v xml:space="preserve"> </v>
      </c>
      <c r="S9" s="189"/>
      <c r="T9" s="18" t="s">
        <v>1</v>
      </c>
      <c r="U9" s="13">
        <v>0</v>
      </c>
      <c r="V9" s="253" t="s">
        <v>10</v>
      </c>
      <c r="W9" s="253"/>
      <c r="X9" s="16"/>
      <c r="Y9" s="187">
        <v>720</v>
      </c>
      <c r="AA9" s="191">
        <f>Y9*Z9</f>
        <v>0</v>
      </c>
    </row>
    <row r="10" spans="1:27" ht="15" customHeight="1" x14ac:dyDescent="0.35">
      <c r="A10" s="245">
        <v>45141</v>
      </c>
      <c r="B10" s="246"/>
      <c r="C10" s="211" t="s">
        <v>321</v>
      </c>
      <c r="D10" s="15">
        <v>1</v>
      </c>
      <c r="E10" s="15"/>
      <c r="F10" s="9">
        <v>850</v>
      </c>
      <c r="G10" s="29">
        <f t="shared" si="0"/>
        <v>850</v>
      </c>
      <c r="H10" s="11"/>
      <c r="I10" s="10"/>
      <c r="J10" s="29">
        <f t="shared" si="1"/>
        <v>0</v>
      </c>
      <c r="K10" s="29"/>
      <c r="L10" s="223">
        <f t="shared" si="2"/>
        <v>850</v>
      </c>
      <c r="M10" s="12"/>
      <c r="N10" s="218" t="str">
        <f t="shared" si="3"/>
        <v xml:space="preserve"> </v>
      </c>
      <c r="O10" s="189"/>
      <c r="P10" s="189"/>
      <c r="Q10" s="189"/>
      <c r="R10" s="189" t="str">
        <f t="shared" si="4"/>
        <v xml:space="preserve"> </v>
      </c>
      <c r="S10" s="189"/>
      <c r="T10" s="18" t="s">
        <v>1</v>
      </c>
      <c r="U10" s="13">
        <v>0</v>
      </c>
      <c r="V10" s="253" t="s">
        <v>10</v>
      </c>
      <c r="W10" s="253"/>
      <c r="X10" s="16"/>
      <c r="Y10" s="187">
        <v>750</v>
      </c>
      <c r="AA10" s="191">
        <f>Y10*Z10</f>
        <v>0</v>
      </c>
    </row>
    <row r="11" spans="1:27" ht="15" customHeight="1" x14ac:dyDescent="0.35">
      <c r="A11" s="245">
        <v>45141</v>
      </c>
      <c r="B11" s="246"/>
      <c r="C11" s="211" t="s">
        <v>323</v>
      </c>
      <c r="D11" s="15">
        <v>1</v>
      </c>
      <c r="E11" s="15"/>
      <c r="F11" s="9">
        <v>850</v>
      </c>
      <c r="G11" s="29">
        <f t="shared" si="0"/>
        <v>850</v>
      </c>
      <c r="H11" s="11"/>
      <c r="I11" s="10"/>
      <c r="J11" s="29">
        <f t="shared" si="1"/>
        <v>0</v>
      </c>
      <c r="K11" s="29"/>
      <c r="L11" s="223">
        <f t="shared" si="2"/>
        <v>850</v>
      </c>
      <c r="M11" s="213"/>
      <c r="N11" s="218" t="str">
        <f t="shared" si="3"/>
        <v xml:space="preserve"> </v>
      </c>
      <c r="O11" s="189"/>
      <c r="P11" s="189"/>
      <c r="Q11" s="189"/>
      <c r="R11" s="189" t="str">
        <f t="shared" si="4"/>
        <v xml:space="preserve"> </v>
      </c>
      <c r="S11" s="189"/>
      <c r="T11" s="18" t="s">
        <v>1</v>
      </c>
      <c r="U11" s="13">
        <v>0</v>
      </c>
      <c r="V11" s="253" t="s">
        <v>10</v>
      </c>
      <c r="W11" s="253"/>
      <c r="X11" s="16"/>
      <c r="Y11" s="187">
        <v>780</v>
      </c>
      <c r="AA11" s="191">
        <f>Y11*Z11</f>
        <v>0</v>
      </c>
    </row>
    <row r="12" spans="1:27" ht="15" customHeight="1" x14ac:dyDescent="0.35">
      <c r="A12" s="245">
        <v>45141</v>
      </c>
      <c r="B12" s="246"/>
      <c r="C12" s="211" t="s">
        <v>346</v>
      </c>
      <c r="D12" s="15">
        <v>1</v>
      </c>
      <c r="E12" s="15"/>
      <c r="F12" s="9">
        <v>820</v>
      </c>
      <c r="G12" s="29">
        <f t="shared" si="0"/>
        <v>820</v>
      </c>
      <c r="H12" s="11"/>
      <c r="I12" s="10"/>
      <c r="J12" s="29">
        <f t="shared" si="1"/>
        <v>0</v>
      </c>
      <c r="K12" s="29"/>
      <c r="L12" s="223">
        <f t="shared" si="2"/>
        <v>820</v>
      </c>
      <c r="M12" s="12"/>
      <c r="N12" s="218" t="str">
        <f t="shared" si="3"/>
        <v xml:space="preserve"> </v>
      </c>
      <c r="O12" s="189"/>
      <c r="P12" s="189"/>
      <c r="Q12" s="189"/>
      <c r="R12" s="189" t="str">
        <f t="shared" si="4"/>
        <v xml:space="preserve"> </v>
      </c>
      <c r="S12" s="189"/>
      <c r="T12" s="253" t="s">
        <v>1</v>
      </c>
      <c r="U12" s="13">
        <v>0</v>
      </c>
      <c r="V12" s="253" t="s">
        <v>10</v>
      </c>
      <c r="W12" s="253"/>
      <c r="X12" s="17"/>
      <c r="Y12" s="187">
        <v>800</v>
      </c>
      <c r="AA12" s="191">
        <f>Y12*Z12</f>
        <v>0</v>
      </c>
    </row>
    <row r="13" spans="1:27" ht="15" customHeight="1" x14ac:dyDescent="0.35">
      <c r="A13" s="245">
        <v>45141</v>
      </c>
      <c r="B13" s="246"/>
      <c r="C13" s="211" t="s">
        <v>152</v>
      </c>
      <c r="D13" s="15">
        <v>8</v>
      </c>
      <c r="E13" s="15"/>
      <c r="F13" s="9">
        <v>830</v>
      </c>
      <c r="G13" s="29">
        <f t="shared" si="0"/>
        <v>6640</v>
      </c>
      <c r="H13" s="11"/>
      <c r="I13" s="10"/>
      <c r="J13" s="29">
        <f t="shared" si="1"/>
        <v>0</v>
      </c>
      <c r="K13" s="29"/>
      <c r="L13" s="223">
        <f t="shared" si="2"/>
        <v>6640</v>
      </c>
      <c r="M13" s="213"/>
      <c r="N13" s="218" t="str">
        <f t="shared" si="3"/>
        <v xml:space="preserve"> </v>
      </c>
      <c r="O13" s="189">
        <v>440</v>
      </c>
      <c r="P13" s="189"/>
      <c r="Q13" s="189"/>
      <c r="R13" s="189">
        <f t="shared" si="4"/>
        <v>-6200</v>
      </c>
      <c r="S13" s="189">
        <f>P13-Q13</f>
        <v>0</v>
      </c>
      <c r="T13" s="253" t="s">
        <v>1</v>
      </c>
      <c r="U13" s="13">
        <v>30</v>
      </c>
      <c r="V13" s="253" t="s">
        <v>10</v>
      </c>
      <c r="W13" s="253" t="s">
        <v>92</v>
      </c>
      <c r="X13" s="16"/>
      <c r="AA13" s="251">
        <f>AA8-(SUM(AA9:AA12))</f>
        <v>202040</v>
      </c>
    </row>
    <row r="14" spans="1:27" ht="15" customHeight="1" x14ac:dyDescent="0.35">
      <c r="A14" s="245">
        <v>45141</v>
      </c>
      <c r="B14" s="246"/>
      <c r="C14" s="212" t="s">
        <v>112</v>
      </c>
      <c r="D14" s="15">
        <v>10</v>
      </c>
      <c r="E14" s="15"/>
      <c r="F14" s="9">
        <v>820</v>
      </c>
      <c r="G14" s="29">
        <f t="shared" si="0"/>
        <v>8200</v>
      </c>
      <c r="H14" s="11"/>
      <c r="I14" s="10"/>
      <c r="J14" s="29">
        <f t="shared" si="1"/>
        <v>0</v>
      </c>
      <c r="K14" s="29"/>
      <c r="L14" s="223">
        <f t="shared" si="2"/>
        <v>8200</v>
      </c>
      <c r="M14" s="12"/>
      <c r="N14" s="218" t="str">
        <f t="shared" si="3"/>
        <v xml:space="preserve"> </v>
      </c>
      <c r="O14" s="190"/>
      <c r="P14" s="190"/>
      <c r="Q14" s="190"/>
      <c r="R14" s="189" t="str">
        <f t="shared" si="4"/>
        <v xml:space="preserve"> </v>
      </c>
      <c r="S14" s="190"/>
      <c r="T14" s="253"/>
      <c r="U14" s="19"/>
      <c r="V14" s="253"/>
      <c r="W14" s="253"/>
      <c r="X14" s="16"/>
    </row>
    <row r="15" spans="1:27" ht="15" customHeight="1" x14ac:dyDescent="0.35">
      <c r="A15" s="245">
        <v>45141</v>
      </c>
      <c r="B15" s="246"/>
      <c r="C15" s="211" t="s">
        <v>279</v>
      </c>
      <c r="D15" s="15"/>
      <c r="E15" s="15">
        <v>6</v>
      </c>
      <c r="F15" s="9">
        <v>800</v>
      </c>
      <c r="G15" s="29">
        <f t="shared" si="0"/>
        <v>4800</v>
      </c>
      <c r="H15" s="11"/>
      <c r="I15" s="10"/>
      <c r="J15" s="29">
        <f t="shared" si="1"/>
        <v>0</v>
      </c>
      <c r="K15" s="29"/>
      <c r="L15" s="223">
        <f t="shared" si="2"/>
        <v>4800</v>
      </c>
      <c r="M15" s="12"/>
      <c r="N15" s="218" t="str">
        <f t="shared" si="3"/>
        <v xml:space="preserve"> </v>
      </c>
      <c r="O15" s="190"/>
      <c r="P15" s="190"/>
      <c r="Q15" s="190"/>
      <c r="R15" s="189" t="str">
        <f t="shared" si="4"/>
        <v xml:space="preserve"> </v>
      </c>
      <c r="S15" s="190"/>
      <c r="T15" s="253"/>
      <c r="U15" s="19"/>
      <c r="V15" s="253"/>
      <c r="W15" s="253"/>
      <c r="X15" s="16"/>
    </row>
    <row r="16" spans="1:27" ht="15" customHeight="1" x14ac:dyDescent="0.35">
      <c r="A16" s="246">
        <v>45141</v>
      </c>
      <c r="B16" s="245"/>
      <c r="C16" s="212" t="s">
        <v>330</v>
      </c>
      <c r="D16" s="15"/>
      <c r="E16" s="15">
        <v>6</v>
      </c>
      <c r="F16" s="9">
        <v>820</v>
      </c>
      <c r="G16" s="29">
        <f t="shared" si="0"/>
        <v>4920</v>
      </c>
      <c r="H16" s="11"/>
      <c r="I16" s="10"/>
      <c r="J16" s="29">
        <f t="shared" si="1"/>
        <v>0</v>
      </c>
      <c r="K16" s="29"/>
      <c r="L16" s="223">
        <f t="shared" si="2"/>
        <v>4920</v>
      </c>
      <c r="M16" s="12"/>
      <c r="N16" s="218" t="str">
        <f t="shared" si="3"/>
        <v xml:space="preserve"> </v>
      </c>
      <c r="O16" s="189"/>
      <c r="P16" s="189"/>
      <c r="Q16" s="189"/>
      <c r="R16" s="189" t="str">
        <f t="shared" si="4"/>
        <v xml:space="preserve"> </v>
      </c>
      <c r="S16" s="189"/>
      <c r="T16" s="253"/>
      <c r="U16" s="13"/>
      <c r="V16" s="253"/>
      <c r="W16" s="253"/>
      <c r="X16" s="16"/>
    </row>
    <row r="17" spans="1:24" ht="15" customHeight="1" x14ac:dyDescent="0.35">
      <c r="A17" s="246">
        <v>45142</v>
      </c>
      <c r="B17" s="245"/>
      <c r="C17" s="212" t="s">
        <v>153</v>
      </c>
      <c r="D17" s="15">
        <v>1</v>
      </c>
      <c r="E17" s="15"/>
      <c r="F17" s="9">
        <v>850</v>
      </c>
      <c r="G17" s="29">
        <f t="shared" si="0"/>
        <v>850</v>
      </c>
      <c r="H17" s="11"/>
      <c r="I17" s="10"/>
      <c r="J17" s="29">
        <f t="shared" si="1"/>
        <v>0</v>
      </c>
      <c r="K17" s="29"/>
      <c r="L17" s="223">
        <f t="shared" si="2"/>
        <v>850</v>
      </c>
      <c r="M17" s="223"/>
      <c r="N17" s="218" t="str">
        <f t="shared" si="3"/>
        <v xml:space="preserve"> </v>
      </c>
      <c r="O17" s="189"/>
      <c r="P17" s="189"/>
      <c r="Q17" s="189"/>
      <c r="R17" s="189" t="str">
        <f t="shared" si="4"/>
        <v xml:space="preserve"> </v>
      </c>
      <c r="S17" s="189"/>
      <c r="T17" s="253"/>
      <c r="U17" s="13"/>
      <c r="V17" s="253"/>
      <c r="W17" s="253"/>
      <c r="X17" s="16"/>
    </row>
    <row r="18" spans="1:24" ht="15" customHeight="1" x14ac:dyDescent="0.35">
      <c r="A18" s="245">
        <v>45142</v>
      </c>
      <c r="B18" s="245"/>
      <c r="C18" s="212" t="s">
        <v>296</v>
      </c>
      <c r="D18" s="15"/>
      <c r="E18" s="15">
        <v>4</v>
      </c>
      <c r="F18" s="9">
        <v>840</v>
      </c>
      <c r="G18" s="29">
        <f t="shared" si="0"/>
        <v>3360</v>
      </c>
      <c r="H18" s="11"/>
      <c r="I18" s="10"/>
      <c r="J18" s="29">
        <f t="shared" si="1"/>
        <v>0</v>
      </c>
      <c r="K18" s="29"/>
      <c r="L18" s="223">
        <f t="shared" si="2"/>
        <v>3360</v>
      </c>
      <c r="M18" s="213"/>
      <c r="N18" s="218" t="str">
        <f t="shared" si="3"/>
        <v xml:space="preserve"> </v>
      </c>
      <c r="O18" s="189"/>
      <c r="P18" s="189"/>
      <c r="Q18" s="189"/>
      <c r="R18" s="189" t="str">
        <f t="shared" si="4"/>
        <v xml:space="preserve"> </v>
      </c>
      <c r="S18" s="189"/>
      <c r="T18" s="253"/>
      <c r="U18" s="13"/>
      <c r="V18" s="253"/>
      <c r="W18" s="253"/>
      <c r="X18" s="16"/>
    </row>
    <row r="19" spans="1:24" ht="15" customHeight="1" x14ac:dyDescent="0.35">
      <c r="A19" s="245">
        <v>45143</v>
      </c>
      <c r="B19" s="245"/>
      <c r="C19" s="212" t="s">
        <v>339</v>
      </c>
      <c r="D19" s="15">
        <v>5</v>
      </c>
      <c r="E19" s="15"/>
      <c r="F19" s="9">
        <v>830</v>
      </c>
      <c r="G19" s="29">
        <f t="shared" si="0"/>
        <v>4150</v>
      </c>
      <c r="H19" s="11"/>
      <c r="I19" s="10"/>
      <c r="J19" s="29">
        <f t="shared" si="1"/>
        <v>0</v>
      </c>
      <c r="K19" s="29"/>
      <c r="L19" s="223">
        <f t="shared" si="2"/>
        <v>4150</v>
      </c>
      <c r="M19" s="223"/>
      <c r="N19" s="218" t="str">
        <f t="shared" si="3"/>
        <v xml:space="preserve"> </v>
      </c>
      <c r="O19" s="189"/>
      <c r="P19" s="189"/>
      <c r="Q19" s="189"/>
      <c r="R19" s="189" t="str">
        <f t="shared" si="4"/>
        <v xml:space="preserve"> </v>
      </c>
      <c r="S19" s="189"/>
      <c r="T19" s="253"/>
      <c r="U19" s="13"/>
      <c r="V19" s="253"/>
      <c r="W19" s="253"/>
      <c r="X19" s="16"/>
    </row>
    <row r="20" spans="1:24" ht="15" customHeight="1" x14ac:dyDescent="0.35">
      <c r="A20" s="245">
        <v>45143</v>
      </c>
      <c r="B20" s="245"/>
      <c r="C20" s="212" t="s">
        <v>321</v>
      </c>
      <c r="D20" s="15">
        <v>2</v>
      </c>
      <c r="E20" s="15"/>
      <c r="F20" s="9">
        <v>850</v>
      </c>
      <c r="G20" s="29">
        <f t="shared" si="0"/>
        <v>1700</v>
      </c>
      <c r="H20" s="11"/>
      <c r="I20" s="10"/>
      <c r="J20" s="29">
        <f t="shared" si="1"/>
        <v>0</v>
      </c>
      <c r="K20" s="29"/>
      <c r="L20" s="223">
        <f t="shared" si="2"/>
        <v>1700</v>
      </c>
      <c r="M20" s="12"/>
      <c r="N20" s="218" t="str">
        <f t="shared" si="3"/>
        <v xml:space="preserve"> </v>
      </c>
      <c r="O20" s="189"/>
      <c r="P20" s="189"/>
      <c r="Q20" s="189"/>
      <c r="R20" s="189" t="str">
        <f t="shared" si="4"/>
        <v xml:space="preserve"> </v>
      </c>
      <c r="S20" s="189"/>
      <c r="T20" s="253"/>
      <c r="U20" s="13"/>
      <c r="V20" s="253"/>
      <c r="W20" s="253"/>
      <c r="X20" s="16"/>
    </row>
    <row r="21" spans="1:24" ht="15" customHeight="1" x14ac:dyDescent="0.35">
      <c r="A21" s="245">
        <v>45145</v>
      </c>
      <c r="B21" s="245"/>
      <c r="C21" s="212" t="s">
        <v>323</v>
      </c>
      <c r="D21" s="15">
        <v>1</v>
      </c>
      <c r="E21" s="15"/>
      <c r="F21" s="9">
        <v>850</v>
      </c>
      <c r="G21" s="29">
        <f t="shared" si="0"/>
        <v>850</v>
      </c>
      <c r="H21" s="11"/>
      <c r="I21" s="10"/>
      <c r="J21" s="29">
        <f t="shared" si="1"/>
        <v>0</v>
      </c>
      <c r="K21" s="29"/>
      <c r="L21" s="223">
        <f t="shared" si="2"/>
        <v>850</v>
      </c>
      <c r="M21" s="12"/>
      <c r="N21" s="218" t="str">
        <f t="shared" si="3"/>
        <v xml:space="preserve"> </v>
      </c>
      <c r="O21" s="189"/>
      <c r="P21" s="189"/>
      <c r="Q21" s="189"/>
      <c r="R21" s="189" t="str">
        <f t="shared" si="4"/>
        <v xml:space="preserve"> </v>
      </c>
      <c r="S21" s="189"/>
      <c r="T21" s="253"/>
      <c r="U21" s="13"/>
      <c r="V21" s="253"/>
      <c r="W21" s="253"/>
      <c r="X21" s="16"/>
    </row>
    <row r="22" spans="1:24" ht="15" customHeight="1" x14ac:dyDescent="0.35">
      <c r="A22" s="245">
        <v>45145</v>
      </c>
      <c r="B22" s="245"/>
      <c r="C22" s="212" t="s">
        <v>153</v>
      </c>
      <c r="D22" s="15">
        <v>1</v>
      </c>
      <c r="E22" s="15"/>
      <c r="F22" s="9">
        <v>850</v>
      </c>
      <c r="G22" s="29">
        <f t="shared" si="0"/>
        <v>850</v>
      </c>
      <c r="H22" s="11"/>
      <c r="I22" s="10"/>
      <c r="J22" s="29">
        <f t="shared" si="1"/>
        <v>0</v>
      </c>
      <c r="K22" s="29"/>
      <c r="L22" s="223">
        <f t="shared" si="2"/>
        <v>850</v>
      </c>
      <c r="M22" s="12"/>
      <c r="N22" s="218" t="str">
        <f t="shared" si="3"/>
        <v xml:space="preserve"> </v>
      </c>
      <c r="O22" s="189"/>
      <c r="P22" s="189"/>
      <c r="Q22" s="189"/>
      <c r="R22" s="189" t="str">
        <f t="shared" si="4"/>
        <v xml:space="preserve"> </v>
      </c>
      <c r="S22" s="189"/>
      <c r="T22" s="253"/>
      <c r="U22" s="13"/>
      <c r="V22" s="253"/>
      <c r="W22" s="253"/>
      <c r="X22" s="16"/>
    </row>
    <row r="23" spans="1:24" ht="15" customHeight="1" x14ac:dyDescent="0.35">
      <c r="A23" s="245">
        <v>45146</v>
      </c>
      <c r="B23" s="245"/>
      <c r="C23" s="212" t="s">
        <v>439</v>
      </c>
      <c r="D23" s="15"/>
      <c r="E23" s="15">
        <v>1</v>
      </c>
      <c r="F23" s="9">
        <v>840</v>
      </c>
      <c r="G23" s="29">
        <f t="shared" si="0"/>
        <v>840</v>
      </c>
      <c r="H23" s="11"/>
      <c r="I23" s="10"/>
      <c r="J23" s="29">
        <f t="shared" si="1"/>
        <v>0</v>
      </c>
      <c r="K23" s="29"/>
      <c r="L23" s="223">
        <f t="shared" si="2"/>
        <v>840</v>
      </c>
      <c r="M23" s="12"/>
      <c r="N23" s="218" t="str">
        <f t="shared" si="3"/>
        <v xml:space="preserve"> </v>
      </c>
      <c r="O23" s="189"/>
      <c r="P23" s="189"/>
      <c r="Q23" s="189"/>
      <c r="R23" s="189" t="str">
        <f t="shared" si="4"/>
        <v xml:space="preserve"> </v>
      </c>
      <c r="S23" s="189"/>
      <c r="T23" s="253"/>
      <c r="U23" s="13"/>
      <c r="V23" s="253"/>
      <c r="W23" s="253"/>
      <c r="X23" s="16"/>
    </row>
    <row r="24" spans="1:24" ht="15" customHeight="1" x14ac:dyDescent="0.35">
      <c r="A24" s="250">
        <v>45146</v>
      </c>
      <c r="B24" s="250"/>
      <c r="C24" s="212" t="s">
        <v>321</v>
      </c>
      <c r="D24" s="15">
        <v>1</v>
      </c>
      <c r="E24" s="15"/>
      <c r="F24" s="9">
        <v>850</v>
      </c>
      <c r="G24" s="29">
        <f t="shared" si="0"/>
        <v>850</v>
      </c>
      <c r="H24" s="11"/>
      <c r="I24" s="10"/>
      <c r="J24" s="29">
        <f t="shared" si="1"/>
        <v>0</v>
      </c>
      <c r="K24" s="29"/>
      <c r="L24" s="223">
        <f t="shared" si="2"/>
        <v>850</v>
      </c>
      <c r="M24" s="12"/>
      <c r="N24" s="218" t="str">
        <f t="shared" si="3"/>
        <v xml:space="preserve"> </v>
      </c>
      <c r="O24" s="189"/>
      <c r="P24" s="189"/>
      <c r="Q24" s="189"/>
      <c r="R24" s="189" t="str">
        <f t="shared" si="4"/>
        <v xml:space="preserve"> </v>
      </c>
      <c r="S24" s="189"/>
      <c r="T24" s="253"/>
      <c r="U24" s="13"/>
      <c r="V24" s="253"/>
      <c r="W24" s="253"/>
      <c r="X24" s="16"/>
    </row>
    <row r="25" spans="1:24" ht="15" customHeight="1" x14ac:dyDescent="0.35">
      <c r="A25" s="245">
        <v>45147</v>
      </c>
      <c r="B25" s="245"/>
      <c r="C25" s="211" t="s">
        <v>321</v>
      </c>
      <c r="D25" s="15">
        <v>3</v>
      </c>
      <c r="E25" s="15"/>
      <c r="F25" s="9">
        <v>850</v>
      </c>
      <c r="G25" s="29">
        <f t="shared" si="0"/>
        <v>2550</v>
      </c>
      <c r="H25" s="11"/>
      <c r="I25" s="10"/>
      <c r="J25" s="29">
        <f t="shared" si="1"/>
        <v>0</v>
      </c>
      <c r="K25" s="29"/>
      <c r="L25" s="223">
        <f t="shared" si="2"/>
        <v>2550</v>
      </c>
      <c r="M25" s="12"/>
      <c r="N25" s="218" t="str">
        <f t="shared" si="3"/>
        <v xml:space="preserve"> </v>
      </c>
      <c r="O25" s="189"/>
      <c r="P25" s="189"/>
      <c r="Q25" s="189"/>
      <c r="R25" s="189" t="str">
        <f t="shared" si="4"/>
        <v xml:space="preserve"> </v>
      </c>
      <c r="S25" s="189"/>
      <c r="T25" s="253"/>
      <c r="U25" s="13"/>
      <c r="V25" s="253"/>
      <c r="W25" s="253"/>
      <c r="X25" s="16"/>
    </row>
    <row r="26" spans="1:24" ht="15" customHeight="1" x14ac:dyDescent="0.35">
      <c r="A26" s="246">
        <v>45147</v>
      </c>
      <c r="B26" s="245"/>
      <c r="C26" s="211" t="s">
        <v>415</v>
      </c>
      <c r="D26" s="15">
        <v>4</v>
      </c>
      <c r="E26" s="15"/>
      <c r="F26" s="9">
        <v>830</v>
      </c>
      <c r="G26" s="29">
        <f t="shared" si="0"/>
        <v>3320</v>
      </c>
      <c r="H26" s="11"/>
      <c r="I26" s="10"/>
      <c r="J26" s="29">
        <f t="shared" si="1"/>
        <v>0</v>
      </c>
      <c r="K26" s="29"/>
      <c r="L26" s="223">
        <f t="shared" si="2"/>
        <v>3320</v>
      </c>
      <c r="M26" s="12"/>
      <c r="N26" s="218" t="str">
        <f t="shared" si="3"/>
        <v xml:space="preserve"> </v>
      </c>
      <c r="O26" s="189"/>
      <c r="P26" s="189"/>
      <c r="Q26" s="189"/>
      <c r="R26" s="189" t="str">
        <f t="shared" si="4"/>
        <v xml:space="preserve"> </v>
      </c>
      <c r="S26" s="189"/>
      <c r="T26" s="253"/>
      <c r="U26" s="13"/>
      <c r="V26" s="253"/>
      <c r="W26" s="253"/>
      <c r="X26" s="16"/>
    </row>
    <row r="27" spans="1:24" ht="15" customHeight="1" x14ac:dyDescent="0.35">
      <c r="A27" s="245">
        <v>45147</v>
      </c>
      <c r="B27" s="245"/>
      <c r="C27" s="212" t="s">
        <v>280</v>
      </c>
      <c r="D27" s="15"/>
      <c r="E27" s="15">
        <v>2</v>
      </c>
      <c r="F27" s="9">
        <v>830</v>
      </c>
      <c r="G27" s="29">
        <f t="shared" si="0"/>
        <v>1660</v>
      </c>
      <c r="H27" s="11"/>
      <c r="I27" s="10"/>
      <c r="J27" s="29">
        <f t="shared" si="1"/>
        <v>0</v>
      </c>
      <c r="K27" s="29"/>
      <c r="L27" s="223">
        <f t="shared" si="2"/>
        <v>1660</v>
      </c>
      <c r="M27" s="12"/>
      <c r="N27" s="218" t="str">
        <f t="shared" si="3"/>
        <v xml:space="preserve"> </v>
      </c>
      <c r="O27" s="189"/>
      <c r="P27" s="189"/>
      <c r="Q27" s="189"/>
      <c r="R27" s="189" t="str">
        <f t="shared" si="4"/>
        <v xml:space="preserve"> </v>
      </c>
      <c r="S27" s="189"/>
      <c r="T27" s="253"/>
      <c r="U27" s="13"/>
      <c r="V27" s="253"/>
      <c r="W27" s="253"/>
      <c r="X27" s="16"/>
    </row>
    <row r="28" spans="1:24" ht="15" customHeight="1" x14ac:dyDescent="0.35">
      <c r="A28" s="245">
        <v>45148</v>
      </c>
      <c r="B28" s="245"/>
      <c r="C28" s="212" t="s">
        <v>322</v>
      </c>
      <c r="D28" s="15">
        <v>2</v>
      </c>
      <c r="E28" s="15"/>
      <c r="F28" s="9">
        <v>850</v>
      </c>
      <c r="G28" s="29">
        <f t="shared" si="0"/>
        <v>1700</v>
      </c>
      <c r="H28" s="11"/>
      <c r="I28" s="10"/>
      <c r="J28" s="29">
        <f t="shared" si="1"/>
        <v>0</v>
      </c>
      <c r="K28" s="29"/>
      <c r="L28" s="223">
        <f t="shared" si="2"/>
        <v>1700</v>
      </c>
      <c r="M28" s="12"/>
      <c r="N28" s="218" t="str">
        <f t="shared" si="3"/>
        <v xml:space="preserve"> </v>
      </c>
      <c r="O28" s="189"/>
      <c r="P28" s="189"/>
      <c r="Q28" s="189"/>
      <c r="R28" s="189" t="str">
        <f t="shared" si="4"/>
        <v xml:space="preserve"> </v>
      </c>
      <c r="S28" s="189"/>
      <c r="T28" s="253"/>
      <c r="U28" s="13"/>
      <c r="V28" s="253"/>
      <c r="W28" s="253"/>
      <c r="X28" s="16"/>
    </row>
    <row r="29" spans="1:24" ht="15" customHeight="1" x14ac:dyDescent="0.35">
      <c r="A29" s="245">
        <v>45148</v>
      </c>
      <c r="B29" s="245"/>
      <c r="C29" s="248" t="s">
        <v>429</v>
      </c>
      <c r="D29" s="15">
        <v>2</v>
      </c>
      <c r="E29" s="15"/>
      <c r="F29" s="9">
        <v>800</v>
      </c>
      <c r="G29" s="29">
        <f t="shared" si="0"/>
        <v>1600</v>
      </c>
      <c r="H29" s="11"/>
      <c r="I29" s="10"/>
      <c r="J29" s="29">
        <f t="shared" si="1"/>
        <v>0</v>
      </c>
      <c r="K29" s="29"/>
      <c r="L29" s="223">
        <f t="shared" si="2"/>
        <v>1600</v>
      </c>
      <c r="M29" s="12"/>
      <c r="N29" s="239" t="str">
        <f t="shared" si="3"/>
        <v xml:space="preserve"> </v>
      </c>
      <c r="O29" s="189"/>
      <c r="P29" s="189"/>
      <c r="Q29" s="189"/>
      <c r="R29" s="189" t="str">
        <f t="shared" si="4"/>
        <v xml:space="preserve"> </v>
      </c>
      <c r="S29" s="189"/>
      <c r="T29" s="253"/>
      <c r="U29" s="13"/>
      <c r="V29" s="253"/>
      <c r="W29" s="253"/>
      <c r="X29" s="16"/>
    </row>
    <row r="30" spans="1:24" ht="15" customHeight="1" x14ac:dyDescent="0.35">
      <c r="A30" s="245">
        <v>45148</v>
      </c>
      <c r="B30" s="245"/>
      <c r="C30" s="248" t="s">
        <v>153</v>
      </c>
      <c r="D30" s="15">
        <v>1</v>
      </c>
      <c r="E30" s="15"/>
      <c r="F30" s="9">
        <v>850</v>
      </c>
      <c r="G30" s="29">
        <f t="shared" si="0"/>
        <v>850</v>
      </c>
      <c r="H30" s="11"/>
      <c r="I30" s="10"/>
      <c r="J30" s="29">
        <f t="shared" si="1"/>
        <v>0</v>
      </c>
      <c r="K30" s="29"/>
      <c r="L30" s="223">
        <f t="shared" si="2"/>
        <v>850</v>
      </c>
      <c r="M30" s="207"/>
      <c r="N30" s="218" t="str">
        <f t="shared" si="3"/>
        <v xml:space="preserve"> </v>
      </c>
      <c r="O30" s="189"/>
      <c r="P30" s="189"/>
      <c r="Q30" s="189"/>
      <c r="R30" s="189" t="str">
        <f t="shared" si="4"/>
        <v xml:space="preserve"> </v>
      </c>
      <c r="S30" s="189"/>
      <c r="T30" s="253"/>
      <c r="U30" s="13"/>
      <c r="V30" s="253"/>
      <c r="W30" s="253"/>
      <c r="X30" s="16"/>
    </row>
    <row r="31" spans="1:24" ht="15" customHeight="1" x14ac:dyDescent="0.35">
      <c r="A31" s="245">
        <v>45148</v>
      </c>
      <c r="B31" s="245"/>
      <c r="C31" s="212" t="s">
        <v>152</v>
      </c>
      <c r="D31" s="15">
        <v>8</v>
      </c>
      <c r="E31" s="15"/>
      <c r="F31" s="9">
        <v>830</v>
      </c>
      <c r="G31" s="29">
        <f t="shared" si="0"/>
        <v>6640</v>
      </c>
      <c r="H31" s="11"/>
      <c r="I31" s="10"/>
      <c r="J31" s="29">
        <f t="shared" si="1"/>
        <v>0</v>
      </c>
      <c r="K31" s="29"/>
      <c r="L31" s="223">
        <f t="shared" si="2"/>
        <v>6640</v>
      </c>
      <c r="M31" s="12"/>
      <c r="N31" s="218" t="str">
        <f t="shared" si="3"/>
        <v xml:space="preserve"> </v>
      </c>
      <c r="O31" s="189"/>
      <c r="P31" s="189"/>
      <c r="Q31" s="189"/>
      <c r="R31" s="189" t="str">
        <f t="shared" si="4"/>
        <v xml:space="preserve"> </v>
      </c>
      <c r="S31" s="189"/>
      <c r="T31" s="253"/>
      <c r="U31" s="13"/>
      <c r="V31" s="253"/>
      <c r="W31" s="253"/>
      <c r="X31" s="16"/>
    </row>
    <row r="32" spans="1:24" ht="15" customHeight="1" x14ac:dyDescent="0.35">
      <c r="A32" s="245">
        <v>45148</v>
      </c>
      <c r="B32" s="245"/>
      <c r="C32" s="211" t="s">
        <v>330</v>
      </c>
      <c r="D32" s="15"/>
      <c r="E32" s="15">
        <v>6</v>
      </c>
      <c r="F32" s="9">
        <v>820</v>
      </c>
      <c r="G32" s="29">
        <f t="shared" si="0"/>
        <v>4920</v>
      </c>
      <c r="H32" s="11"/>
      <c r="I32" s="10"/>
      <c r="J32" s="29">
        <f t="shared" si="1"/>
        <v>0</v>
      </c>
      <c r="K32" s="29"/>
      <c r="L32" s="223">
        <f t="shared" si="2"/>
        <v>4920</v>
      </c>
      <c r="M32" s="213"/>
      <c r="N32" s="218" t="str">
        <f t="shared" si="3"/>
        <v xml:space="preserve"> </v>
      </c>
      <c r="O32" s="189"/>
      <c r="P32" s="189"/>
      <c r="Q32" s="189"/>
      <c r="R32" s="189" t="str">
        <f t="shared" si="4"/>
        <v xml:space="preserve"> </v>
      </c>
      <c r="S32" s="189"/>
      <c r="T32" s="253"/>
      <c r="U32" s="13"/>
      <c r="V32" s="253"/>
      <c r="W32" s="253"/>
      <c r="X32" s="16"/>
    </row>
    <row r="33" spans="1:24" ht="15" customHeight="1" x14ac:dyDescent="0.35">
      <c r="A33" s="245">
        <v>45148</v>
      </c>
      <c r="B33" s="245"/>
      <c r="C33" s="211" t="s">
        <v>279</v>
      </c>
      <c r="D33" s="15"/>
      <c r="E33" s="15">
        <v>6</v>
      </c>
      <c r="F33" s="9">
        <v>800</v>
      </c>
      <c r="G33" s="29">
        <f t="shared" si="0"/>
        <v>4800</v>
      </c>
      <c r="H33" s="11"/>
      <c r="I33" s="10"/>
      <c r="J33" s="29">
        <f t="shared" si="1"/>
        <v>0</v>
      </c>
      <c r="K33" s="29"/>
      <c r="L33" s="223">
        <f t="shared" si="2"/>
        <v>4800</v>
      </c>
      <c r="M33" s="12"/>
      <c r="N33" s="218" t="str">
        <f t="shared" si="3"/>
        <v xml:space="preserve"> </v>
      </c>
      <c r="O33" s="189"/>
      <c r="P33" s="189"/>
      <c r="Q33" s="189"/>
      <c r="R33" s="189" t="str">
        <f t="shared" si="4"/>
        <v xml:space="preserve"> </v>
      </c>
      <c r="S33" s="189"/>
      <c r="T33" s="253"/>
      <c r="U33" s="13"/>
      <c r="V33" s="253"/>
      <c r="W33" s="253"/>
      <c r="X33" s="16"/>
    </row>
    <row r="34" spans="1:24" ht="15" customHeight="1" x14ac:dyDescent="0.35">
      <c r="A34" s="245">
        <v>45148</v>
      </c>
      <c r="B34" s="245"/>
      <c r="C34" s="212" t="s">
        <v>296</v>
      </c>
      <c r="D34" s="15"/>
      <c r="E34" s="15">
        <v>4</v>
      </c>
      <c r="F34" s="9">
        <v>840</v>
      </c>
      <c r="G34" s="29">
        <f t="shared" si="0"/>
        <v>3360</v>
      </c>
      <c r="H34" s="11"/>
      <c r="I34" s="10"/>
      <c r="J34" s="29">
        <f t="shared" si="1"/>
        <v>0</v>
      </c>
      <c r="K34" s="29"/>
      <c r="L34" s="223">
        <f t="shared" si="2"/>
        <v>3360</v>
      </c>
      <c r="M34" s="12"/>
      <c r="N34" s="218" t="str">
        <f t="shared" si="3"/>
        <v xml:space="preserve"> </v>
      </c>
      <c r="O34" s="189"/>
      <c r="P34" s="189"/>
      <c r="Q34" s="189"/>
      <c r="R34" s="189" t="str">
        <f t="shared" si="4"/>
        <v xml:space="preserve"> </v>
      </c>
      <c r="S34" s="189"/>
      <c r="T34" s="253"/>
      <c r="U34" s="13"/>
      <c r="V34" s="253"/>
      <c r="W34" s="253"/>
      <c r="X34" s="16"/>
    </row>
    <row r="35" spans="1:24" ht="15" customHeight="1" x14ac:dyDescent="0.35">
      <c r="A35" s="245">
        <v>45149</v>
      </c>
      <c r="B35" s="246"/>
      <c r="C35" s="212" t="s">
        <v>429</v>
      </c>
      <c r="D35" s="15"/>
      <c r="E35" s="15">
        <v>2</v>
      </c>
      <c r="F35" s="9">
        <v>800</v>
      </c>
      <c r="G35" s="29">
        <f t="shared" si="0"/>
        <v>1600</v>
      </c>
      <c r="H35" s="11"/>
      <c r="I35" s="10"/>
      <c r="J35" s="29">
        <f t="shared" si="1"/>
        <v>0</v>
      </c>
      <c r="K35" s="29"/>
      <c r="L35" s="223">
        <f t="shared" si="2"/>
        <v>1600</v>
      </c>
      <c r="M35" s="12"/>
      <c r="N35" s="218" t="str">
        <f t="shared" si="3"/>
        <v xml:space="preserve"> </v>
      </c>
      <c r="O35" s="189"/>
      <c r="P35" s="189"/>
      <c r="Q35" s="189"/>
      <c r="R35" s="189" t="str">
        <f t="shared" si="4"/>
        <v xml:space="preserve"> </v>
      </c>
      <c r="S35" s="189"/>
      <c r="T35" s="253"/>
      <c r="U35" s="13"/>
      <c r="V35" s="253"/>
      <c r="W35" s="253"/>
      <c r="X35" s="16"/>
    </row>
    <row r="36" spans="1:24" ht="15" customHeight="1" x14ac:dyDescent="0.35">
      <c r="A36" s="245">
        <v>45152</v>
      </c>
      <c r="B36" s="246"/>
      <c r="C36" s="212" t="s">
        <v>323</v>
      </c>
      <c r="D36" s="15">
        <v>1</v>
      </c>
      <c r="E36" s="15"/>
      <c r="F36" s="9">
        <v>850</v>
      </c>
      <c r="G36" s="29">
        <f t="shared" si="0"/>
        <v>850</v>
      </c>
      <c r="H36" s="11"/>
      <c r="I36" s="10"/>
      <c r="J36" s="29">
        <f t="shared" si="1"/>
        <v>0</v>
      </c>
      <c r="K36" s="29"/>
      <c r="L36" s="223">
        <f t="shared" si="2"/>
        <v>850</v>
      </c>
      <c r="M36" s="12"/>
      <c r="N36" s="218" t="str">
        <f t="shared" si="3"/>
        <v xml:space="preserve"> </v>
      </c>
      <c r="O36" s="189"/>
      <c r="P36" s="189"/>
      <c r="Q36" s="189"/>
      <c r="R36" s="189" t="str">
        <f t="shared" si="4"/>
        <v xml:space="preserve"> </v>
      </c>
      <c r="S36" s="189"/>
      <c r="T36" s="253"/>
      <c r="U36" s="13"/>
      <c r="V36" s="253"/>
      <c r="W36" s="253"/>
      <c r="X36" s="16"/>
    </row>
    <row r="37" spans="1:24" ht="15" customHeight="1" x14ac:dyDescent="0.35">
      <c r="A37" s="245">
        <v>45152</v>
      </c>
      <c r="B37" s="246"/>
      <c r="C37" s="211" t="s">
        <v>345</v>
      </c>
      <c r="D37" s="15"/>
      <c r="E37" s="15">
        <v>1</v>
      </c>
      <c r="F37" s="9">
        <v>800</v>
      </c>
      <c r="G37" s="29">
        <f t="shared" si="0"/>
        <v>800</v>
      </c>
      <c r="H37" s="11"/>
      <c r="I37" s="10"/>
      <c r="J37" s="29">
        <f t="shared" si="1"/>
        <v>0</v>
      </c>
      <c r="K37" s="29"/>
      <c r="L37" s="223">
        <f t="shared" si="2"/>
        <v>800</v>
      </c>
      <c r="M37" s="12"/>
      <c r="N37" s="218" t="str">
        <f t="shared" si="3"/>
        <v xml:space="preserve"> </v>
      </c>
      <c r="O37" s="189"/>
      <c r="P37" s="189"/>
      <c r="Q37" s="189"/>
      <c r="R37" s="189" t="str">
        <f t="shared" si="4"/>
        <v xml:space="preserve"> </v>
      </c>
      <c r="S37" s="189"/>
      <c r="T37" s="253"/>
      <c r="U37" s="13"/>
      <c r="V37" s="253"/>
      <c r="W37" s="253"/>
      <c r="X37" s="16"/>
    </row>
    <row r="38" spans="1:24" ht="15" customHeight="1" x14ac:dyDescent="0.35">
      <c r="A38" s="245">
        <v>45152</v>
      </c>
      <c r="B38" s="246"/>
      <c r="C38" s="211" t="s">
        <v>325</v>
      </c>
      <c r="D38" s="15"/>
      <c r="E38" s="15">
        <v>1</v>
      </c>
      <c r="F38" s="9">
        <v>850</v>
      </c>
      <c r="G38" s="29">
        <f t="shared" si="0"/>
        <v>850</v>
      </c>
      <c r="H38" s="11"/>
      <c r="I38" s="10"/>
      <c r="J38" s="29">
        <f t="shared" si="1"/>
        <v>0</v>
      </c>
      <c r="K38" s="29"/>
      <c r="L38" s="223">
        <f t="shared" si="2"/>
        <v>850</v>
      </c>
      <c r="M38" s="12"/>
      <c r="N38" s="218" t="str">
        <f t="shared" si="3"/>
        <v xml:space="preserve"> </v>
      </c>
      <c r="O38" s="189"/>
      <c r="P38" s="189"/>
      <c r="Q38" s="189"/>
      <c r="R38" s="189" t="str">
        <f t="shared" si="4"/>
        <v xml:space="preserve"> </v>
      </c>
      <c r="S38" s="189"/>
      <c r="T38" s="253"/>
      <c r="U38" s="13"/>
      <c r="V38" s="253"/>
      <c r="W38" s="253"/>
      <c r="X38" s="16"/>
    </row>
    <row r="39" spans="1:24" ht="15" customHeight="1" x14ac:dyDescent="0.35">
      <c r="A39" s="245">
        <v>45152</v>
      </c>
      <c r="B39" s="246"/>
      <c r="C39" s="212" t="s">
        <v>346</v>
      </c>
      <c r="D39" s="15"/>
      <c r="E39" s="15">
        <v>1</v>
      </c>
      <c r="F39" s="9">
        <v>800</v>
      </c>
      <c r="G39" s="29">
        <f t="shared" si="0"/>
        <v>800</v>
      </c>
      <c r="H39" s="11"/>
      <c r="I39" s="10"/>
      <c r="J39" s="29">
        <f t="shared" si="1"/>
        <v>0</v>
      </c>
      <c r="K39" s="29"/>
      <c r="L39" s="223">
        <f t="shared" si="2"/>
        <v>800</v>
      </c>
      <c r="M39" s="12"/>
      <c r="N39" s="218" t="str">
        <f t="shared" si="3"/>
        <v xml:space="preserve"> </v>
      </c>
      <c r="O39" s="189"/>
      <c r="P39" s="189"/>
      <c r="Q39" s="189"/>
      <c r="R39" s="189" t="str">
        <f t="shared" si="4"/>
        <v xml:space="preserve"> </v>
      </c>
      <c r="S39" s="189"/>
      <c r="T39" s="253"/>
      <c r="U39" s="13"/>
      <c r="V39" s="253"/>
      <c r="W39" s="253"/>
      <c r="X39" s="16"/>
    </row>
    <row r="40" spans="1:24" ht="15" customHeight="1" x14ac:dyDescent="0.35">
      <c r="A40" s="245">
        <v>45152</v>
      </c>
      <c r="B40" s="246"/>
      <c r="C40" s="211" t="s">
        <v>319</v>
      </c>
      <c r="D40" s="15"/>
      <c r="E40" s="15">
        <v>2</v>
      </c>
      <c r="F40" s="9">
        <v>820</v>
      </c>
      <c r="G40" s="29">
        <f t="shared" si="0"/>
        <v>1640</v>
      </c>
      <c r="H40" s="11"/>
      <c r="I40" s="10"/>
      <c r="J40" s="29">
        <f t="shared" si="1"/>
        <v>0</v>
      </c>
      <c r="K40" s="29"/>
      <c r="L40" s="223">
        <f t="shared" si="2"/>
        <v>1640</v>
      </c>
      <c r="M40" s="12"/>
      <c r="N40" s="218" t="str">
        <f t="shared" si="3"/>
        <v xml:space="preserve"> </v>
      </c>
      <c r="O40" s="189"/>
      <c r="P40" s="189"/>
      <c r="Q40" s="189"/>
      <c r="R40" s="189" t="str">
        <f t="shared" si="4"/>
        <v xml:space="preserve"> </v>
      </c>
      <c r="S40" s="189"/>
      <c r="T40" s="253"/>
      <c r="U40" s="13"/>
      <c r="V40" s="253"/>
      <c r="W40" s="253"/>
      <c r="X40" s="16"/>
    </row>
    <row r="41" spans="1:24" ht="15" customHeight="1" x14ac:dyDescent="0.35">
      <c r="A41" s="245">
        <v>45153</v>
      </c>
      <c r="B41" s="246"/>
      <c r="C41" s="211" t="s">
        <v>349</v>
      </c>
      <c r="D41" s="15"/>
      <c r="E41" s="15">
        <v>2</v>
      </c>
      <c r="F41" s="9">
        <v>820</v>
      </c>
      <c r="G41" s="29">
        <f t="shared" si="0"/>
        <v>1640</v>
      </c>
      <c r="H41" s="11"/>
      <c r="I41" s="10"/>
      <c r="J41" s="29">
        <f t="shared" si="1"/>
        <v>0</v>
      </c>
      <c r="K41" s="29"/>
      <c r="L41" s="223">
        <f t="shared" si="2"/>
        <v>1640</v>
      </c>
      <c r="M41" s="12"/>
      <c r="N41" s="218" t="str">
        <f t="shared" si="3"/>
        <v xml:space="preserve"> </v>
      </c>
      <c r="O41" s="189"/>
      <c r="P41" s="189"/>
      <c r="Q41" s="189"/>
      <c r="R41" s="189" t="str">
        <f t="shared" si="4"/>
        <v xml:space="preserve"> </v>
      </c>
      <c r="S41" s="189"/>
      <c r="T41" s="253"/>
      <c r="U41" s="13"/>
      <c r="V41" s="253"/>
      <c r="W41" s="253"/>
      <c r="X41" s="16"/>
    </row>
    <row r="42" spans="1:24" ht="15" customHeight="1" x14ac:dyDescent="0.35">
      <c r="A42" s="245">
        <v>45154</v>
      </c>
      <c r="B42" s="246"/>
      <c r="C42" s="212" t="s">
        <v>330</v>
      </c>
      <c r="D42" s="15"/>
      <c r="E42" s="15">
        <v>6</v>
      </c>
      <c r="F42" s="9">
        <v>820</v>
      </c>
      <c r="G42" s="29">
        <f t="shared" si="0"/>
        <v>4920</v>
      </c>
      <c r="H42" s="11"/>
      <c r="I42" s="10"/>
      <c r="J42" s="29">
        <f t="shared" si="1"/>
        <v>0</v>
      </c>
      <c r="K42" s="29"/>
      <c r="L42" s="223">
        <f t="shared" si="2"/>
        <v>4920</v>
      </c>
      <c r="M42" s="12"/>
      <c r="N42" s="218" t="str">
        <f t="shared" si="3"/>
        <v xml:space="preserve"> </v>
      </c>
      <c r="O42" s="189"/>
      <c r="P42" s="189"/>
      <c r="Q42" s="189"/>
      <c r="R42" s="189" t="str">
        <f t="shared" si="4"/>
        <v xml:space="preserve"> </v>
      </c>
      <c r="S42" s="189"/>
      <c r="T42" s="253"/>
      <c r="U42" s="13"/>
      <c r="V42" s="253"/>
      <c r="W42" s="253"/>
      <c r="X42" s="16"/>
    </row>
    <row r="43" spans="1:24" ht="15" customHeight="1" x14ac:dyDescent="0.35">
      <c r="A43" s="245">
        <v>45154</v>
      </c>
      <c r="B43" s="246"/>
      <c r="C43" s="212" t="s">
        <v>321</v>
      </c>
      <c r="D43" s="15"/>
      <c r="E43" s="15">
        <v>3</v>
      </c>
      <c r="F43" s="9">
        <v>850</v>
      </c>
      <c r="G43" s="29">
        <f t="shared" si="0"/>
        <v>2550</v>
      </c>
      <c r="H43" s="11"/>
      <c r="I43" s="10"/>
      <c r="J43" s="29">
        <f t="shared" si="1"/>
        <v>0</v>
      </c>
      <c r="K43" s="29"/>
      <c r="L43" s="223">
        <f t="shared" si="2"/>
        <v>2550</v>
      </c>
      <c r="M43" s="12"/>
      <c r="N43" s="218" t="str">
        <f t="shared" si="3"/>
        <v xml:space="preserve"> </v>
      </c>
      <c r="O43" s="189"/>
      <c r="P43" s="189"/>
      <c r="Q43" s="189"/>
      <c r="R43" s="189" t="str">
        <f t="shared" si="4"/>
        <v xml:space="preserve"> </v>
      </c>
      <c r="S43" s="189"/>
      <c r="T43" s="253"/>
      <c r="U43" s="13"/>
      <c r="V43" s="253"/>
      <c r="W43" s="253"/>
      <c r="X43" s="16"/>
    </row>
    <row r="44" spans="1:24" ht="15" customHeight="1" x14ac:dyDescent="0.35">
      <c r="A44" s="245">
        <v>45154</v>
      </c>
      <c r="B44" s="246"/>
      <c r="C44" s="211" t="s">
        <v>153</v>
      </c>
      <c r="D44" s="15"/>
      <c r="E44" s="15">
        <v>1</v>
      </c>
      <c r="F44" s="9">
        <v>850</v>
      </c>
      <c r="G44" s="29">
        <f t="shared" si="0"/>
        <v>850</v>
      </c>
      <c r="H44" s="11"/>
      <c r="I44" s="10"/>
      <c r="J44" s="29">
        <f t="shared" si="1"/>
        <v>0</v>
      </c>
      <c r="K44" s="29"/>
      <c r="L44" s="223">
        <f t="shared" si="2"/>
        <v>850</v>
      </c>
      <c r="M44" s="213"/>
      <c r="N44" s="218" t="str">
        <f t="shared" si="3"/>
        <v xml:space="preserve"> </v>
      </c>
      <c r="O44" s="189"/>
      <c r="P44" s="189"/>
      <c r="Q44" s="189"/>
      <c r="R44" s="189" t="str">
        <f t="shared" si="4"/>
        <v xml:space="preserve"> </v>
      </c>
      <c r="S44" s="189"/>
      <c r="T44" s="253"/>
      <c r="U44" s="13"/>
      <c r="V44" s="253"/>
      <c r="W44" s="253"/>
      <c r="X44" s="16"/>
    </row>
    <row r="45" spans="1:24" ht="15" customHeight="1" x14ac:dyDescent="0.35">
      <c r="A45" s="245">
        <v>45154</v>
      </c>
      <c r="B45" s="246"/>
      <c r="C45" s="211" t="s">
        <v>415</v>
      </c>
      <c r="D45" s="15"/>
      <c r="E45" s="15">
        <v>2</v>
      </c>
      <c r="F45" s="9">
        <v>830</v>
      </c>
      <c r="G45" s="29">
        <f t="shared" si="0"/>
        <v>1660</v>
      </c>
      <c r="H45" s="11"/>
      <c r="I45" s="10"/>
      <c r="J45" s="29">
        <f t="shared" si="1"/>
        <v>0</v>
      </c>
      <c r="K45" s="29"/>
      <c r="L45" s="223">
        <f t="shared" si="2"/>
        <v>1660</v>
      </c>
      <c r="M45" s="213"/>
      <c r="N45" s="218" t="str">
        <f t="shared" si="3"/>
        <v xml:space="preserve"> </v>
      </c>
      <c r="O45" s="189"/>
      <c r="P45" s="189"/>
      <c r="Q45" s="189"/>
      <c r="R45" s="189" t="str">
        <f t="shared" si="4"/>
        <v xml:space="preserve"> </v>
      </c>
      <c r="S45" s="189"/>
      <c r="T45" s="253"/>
      <c r="U45" s="13"/>
      <c r="V45" s="253"/>
      <c r="W45" s="253"/>
      <c r="X45" s="16"/>
    </row>
    <row r="46" spans="1:24" ht="15" customHeight="1" x14ac:dyDescent="0.35">
      <c r="A46" s="245"/>
      <c r="B46" s="246"/>
      <c r="C46" s="211"/>
      <c r="D46" s="15"/>
      <c r="E46" s="15"/>
      <c r="F46" s="9">
        <v>900</v>
      </c>
      <c r="G46" s="29">
        <f t="shared" si="0"/>
        <v>0</v>
      </c>
      <c r="H46" s="11"/>
      <c r="I46" s="10"/>
      <c r="J46" s="29">
        <f t="shared" si="1"/>
        <v>0</v>
      </c>
      <c r="K46" s="29"/>
      <c r="L46" s="223">
        <f t="shared" si="2"/>
        <v>0</v>
      </c>
      <c r="M46" s="12"/>
      <c r="N46" s="218" t="str">
        <f>IF(M46&gt;0,SUM(L46-M46)," ")</f>
        <v xml:space="preserve"> </v>
      </c>
      <c r="O46" s="189"/>
      <c r="P46" s="189"/>
      <c r="Q46" s="189"/>
      <c r="R46" s="189" t="str">
        <f t="shared" si="4"/>
        <v xml:space="preserve"> </v>
      </c>
      <c r="S46" s="189"/>
      <c r="T46" s="253"/>
      <c r="U46" s="13"/>
      <c r="V46" s="253"/>
      <c r="W46" s="253"/>
      <c r="X46" s="16"/>
    </row>
    <row r="47" spans="1:24" ht="15" customHeight="1" x14ac:dyDescent="0.35">
      <c r="A47" s="245"/>
      <c r="B47" s="246"/>
      <c r="C47" s="211" t="s">
        <v>296</v>
      </c>
      <c r="D47" s="15"/>
      <c r="E47" s="15">
        <v>4</v>
      </c>
      <c r="F47" s="9">
        <v>840</v>
      </c>
      <c r="G47" s="29">
        <f t="shared" si="0"/>
        <v>3360</v>
      </c>
      <c r="H47" s="11"/>
      <c r="I47" s="10"/>
      <c r="J47" s="29">
        <f t="shared" si="1"/>
        <v>0</v>
      </c>
      <c r="K47" s="29"/>
      <c r="L47" s="223">
        <f t="shared" si="2"/>
        <v>3360</v>
      </c>
      <c r="M47" s="12"/>
      <c r="N47" s="218" t="str">
        <f>IF(M47&gt;0,SUM(L47-M47)," ")</f>
        <v xml:space="preserve"> </v>
      </c>
      <c r="O47" s="189"/>
      <c r="P47" s="189"/>
      <c r="Q47" s="189"/>
      <c r="R47" s="189" t="str">
        <f t="shared" si="4"/>
        <v xml:space="preserve"> </v>
      </c>
      <c r="S47" s="189"/>
      <c r="T47" s="253"/>
      <c r="U47" s="13"/>
      <c r="V47" s="253"/>
      <c r="W47" s="253"/>
      <c r="X47" s="16"/>
    </row>
    <row r="48" spans="1:24" ht="15" customHeight="1" x14ac:dyDescent="0.35">
      <c r="A48" s="245"/>
      <c r="B48" s="246"/>
      <c r="C48" s="211" t="s">
        <v>279</v>
      </c>
      <c r="D48" s="15"/>
      <c r="E48" s="15">
        <v>6</v>
      </c>
      <c r="F48" s="9">
        <v>800</v>
      </c>
      <c r="G48" s="29">
        <f t="shared" si="0"/>
        <v>4800</v>
      </c>
      <c r="H48" s="11"/>
      <c r="I48" s="10"/>
      <c r="J48" s="29">
        <f t="shared" si="1"/>
        <v>0</v>
      </c>
      <c r="K48" s="29"/>
      <c r="L48" s="223">
        <f t="shared" si="2"/>
        <v>4800</v>
      </c>
      <c r="M48" s="213"/>
      <c r="N48" s="218" t="str">
        <f t="shared" si="3"/>
        <v xml:space="preserve"> </v>
      </c>
      <c r="O48" s="189"/>
      <c r="P48" s="189"/>
      <c r="Q48" s="189"/>
      <c r="R48" s="189" t="str">
        <f t="shared" si="4"/>
        <v xml:space="preserve"> </v>
      </c>
      <c r="S48" s="189"/>
      <c r="T48" s="253"/>
      <c r="U48" s="13"/>
      <c r="V48" s="253"/>
      <c r="W48" s="253"/>
      <c r="X48" s="16"/>
    </row>
    <row r="49" spans="1:24" ht="15" customHeight="1" x14ac:dyDescent="0.35">
      <c r="A49" s="245"/>
      <c r="B49" s="246"/>
      <c r="C49" s="211" t="s">
        <v>319</v>
      </c>
      <c r="D49" s="15"/>
      <c r="E49" s="15">
        <v>3</v>
      </c>
      <c r="F49" s="9">
        <v>820</v>
      </c>
      <c r="G49" s="29">
        <f t="shared" si="0"/>
        <v>2460</v>
      </c>
      <c r="H49" s="11"/>
      <c r="I49" s="10"/>
      <c r="J49" s="29">
        <f t="shared" si="1"/>
        <v>0</v>
      </c>
      <c r="K49" s="29"/>
      <c r="L49" s="223">
        <f t="shared" si="2"/>
        <v>2460</v>
      </c>
      <c r="M49" s="12"/>
      <c r="N49" s="218" t="str">
        <f t="shared" si="3"/>
        <v xml:space="preserve"> </v>
      </c>
      <c r="O49" s="189"/>
      <c r="P49" s="189"/>
      <c r="Q49" s="189"/>
      <c r="R49" s="189" t="str">
        <f t="shared" si="4"/>
        <v xml:space="preserve"> </v>
      </c>
      <c r="S49" s="189"/>
      <c r="T49" s="253"/>
      <c r="U49" s="13"/>
      <c r="V49" s="253"/>
      <c r="W49" s="253"/>
      <c r="X49" s="16"/>
    </row>
    <row r="50" spans="1:24" ht="15" customHeight="1" x14ac:dyDescent="0.35">
      <c r="A50" s="245"/>
      <c r="B50" s="246"/>
      <c r="C50" s="211" t="s">
        <v>349</v>
      </c>
      <c r="D50" s="15"/>
      <c r="E50" s="15">
        <v>2</v>
      </c>
      <c r="F50" s="9">
        <v>820</v>
      </c>
      <c r="G50" s="29">
        <f t="shared" si="0"/>
        <v>1640</v>
      </c>
      <c r="H50" s="11"/>
      <c r="I50" s="10"/>
      <c r="J50" s="29">
        <f t="shared" si="1"/>
        <v>0</v>
      </c>
      <c r="K50" s="29"/>
      <c r="L50" s="223">
        <f t="shared" si="2"/>
        <v>1640</v>
      </c>
      <c r="M50" s="12"/>
      <c r="N50" s="218" t="str">
        <f t="shared" si="3"/>
        <v xml:space="preserve"> </v>
      </c>
      <c r="O50" s="189"/>
      <c r="P50" s="189"/>
      <c r="Q50" s="189"/>
      <c r="R50" s="189" t="str">
        <f t="shared" si="4"/>
        <v xml:space="preserve"> </v>
      </c>
      <c r="S50" s="189"/>
      <c r="T50" s="253"/>
      <c r="U50" s="13"/>
      <c r="V50" s="253"/>
      <c r="W50" s="253"/>
      <c r="X50" s="16"/>
    </row>
    <row r="51" spans="1:24" ht="15" customHeight="1" x14ac:dyDescent="0.35">
      <c r="A51" s="245"/>
      <c r="B51" s="246"/>
      <c r="C51" s="211" t="s">
        <v>349</v>
      </c>
      <c r="D51" s="15"/>
      <c r="E51" s="15">
        <v>2</v>
      </c>
      <c r="F51" s="9">
        <v>820</v>
      </c>
      <c r="G51" s="29">
        <f t="shared" si="0"/>
        <v>1640</v>
      </c>
      <c r="H51" s="11"/>
      <c r="I51" s="10"/>
      <c r="J51" s="29">
        <f t="shared" si="1"/>
        <v>0</v>
      </c>
      <c r="K51" s="29"/>
      <c r="L51" s="223">
        <f t="shared" si="2"/>
        <v>1640</v>
      </c>
      <c r="M51" s="213"/>
      <c r="N51" s="218" t="str">
        <f t="shared" si="3"/>
        <v xml:space="preserve"> </v>
      </c>
      <c r="O51" s="189"/>
      <c r="P51" s="189"/>
      <c r="Q51" s="189"/>
      <c r="R51" s="189" t="str">
        <f t="shared" si="4"/>
        <v xml:space="preserve"> </v>
      </c>
      <c r="S51" s="189"/>
      <c r="T51" s="253"/>
      <c r="U51" s="13"/>
      <c r="V51" s="253"/>
      <c r="W51" s="253"/>
      <c r="X51" s="16"/>
    </row>
    <row r="52" spans="1:24" ht="15" customHeight="1" x14ac:dyDescent="0.35">
      <c r="A52" s="245"/>
      <c r="B52" s="246"/>
      <c r="C52" s="211" t="s">
        <v>323</v>
      </c>
      <c r="D52" s="15">
        <v>1</v>
      </c>
      <c r="E52" s="15"/>
      <c r="F52" s="9">
        <v>850</v>
      </c>
      <c r="G52" s="29">
        <f t="shared" si="0"/>
        <v>850</v>
      </c>
      <c r="H52" s="11"/>
      <c r="I52" s="10"/>
      <c r="J52" s="29">
        <f t="shared" si="1"/>
        <v>0</v>
      </c>
      <c r="K52" s="29"/>
      <c r="L52" s="223">
        <f t="shared" si="2"/>
        <v>850</v>
      </c>
      <c r="M52" s="12"/>
      <c r="N52" s="218" t="str">
        <f t="shared" si="3"/>
        <v xml:space="preserve"> </v>
      </c>
      <c r="O52" s="189"/>
      <c r="P52" s="189"/>
      <c r="Q52" s="189"/>
      <c r="R52" s="189" t="str">
        <f t="shared" si="4"/>
        <v xml:space="preserve"> </v>
      </c>
      <c r="S52" s="189"/>
      <c r="T52" s="253"/>
      <c r="U52" s="13"/>
      <c r="V52" s="253"/>
      <c r="W52" s="253"/>
      <c r="X52" s="16"/>
    </row>
    <row r="53" spans="1:24" ht="15" customHeight="1" x14ac:dyDescent="0.35">
      <c r="A53" s="245"/>
      <c r="B53" s="246"/>
      <c r="C53" s="212" t="s">
        <v>322</v>
      </c>
      <c r="D53" s="15">
        <v>2</v>
      </c>
      <c r="E53" s="15"/>
      <c r="F53" s="9">
        <v>850</v>
      </c>
      <c r="G53" s="29">
        <f t="shared" si="0"/>
        <v>1700</v>
      </c>
      <c r="H53" s="11"/>
      <c r="I53" s="10"/>
      <c r="J53" s="29">
        <f t="shared" si="1"/>
        <v>0</v>
      </c>
      <c r="K53" s="29"/>
      <c r="L53" s="223">
        <f t="shared" si="2"/>
        <v>1700</v>
      </c>
      <c r="M53" s="12"/>
      <c r="N53" s="218" t="str">
        <f t="shared" si="3"/>
        <v xml:space="preserve"> </v>
      </c>
      <c r="O53" s="189"/>
      <c r="P53" s="189"/>
      <c r="Q53" s="189"/>
      <c r="R53" s="189" t="str">
        <f t="shared" si="4"/>
        <v xml:space="preserve"> </v>
      </c>
      <c r="S53" s="189"/>
      <c r="T53" s="253"/>
      <c r="U53" s="13"/>
      <c r="V53" s="253"/>
      <c r="W53" s="253"/>
      <c r="X53" s="16"/>
    </row>
    <row r="54" spans="1:24" ht="15" customHeight="1" x14ac:dyDescent="0.35">
      <c r="A54" s="245">
        <v>45159</v>
      </c>
      <c r="B54" s="246"/>
      <c r="C54" s="211" t="s">
        <v>280</v>
      </c>
      <c r="D54" s="15"/>
      <c r="E54" s="15">
        <v>2</v>
      </c>
      <c r="F54" s="9">
        <v>830</v>
      </c>
      <c r="G54" s="29">
        <f t="shared" si="0"/>
        <v>1660</v>
      </c>
      <c r="H54" s="11"/>
      <c r="I54" s="10"/>
      <c r="J54" s="29">
        <f t="shared" si="1"/>
        <v>0</v>
      </c>
      <c r="K54" s="29"/>
      <c r="L54" s="223">
        <f t="shared" si="2"/>
        <v>1660</v>
      </c>
      <c r="M54" s="12"/>
      <c r="N54" s="218" t="str">
        <f t="shared" si="3"/>
        <v xml:space="preserve"> </v>
      </c>
      <c r="O54" s="189"/>
      <c r="P54" s="189"/>
      <c r="Q54" s="189"/>
      <c r="R54" s="189" t="str">
        <f t="shared" si="4"/>
        <v xml:space="preserve"> </v>
      </c>
      <c r="S54" s="189"/>
      <c r="T54" s="253"/>
      <c r="U54" s="13"/>
      <c r="V54" s="253"/>
      <c r="W54" s="253"/>
      <c r="X54" s="16"/>
    </row>
    <row r="55" spans="1:24" ht="15" customHeight="1" x14ac:dyDescent="0.35">
      <c r="A55" s="245">
        <v>45159</v>
      </c>
      <c r="B55" s="246"/>
      <c r="C55" s="211" t="s">
        <v>153</v>
      </c>
      <c r="D55" s="15">
        <v>1</v>
      </c>
      <c r="E55" s="15"/>
      <c r="F55" s="9">
        <v>850</v>
      </c>
      <c r="G55" s="29">
        <f t="shared" si="0"/>
        <v>850</v>
      </c>
      <c r="H55" s="11"/>
      <c r="I55" s="10"/>
      <c r="J55" s="29">
        <f t="shared" si="1"/>
        <v>0</v>
      </c>
      <c r="K55" s="29"/>
      <c r="L55" s="223">
        <f t="shared" si="2"/>
        <v>850</v>
      </c>
      <c r="M55" s="12"/>
      <c r="N55" s="218" t="str">
        <f t="shared" si="3"/>
        <v xml:space="preserve"> </v>
      </c>
      <c r="O55" s="189"/>
      <c r="P55" s="189"/>
      <c r="Q55" s="189"/>
      <c r="R55" s="189" t="str">
        <f t="shared" si="4"/>
        <v xml:space="preserve"> </v>
      </c>
      <c r="S55" s="189"/>
      <c r="T55" s="253"/>
      <c r="U55" s="13"/>
      <c r="V55" s="253"/>
      <c r="W55" s="253"/>
      <c r="X55" s="16"/>
    </row>
    <row r="56" spans="1:24" ht="15" customHeight="1" x14ac:dyDescent="0.35">
      <c r="A56" s="245">
        <v>45159</v>
      </c>
      <c r="B56" s="246"/>
      <c r="C56" s="211" t="s">
        <v>428</v>
      </c>
      <c r="D56" s="15">
        <v>3</v>
      </c>
      <c r="E56" s="15"/>
      <c r="F56" s="9">
        <v>800</v>
      </c>
      <c r="G56" s="29">
        <f t="shared" si="0"/>
        <v>2400</v>
      </c>
      <c r="H56" s="11"/>
      <c r="I56" s="10"/>
      <c r="J56" s="29">
        <f t="shared" si="1"/>
        <v>0</v>
      </c>
      <c r="K56" s="29"/>
      <c r="L56" s="223">
        <f t="shared" si="2"/>
        <v>2400</v>
      </c>
      <c r="M56" s="12"/>
      <c r="N56" s="218" t="str">
        <f t="shared" si="3"/>
        <v xml:space="preserve"> </v>
      </c>
      <c r="O56" s="189"/>
      <c r="P56" s="189"/>
      <c r="Q56" s="189"/>
      <c r="R56" s="189" t="str">
        <f t="shared" si="4"/>
        <v xml:space="preserve"> </v>
      </c>
      <c r="S56" s="189"/>
      <c r="T56" s="253"/>
      <c r="U56" s="13"/>
      <c r="V56" s="253"/>
      <c r="W56" s="253"/>
      <c r="X56" s="16"/>
    </row>
    <row r="57" spans="1:24" ht="15" customHeight="1" x14ac:dyDescent="0.35">
      <c r="A57" s="245">
        <v>45159</v>
      </c>
      <c r="B57" s="246"/>
      <c r="C57" s="211" t="s">
        <v>112</v>
      </c>
      <c r="D57" s="15">
        <v>10</v>
      </c>
      <c r="E57" s="15"/>
      <c r="F57" s="9">
        <v>820</v>
      </c>
      <c r="G57" s="29">
        <f t="shared" si="0"/>
        <v>8200</v>
      </c>
      <c r="H57" s="11"/>
      <c r="I57" s="10"/>
      <c r="J57" s="29">
        <f t="shared" si="1"/>
        <v>0</v>
      </c>
      <c r="K57" s="29"/>
      <c r="L57" s="223">
        <f t="shared" si="2"/>
        <v>8200</v>
      </c>
      <c r="M57" s="12"/>
      <c r="N57" s="218" t="str">
        <f t="shared" si="3"/>
        <v xml:space="preserve"> </v>
      </c>
      <c r="O57" s="189"/>
      <c r="P57" s="189"/>
      <c r="Q57" s="189"/>
      <c r="R57" s="189" t="str">
        <f t="shared" si="4"/>
        <v xml:space="preserve"> </v>
      </c>
      <c r="S57" s="189"/>
      <c r="T57" s="253"/>
      <c r="U57" s="13"/>
      <c r="V57" s="253"/>
      <c r="W57" s="253"/>
      <c r="X57" s="16"/>
    </row>
    <row r="58" spans="1:24" ht="15" customHeight="1" x14ac:dyDescent="0.35">
      <c r="A58" s="245">
        <v>45160</v>
      </c>
      <c r="B58" s="246"/>
      <c r="C58" s="212" t="s">
        <v>279</v>
      </c>
      <c r="D58" s="15"/>
      <c r="E58" s="15">
        <v>7</v>
      </c>
      <c r="F58" s="9">
        <v>800</v>
      </c>
      <c r="G58" s="29">
        <f t="shared" si="0"/>
        <v>5600</v>
      </c>
      <c r="H58" s="11"/>
      <c r="I58" s="10"/>
      <c r="J58" s="29">
        <f t="shared" si="1"/>
        <v>0</v>
      </c>
      <c r="K58" s="29"/>
      <c r="L58" s="223">
        <f t="shared" si="2"/>
        <v>5600</v>
      </c>
      <c r="M58" s="12"/>
      <c r="N58" s="239" t="str">
        <f t="shared" si="3"/>
        <v xml:space="preserve"> </v>
      </c>
      <c r="O58" s="189"/>
      <c r="P58" s="189"/>
      <c r="Q58" s="189"/>
      <c r="R58" s="189" t="str">
        <f t="shared" si="4"/>
        <v xml:space="preserve"> </v>
      </c>
      <c r="S58" s="189"/>
      <c r="T58" s="253"/>
      <c r="U58" s="13"/>
      <c r="V58" s="253"/>
      <c r="W58" s="253"/>
      <c r="X58" s="16"/>
    </row>
    <row r="59" spans="1:24" ht="15" customHeight="1" x14ac:dyDescent="0.35">
      <c r="A59" s="245">
        <v>45160</v>
      </c>
      <c r="B59" s="246"/>
      <c r="C59" s="211" t="s">
        <v>326</v>
      </c>
      <c r="D59" s="15"/>
      <c r="E59" s="15">
        <v>1</v>
      </c>
      <c r="F59" s="9">
        <v>840</v>
      </c>
      <c r="G59" s="29">
        <f t="shared" si="0"/>
        <v>840</v>
      </c>
      <c r="H59" s="11"/>
      <c r="I59" s="10"/>
      <c r="J59" s="29">
        <f t="shared" si="1"/>
        <v>0</v>
      </c>
      <c r="K59" s="29"/>
      <c r="L59" s="223">
        <f t="shared" si="2"/>
        <v>840</v>
      </c>
      <c r="M59" s="12"/>
      <c r="N59" s="218" t="str">
        <f t="shared" si="3"/>
        <v xml:space="preserve"> </v>
      </c>
      <c r="O59" s="189"/>
      <c r="P59" s="189"/>
      <c r="Q59" s="189"/>
      <c r="R59" s="189" t="str">
        <f t="shared" si="4"/>
        <v xml:space="preserve"> </v>
      </c>
      <c r="S59" s="189"/>
      <c r="T59" s="253"/>
      <c r="U59" s="13"/>
      <c r="V59" s="253"/>
      <c r="W59" s="253"/>
      <c r="X59" s="16"/>
    </row>
    <row r="60" spans="1:24" ht="15" customHeight="1" x14ac:dyDescent="0.35">
      <c r="A60" s="245">
        <v>45161</v>
      </c>
      <c r="B60" s="246"/>
      <c r="C60" s="211" t="s">
        <v>415</v>
      </c>
      <c r="D60" s="15"/>
      <c r="E60" s="15">
        <v>2</v>
      </c>
      <c r="F60" s="9">
        <v>830</v>
      </c>
      <c r="G60" s="29">
        <f t="shared" si="0"/>
        <v>1660</v>
      </c>
      <c r="H60" s="11"/>
      <c r="I60" s="10"/>
      <c r="J60" s="29">
        <f t="shared" si="1"/>
        <v>0</v>
      </c>
      <c r="K60" s="29"/>
      <c r="L60" s="223">
        <f t="shared" si="2"/>
        <v>1660</v>
      </c>
      <c r="M60" s="12"/>
      <c r="N60" s="218" t="str">
        <f t="shared" si="3"/>
        <v xml:space="preserve"> </v>
      </c>
      <c r="O60" s="189"/>
      <c r="P60" s="189"/>
      <c r="Q60" s="189"/>
      <c r="R60" s="189" t="str">
        <f>IF(O60&gt;0,SUM(O60-(L60+P60))," ")</f>
        <v xml:space="preserve"> </v>
      </c>
      <c r="S60" s="189"/>
      <c r="T60" s="253"/>
      <c r="U60" s="13"/>
      <c r="V60" s="253"/>
      <c r="W60" s="253"/>
      <c r="X60" s="16"/>
    </row>
    <row r="61" spans="1:24" ht="15" customHeight="1" x14ac:dyDescent="0.35">
      <c r="A61" s="245">
        <v>45161</v>
      </c>
      <c r="B61" s="246"/>
      <c r="C61" s="212" t="s">
        <v>337</v>
      </c>
      <c r="D61" s="15">
        <v>10</v>
      </c>
      <c r="E61" s="15"/>
      <c r="F61" s="9">
        <v>800</v>
      </c>
      <c r="G61" s="29">
        <f t="shared" si="0"/>
        <v>8000</v>
      </c>
      <c r="H61" s="11"/>
      <c r="I61" s="10"/>
      <c r="J61" s="29">
        <f t="shared" si="1"/>
        <v>0</v>
      </c>
      <c r="K61" s="29"/>
      <c r="L61" s="223">
        <f t="shared" si="2"/>
        <v>8000</v>
      </c>
      <c r="M61" s="12"/>
      <c r="N61" s="218" t="str">
        <f t="shared" si="3"/>
        <v xml:space="preserve"> </v>
      </c>
      <c r="O61" s="189"/>
      <c r="P61" s="189"/>
      <c r="Q61" s="189"/>
      <c r="R61" s="189" t="str">
        <f>IF(O61&gt;0,SUM(O61-(L61+P61))," ")</f>
        <v xml:space="preserve"> </v>
      </c>
      <c r="S61" s="189"/>
      <c r="T61" s="253"/>
      <c r="U61" s="13"/>
      <c r="V61" s="253"/>
      <c r="W61" s="253"/>
      <c r="X61" s="16"/>
    </row>
    <row r="62" spans="1:24" ht="15" customHeight="1" x14ac:dyDescent="0.35">
      <c r="A62" s="245">
        <v>45161</v>
      </c>
      <c r="B62" s="246"/>
      <c r="C62" s="211" t="s">
        <v>323</v>
      </c>
      <c r="D62" s="15">
        <v>1</v>
      </c>
      <c r="E62" s="15"/>
      <c r="F62" s="9">
        <v>850</v>
      </c>
      <c r="G62" s="29">
        <f t="shared" si="0"/>
        <v>850</v>
      </c>
      <c r="H62" s="11"/>
      <c r="I62" s="10"/>
      <c r="J62" s="29">
        <f t="shared" si="1"/>
        <v>0</v>
      </c>
      <c r="K62" s="29"/>
      <c r="L62" s="223">
        <f t="shared" si="2"/>
        <v>850</v>
      </c>
      <c r="M62" s="213"/>
      <c r="N62" s="218" t="str">
        <f t="shared" ref="N62:N101" si="5">IF(M62&gt;0,SUM(L62-M62)," ")</f>
        <v xml:space="preserve"> </v>
      </c>
      <c r="O62" s="189"/>
      <c r="P62" s="189"/>
      <c r="Q62" s="189"/>
      <c r="R62" s="189" t="str">
        <f t="shared" ref="R62:R97" si="6">IF(O62&gt;0,SUM(O62-(L62+P62))," ")</f>
        <v xml:space="preserve"> </v>
      </c>
      <c r="S62" s="189"/>
      <c r="T62" s="253"/>
      <c r="U62" s="13"/>
      <c r="V62" s="253"/>
      <c r="W62" s="253"/>
      <c r="X62" s="16"/>
    </row>
    <row r="63" spans="1:24" ht="15" customHeight="1" x14ac:dyDescent="0.35">
      <c r="A63" s="245">
        <v>45161</v>
      </c>
      <c r="B63" s="246"/>
      <c r="C63" s="211" t="s">
        <v>346</v>
      </c>
      <c r="D63" s="15">
        <v>1</v>
      </c>
      <c r="E63" s="15"/>
      <c r="F63" s="9">
        <v>800</v>
      </c>
      <c r="G63" s="29">
        <f t="shared" si="0"/>
        <v>800</v>
      </c>
      <c r="H63" s="11"/>
      <c r="I63" s="10"/>
      <c r="J63" s="29">
        <f t="shared" si="1"/>
        <v>0</v>
      </c>
      <c r="K63" s="29"/>
      <c r="L63" s="223">
        <f t="shared" si="2"/>
        <v>800</v>
      </c>
      <c r="M63" s="213"/>
      <c r="N63" s="239" t="str">
        <f t="shared" si="5"/>
        <v xml:space="preserve"> </v>
      </c>
      <c r="O63" s="189"/>
      <c r="P63" s="189"/>
      <c r="Q63" s="189"/>
      <c r="R63" s="189" t="str">
        <f t="shared" si="6"/>
        <v xml:space="preserve"> </v>
      </c>
      <c r="S63" s="189"/>
      <c r="T63" s="253"/>
      <c r="U63" s="13"/>
      <c r="V63" s="253"/>
      <c r="W63" s="253"/>
      <c r="X63" s="16"/>
    </row>
    <row r="64" spans="1:24" ht="15" customHeight="1" x14ac:dyDescent="0.35">
      <c r="A64" s="245">
        <v>45161</v>
      </c>
      <c r="B64" s="246"/>
      <c r="C64" s="212" t="s">
        <v>321</v>
      </c>
      <c r="D64" s="15">
        <v>3</v>
      </c>
      <c r="E64" s="15"/>
      <c r="F64" s="9">
        <v>850</v>
      </c>
      <c r="G64" s="29">
        <f t="shared" si="0"/>
        <v>2550</v>
      </c>
      <c r="H64" s="11"/>
      <c r="I64" s="10"/>
      <c r="J64" s="29">
        <f t="shared" si="1"/>
        <v>0</v>
      </c>
      <c r="K64" s="29"/>
      <c r="L64" s="223">
        <f t="shared" si="2"/>
        <v>2550</v>
      </c>
      <c r="M64" s="12"/>
      <c r="N64" s="218" t="str">
        <f t="shared" si="5"/>
        <v xml:space="preserve"> </v>
      </c>
      <c r="O64" s="189"/>
      <c r="P64" s="189"/>
      <c r="Q64" s="189"/>
      <c r="R64" s="189" t="str">
        <f t="shared" si="6"/>
        <v xml:space="preserve"> </v>
      </c>
      <c r="S64" s="189"/>
      <c r="T64" s="253"/>
      <c r="U64" s="13"/>
      <c r="V64" s="253"/>
      <c r="W64" s="253"/>
      <c r="X64" s="16"/>
    </row>
    <row r="65" spans="1:24" ht="15" customHeight="1" x14ac:dyDescent="0.35">
      <c r="A65" s="245">
        <v>45162</v>
      </c>
      <c r="B65" s="246"/>
      <c r="C65" s="212" t="s">
        <v>296</v>
      </c>
      <c r="D65" s="15"/>
      <c r="E65" s="15">
        <v>4</v>
      </c>
      <c r="F65" s="9">
        <v>840</v>
      </c>
      <c r="G65" s="29">
        <f t="shared" si="0"/>
        <v>3360</v>
      </c>
      <c r="H65" s="11"/>
      <c r="I65" s="10"/>
      <c r="J65" s="29">
        <f t="shared" si="1"/>
        <v>0</v>
      </c>
      <c r="K65" s="29"/>
      <c r="L65" s="223">
        <f t="shared" si="2"/>
        <v>3360</v>
      </c>
      <c r="M65" s="12"/>
      <c r="N65" s="218" t="str">
        <f t="shared" si="5"/>
        <v xml:space="preserve"> </v>
      </c>
      <c r="O65" s="189"/>
      <c r="P65" s="189"/>
      <c r="Q65" s="189"/>
      <c r="R65" s="189" t="str">
        <f t="shared" si="6"/>
        <v xml:space="preserve"> </v>
      </c>
      <c r="S65" s="189"/>
      <c r="T65" s="253"/>
      <c r="U65" s="13"/>
      <c r="V65" s="253"/>
      <c r="W65" s="253"/>
      <c r="X65" s="16"/>
    </row>
    <row r="66" spans="1:24" ht="15" customHeight="1" x14ac:dyDescent="0.35">
      <c r="A66" s="245">
        <v>45162</v>
      </c>
      <c r="B66" s="246"/>
      <c r="C66" s="211" t="s">
        <v>330</v>
      </c>
      <c r="D66" s="15"/>
      <c r="E66" s="15">
        <v>6</v>
      </c>
      <c r="F66" s="9">
        <v>820</v>
      </c>
      <c r="G66" s="29">
        <f t="shared" si="0"/>
        <v>4920</v>
      </c>
      <c r="H66" s="11"/>
      <c r="I66" s="10"/>
      <c r="J66" s="29">
        <f t="shared" si="1"/>
        <v>0</v>
      </c>
      <c r="K66" s="29"/>
      <c r="L66" s="223">
        <f t="shared" si="2"/>
        <v>4920</v>
      </c>
      <c r="M66" s="12"/>
      <c r="N66" s="218" t="str">
        <f t="shared" si="5"/>
        <v xml:space="preserve"> </v>
      </c>
      <c r="O66" s="189"/>
      <c r="P66" s="189"/>
      <c r="Q66" s="189"/>
      <c r="R66" s="189" t="str">
        <f t="shared" si="6"/>
        <v xml:space="preserve"> </v>
      </c>
      <c r="S66" s="189"/>
      <c r="T66" s="253"/>
      <c r="U66" s="13"/>
      <c r="V66" s="253"/>
      <c r="W66" s="253"/>
      <c r="X66" s="16"/>
    </row>
    <row r="67" spans="1:24" ht="15" customHeight="1" x14ac:dyDescent="0.35">
      <c r="A67" s="245">
        <v>45162</v>
      </c>
      <c r="B67" s="246"/>
      <c r="C67" s="211" t="s">
        <v>322</v>
      </c>
      <c r="D67" s="15">
        <v>1</v>
      </c>
      <c r="E67" s="15"/>
      <c r="F67" s="9">
        <v>850</v>
      </c>
      <c r="G67" s="29">
        <f t="shared" si="0"/>
        <v>850</v>
      </c>
      <c r="H67" s="11"/>
      <c r="I67" s="10"/>
      <c r="J67" s="29">
        <f t="shared" si="1"/>
        <v>0</v>
      </c>
      <c r="K67" s="29"/>
      <c r="L67" s="223">
        <f t="shared" si="2"/>
        <v>850</v>
      </c>
      <c r="M67" s="12"/>
      <c r="N67" s="218" t="str">
        <f t="shared" si="5"/>
        <v xml:space="preserve"> </v>
      </c>
      <c r="O67" s="189"/>
      <c r="P67" s="189"/>
      <c r="Q67" s="189"/>
      <c r="R67" s="189" t="str">
        <f t="shared" si="6"/>
        <v xml:space="preserve"> </v>
      </c>
      <c r="S67" s="189"/>
      <c r="T67" s="253"/>
      <c r="U67" s="13"/>
      <c r="V67" s="253"/>
      <c r="W67" s="253"/>
      <c r="X67" s="16"/>
    </row>
    <row r="68" spans="1:24" ht="15" customHeight="1" x14ac:dyDescent="0.35">
      <c r="A68" s="245">
        <v>45162</v>
      </c>
      <c r="B68" s="246"/>
      <c r="C68" s="211" t="s">
        <v>153</v>
      </c>
      <c r="D68" s="15">
        <v>1</v>
      </c>
      <c r="E68" s="15"/>
      <c r="F68" s="9">
        <v>850</v>
      </c>
      <c r="G68" s="29">
        <f t="shared" ref="G68:G100" si="7">(F68*D68)+(E68*F68)</f>
        <v>850</v>
      </c>
      <c r="H68" s="11"/>
      <c r="I68" s="10"/>
      <c r="J68" s="29">
        <f t="shared" ref="J68:J100" si="8">H68*I68</f>
        <v>0</v>
      </c>
      <c r="K68" s="29"/>
      <c r="L68" s="223">
        <f t="shared" si="2"/>
        <v>850</v>
      </c>
      <c r="M68" s="12"/>
      <c r="N68" s="218" t="str">
        <f t="shared" si="5"/>
        <v xml:space="preserve"> </v>
      </c>
      <c r="O68" s="189"/>
      <c r="P68" s="189"/>
      <c r="Q68" s="189"/>
      <c r="R68" s="189" t="str">
        <f t="shared" si="6"/>
        <v xml:space="preserve"> </v>
      </c>
      <c r="S68" s="189"/>
      <c r="T68" s="253"/>
      <c r="U68" s="13"/>
      <c r="V68" s="253"/>
      <c r="W68" s="253"/>
      <c r="X68" s="16"/>
    </row>
    <row r="69" spans="1:24" ht="15" customHeight="1" x14ac:dyDescent="0.35">
      <c r="A69" s="245">
        <v>45162</v>
      </c>
      <c r="B69" s="246"/>
      <c r="C69" s="211" t="s">
        <v>152</v>
      </c>
      <c r="D69" s="15">
        <v>8</v>
      </c>
      <c r="E69" s="15"/>
      <c r="F69" s="9">
        <v>830</v>
      </c>
      <c r="G69" s="29">
        <f t="shared" si="7"/>
        <v>6640</v>
      </c>
      <c r="H69" s="11"/>
      <c r="I69" s="10"/>
      <c r="J69" s="29">
        <f t="shared" si="8"/>
        <v>0</v>
      </c>
      <c r="K69" s="29"/>
      <c r="L69" s="223">
        <f t="shared" ref="L69:L100" si="9">(J69+G69)-K69</f>
        <v>6640</v>
      </c>
      <c r="M69" s="12"/>
      <c r="N69" s="218" t="str">
        <f t="shared" si="5"/>
        <v xml:space="preserve"> </v>
      </c>
      <c r="O69" s="189"/>
      <c r="P69" s="189"/>
      <c r="Q69" s="189"/>
      <c r="R69" s="189" t="str">
        <f t="shared" si="6"/>
        <v xml:space="preserve"> </v>
      </c>
      <c r="S69" s="189"/>
      <c r="T69" s="253"/>
      <c r="U69" s="13"/>
      <c r="V69" s="253"/>
      <c r="W69" s="253"/>
      <c r="X69" s="16"/>
    </row>
    <row r="70" spans="1:24" ht="15" customHeight="1" x14ac:dyDescent="0.35">
      <c r="A70" s="245">
        <v>45162</v>
      </c>
      <c r="B70" s="246"/>
      <c r="C70" s="212" t="s">
        <v>428</v>
      </c>
      <c r="D70" s="15">
        <v>1</v>
      </c>
      <c r="E70" s="15"/>
      <c r="F70" s="9">
        <v>800</v>
      </c>
      <c r="G70" s="29">
        <f t="shared" si="7"/>
        <v>800</v>
      </c>
      <c r="H70" s="11"/>
      <c r="I70" s="10"/>
      <c r="J70" s="29">
        <f t="shared" si="8"/>
        <v>0</v>
      </c>
      <c r="K70" s="29"/>
      <c r="L70" s="223">
        <f t="shared" si="9"/>
        <v>800</v>
      </c>
      <c r="M70" s="12"/>
      <c r="N70" s="218" t="str">
        <f t="shared" si="5"/>
        <v xml:space="preserve"> </v>
      </c>
      <c r="O70" s="189"/>
      <c r="P70" s="189"/>
      <c r="Q70" s="189"/>
      <c r="R70" s="189" t="str">
        <f t="shared" si="6"/>
        <v xml:space="preserve"> </v>
      </c>
      <c r="S70" s="189"/>
      <c r="T70" s="253"/>
      <c r="U70" s="13"/>
      <c r="V70" s="253"/>
      <c r="W70" s="253"/>
      <c r="X70" s="16"/>
    </row>
    <row r="71" spans="1:24" ht="15" customHeight="1" x14ac:dyDescent="0.35">
      <c r="A71" s="245"/>
      <c r="B71" s="246"/>
      <c r="C71" s="211"/>
      <c r="D71" s="15"/>
      <c r="E71" s="15"/>
      <c r="F71" s="9">
        <v>850</v>
      </c>
      <c r="G71" s="29">
        <f t="shared" si="7"/>
        <v>0</v>
      </c>
      <c r="H71" s="11"/>
      <c r="I71" s="10"/>
      <c r="J71" s="29">
        <f t="shared" si="8"/>
        <v>0</v>
      </c>
      <c r="K71" s="29"/>
      <c r="L71" s="223">
        <f t="shared" si="9"/>
        <v>0</v>
      </c>
      <c r="M71" s="12"/>
      <c r="N71" s="218" t="str">
        <f t="shared" si="5"/>
        <v xml:space="preserve"> </v>
      </c>
      <c r="O71" s="189"/>
      <c r="P71" s="189"/>
      <c r="Q71" s="189"/>
      <c r="R71" s="189" t="str">
        <f t="shared" si="6"/>
        <v xml:space="preserve"> </v>
      </c>
      <c r="S71" s="189"/>
      <c r="T71" s="253"/>
      <c r="U71" s="13"/>
      <c r="V71" s="253"/>
      <c r="W71" s="253"/>
      <c r="X71" s="16"/>
    </row>
    <row r="72" spans="1:24" ht="15" customHeight="1" x14ac:dyDescent="0.35">
      <c r="A72" s="245"/>
      <c r="B72" s="246"/>
      <c r="C72" s="211" t="s">
        <v>415</v>
      </c>
      <c r="D72" s="15"/>
      <c r="E72" s="15">
        <v>3</v>
      </c>
      <c r="F72" s="9">
        <v>830</v>
      </c>
      <c r="G72" s="29">
        <f t="shared" si="7"/>
        <v>2490</v>
      </c>
      <c r="H72" s="11"/>
      <c r="I72" s="10"/>
      <c r="J72" s="29">
        <f t="shared" si="8"/>
        <v>0</v>
      </c>
      <c r="K72" s="29"/>
      <c r="L72" s="223">
        <f t="shared" si="9"/>
        <v>2490</v>
      </c>
      <c r="M72" s="12"/>
      <c r="N72" s="218" t="str">
        <f t="shared" si="5"/>
        <v xml:space="preserve"> </v>
      </c>
      <c r="O72" s="189"/>
      <c r="P72" s="189"/>
      <c r="Q72" s="189"/>
      <c r="R72" s="189" t="str">
        <f t="shared" si="6"/>
        <v xml:space="preserve"> </v>
      </c>
      <c r="S72" s="189"/>
      <c r="T72" s="253"/>
      <c r="U72" s="13"/>
      <c r="V72" s="253"/>
      <c r="W72" s="253"/>
      <c r="X72" s="16"/>
    </row>
    <row r="73" spans="1:24" ht="15" customHeight="1" x14ac:dyDescent="0.35">
      <c r="A73" s="245"/>
      <c r="B73" s="246"/>
      <c r="C73" s="211" t="s">
        <v>331</v>
      </c>
      <c r="D73" s="15"/>
      <c r="E73" s="15">
        <v>1</v>
      </c>
      <c r="F73" s="9">
        <v>850</v>
      </c>
      <c r="G73" s="29">
        <f t="shared" si="7"/>
        <v>850</v>
      </c>
      <c r="H73" s="11"/>
      <c r="I73" s="10"/>
      <c r="J73" s="29">
        <f t="shared" si="8"/>
        <v>0</v>
      </c>
      <c r="K73" s="29"/>
      <c r="L73" s="223">
        <f t="shared" si="9"/>
        <v>850</v>
      </c>
      <c r="M73" s="12"/>
      <c r="N73" s="218" t="str">
        <f t="shared" si="5"/>
        <v xml:space="preserve"> </v>
      </c>
      <c r="O73" s="189"/>
      <c r="P73" s="189"/>
      <c r="Q73" s="189"/>
      <c r="R73" s="189" t="str">
        <f t="shared" si="6"/>
        <v xml:space="preserve"> </v>
      </c>
      <c r="S73" s="189"/>
      <c r="T73" s="253"/>
      <c r="U73" s="13"/>
      <c r="V73" s="253"/>
      <c r="W73" s="253"/>
      <c r="X73" s="16"/>
    </row>
    <row r="74" spans="1:24" ht="15" customHeight="1" x14ac:dyDescent="0.35">
      <c r="A74" s="245"/>
      <c r="B74" s="246"/>
      <c r="C74" s="211" t="s">
        <v>345</v>
      </c>
      <c r="D74" s="15"/>
      <c r="E74" s="15">
        <v>1</v>
      </c>
      <c r="F74" s="9">
        <v>800</v>
      </c>
      <c r="G74" s="29">
        <f t="shared" si="7"/>
        <v>800</v>
      </c>
      <c r="H74" s="11"/>
      <c r="I74" s="10"/>
      <c r="J74" s="29">
        <f t="shared" si="8"/>
        <v>0</v>
      </c>
      <c r="K74" s="29"/>
      <c r="L74" s="223">
        <f t="shared" si="9"/>
        <v>800</v>
      </c>
      <c r="M74" s="12"/>
      <c r="N74" s="218" t="str">
        <f t="shared" si="5"/>
        <v xml:space="preserve"> </v>
      </c>
      <c r="O74" s="189"/>
      <c r="P74" s="189"/>
      <c r="Q74" s="189"/>
      <c r="R74" s="189" t="str">
        <f t="shared" si="6"/>
        <v xml:space="preserve"> </v>
      </c>
      <c r="S74" s="189"/>
      <c r="T74" s="253"/>
      <c r="U74" s="13"/>
      <c r="V74" s="253"/>
      <c r="W74" s="253"/>
      <c r="X74" s="16"/>
    </row>
    <row r="75" spans="1:24" ht="15" customHeight="1" x14ac:dyDescent="0.35">
      <c r="A75" s="245"/>
      <c r="B75" s="246"/>
      <c r="C75" s="211" t="s">
        <v>324</v>
      </c>
      <c r="D75" s="15"/>
      <c r="E75" s="15">
        <v>1</v>
      </c>
      <c r="F75" s="9">
        <v>850</v>
      </c>
      <c r="G75" s="29">
        <f t="shared" si="7"/>
        <v>850</v>
      </c>
      <c r="H75" s="11"/>
      <c r="I75" s="10"/>
      <c r="J75" s="29">
        <f t="shared" si="8"/>
        <v>0</v>
      </c>
      <c r="K75" s="29"/>
      <c r="L75" s="223">
        <f t="shared" si="9"/>
        <v>850</v>
      </c>
      <c r="M75" s="12"/>
      <c r="N75" s="218" t="str">
        <f t="shared" si="5"/>
        <v xml:space="preserve"> </v>
      </c>
      <c r="O75" s="189"/>
      <c r="P75" s="189"/>
      <c r="Q75" s="189"/>
      <c r="R75" s="189" t="str">
        <f t="shared" si="6"/>
        <v xml:space="preserve"> </v>
      </c>
      <c r="S75" s="189"/>
      <c r="T75" s="253"/>
      <c r="U75" s="13"/>
      <c r="V75" s="253"/>
      <c r="W75" s="253"/>
      <c r="X75" s="16"/>
    </row>
    <row r="76" spans="1:24" ht="15" customHeight="1" x14ac:dyDescent="0.35">
      <c r="A76" s="245"/>
      <c r="B76" s="246"/>
      <c r="C76" s="211" t="s">
        <v>319</v>
      </c>
      <c r="D76" s="15"/>
      <c r="E76" s="15">
        <v>2</v>
      </c>
      <c r="F76" s="9">
        <v>830</v>
      </c>
      <c r="G76" s="29">
        <f t="shared" si="7"/>
        <v>1660</v>
      </c>
      <c r="H76" s="11"/>
      <c r="I76" s="10"/>
      <c r="J76" s="29">
        <f t="shared" si="8"/>
        <v>0</v>
      </c>
      <c r="K76" s="29"/>
      <c r="L76" s="223">
        <f t="shared" si="9"/>
        <v>1660</v>
      </c>
      <c r="M76" s="12"/>
      <c r="N76" s="218" t="str">
        <f t="shared" si="5"/>
        <v xml:space="preserve"> </v>
      </c>
      <c r="O76" s="189"/>
      <c r="P76" s="189"/>
      <c r="Q76" s="189"/>
      <c r="R76" s="189" t="str">
        <f t="shared" si="6"/>
        <v xml:space="preserve"> </v>
      </c>
      <c r="S76" s="189"/>
      <c r="T76" s="253"/>
      <c r="U76" s="13"/>
      <c r="V76" s="253"/>
      <c r="W76" s="253"/>
      <c r="X76" s="16"/>
    </row>
    <row r="77" spans="1:24" ht="15" customHeight="1" x14ac:dyDescent="0.35">
      <c r="A77" s="245"/>
      <c r="B77" s="246"/>
      <c r="C77" s="211" t="s">
        <v>321</v>
      </c>
      <c r="D77" s="15">
        <v>1</v>
      </c>
      <c r="E77" s="15"/>
      <c r="F77" s="9">
        <v>850</v>
      </c>
      <c r="G77" s="29">
        <f t="shared" si="7"/>
        <v>850</v>
      </c>
      <c r="H77" s="11"/>
      <c r="I77" s="10"/>
      <c r="J77" s="29">
        <f t="shared" si="8"/>
        <v>0</v>
      </c>
      <c r="K77" s="29"/>
      <c r="L77" s="223">
        <f t="shared" si="9"/>
        <v>850</v>
      </c>
      <c r="M77" s="12"/>
      <c r="N77" s="218" t="str">
        <f t="shared" si="5"/>
        <v xml:space="preserve"> </v>
      </c>
      <c r="O77" s="189"/>
      <c r="P77" s="189"/>
      <c r="Q77" s="189"/>
      <c r="R77" s="189" t="str">
        <f t="shared" si="6"/>
        <v xml:space="preserve"> </v>
      </c>
      <c r="S77" s="189"/>
      <c r="T77" s="253"/>
      <c r="U77" s="13"/>
      <c r="V77" s="253"/>
      <c r="W77" s="253"/>
      <c r="X77" s="16"/>
    </row>
    <row r="78" spans="1:24" ht="15" customHeight="1" x14ac:dyDescent="0.35">
      <c r="A78" s="245"/>
      <c r="B78" s="246"/>
      <c r="C78" s="211" t="s">
        <v>279</v>
      </c>
      <c r="D78" s="15">
        <v>6</v>
      </c>
      <c r="E78" s="15"/>
      <c r="F78" s="9">
        <v>800</v>
      </c>
      <c r="G78" s="29">
        <f t="shared" si="7"/>
        <v>4800</v>
      </c>
      <c r="H78" s="11"/>
      <c r="I78" s="10"/>
      <c r="J78" s="29">
        <f t="shared" si="8"/>
        <v>0</v>
      </c>
      <c r="K78" s="29"/>
      <c r="L78" s="223">
        <f t="shared" si="9"/>
        <v>4800</v>
      </c>
      <c r="M78" s="12"/>
      <c r="N78" s="239" t="str">
        <f t="shared" si="5"/>
        <v xml:space="preserve"> </v>
      </c>
      <c r="O78" s="189"/>
      <c r="P78" s="189"/>
      <c r="Q78" s="189"/>
      <c r="R78" s="189" t="str">
        <f t="shared" si="6"/>
        <v xml:space="preserve"> </v>
      </c>
      <c r="S78" s="189"/>
      <c r="T78" s="253"/>
      <c r="U78" s="13"/>
      <c r="V78" s="253"/>
      <c r="W78" s="253"/>
      <c r="X78" s="16"/>
    </row>
    <row r="79" spans="1:24" ht="15" customHeight="1" x14ac:dyDescent="0.35">
      <c r="A79" s="245"/>
      <c r="B79" s="363"/>
      <c r="C79" s="364" t="s">
        <v>323</v>
      </c>
      <c r="D79" s="15">
        <v>1</v>
      </c>
      <c r="E79" s="15"/>
      <c r="F79" s="9">
        <v>850</v>
      </c>
      <c r="G79" s="29">
        <f t="shared" si="7"/>
        <v>850</v>
      </c>
      <c r="H79" s="11"/>
      <c r="I79" s="10"/>
      <c r="J79" s="29">
        <f t="shared" si="8"/>
        <v>0</v>
      </c>
      <c r="K79" s="29"/>
      <c r="L79" s="223">
        <f t="shared" si="9"/>
        <v>850</v>
      </c>
      <c r="M79" s="12"/>
      <c r="N79" s="218" t="str">
        <f t="shared" si="5"/>
        <v xml:space="preserve"> </v>
      </c>
      <c r="O79" s="189"/>
      <c r="P79" s="189"/>
      <c r="Q79" s="189"/>
      <c r="R79" s="189" t="str">
        <f t="shared" si="6"/>
        <v xml:space="preserve"> </v>
      </c>
      <c r="S79" s="189"/>
      <c r="T79" s="253"/>
      <c r="U79" s="13"/>
      <c r="V79" s="253"/>
      <c r="W79" s="253"/>
      <c r="X79" s="16"/>
    </row>
    <row r="80" spans="1:24" ht="15" customHeight="1" x14ac:dyDescent="0.35">
      <c r="A80" s="23">
        <v>45168</v>
      </c>
      <c r="B80" s="361"/>
      <c r="C80" s="364" t="s">
        <v>153</v>
      </c>
      <c r="D80" s="15">
        <v>1</v>
      </c>
      <c r="E80" s="15"/>
      <c r="F80" s="9">
        <v>850</v>
      </c>
      <c r="G80" s="29">
        <f t="shared" si="7"/>
        <v>850</v>
      </c>
      <c r="H80" s="11"/>
      <c r="I80" s="10"/>
      <c r="J80" s="29">
        <f t="shared" si="8"/>
        <v>0</v>
      </c>
      <c r="K80" s="29"/>
      <c r="L80" s="223">
        <f t="shared" si="9"/>
        <v>850</v>
      </c>
      <c r="M80" s="12"/>
      <c r="N80" s="218" t="str">
        <f t="shared" ref="N80:N88" si="10">IF(M80&gt;0,SUM(L80-M80)," ")</f>
        <v xml:space="preserve"> </v>
      </c>
      <c r="O80" s="189"/>
      <c r="P80" s="189"/>
      <c r="Q80" s="189"/>
      <c r="R80" s="189" t="str">
        <f t="shared" si="6"/>
        <v xml:space="preserve"> </v>
      </c>
      <c r="S80" s="189"/>
      <c r="T80" s="253"/>
      <c r="U80" s="13"/>
      <c r="V80" s="253"/>
      <c r="W80" s="253"/>
      <c r="X80" s="16"/>
    </row>
    <row r="81" spans="1:24" ht="15" customHeight="1" x14ac:dyDescent="0.35">
      <c r="A81" s="23">
        <v>45168</v>
      </c>
      <c r="B81" s="361"/>
      <c r="C81" s="141" t="s">
        <v>321</v>
      </c>
      <c r="D81" s="15">
        <v>3</v>
      </c>
      <c r="E81" s="15"/>
      <c r="F81" s="9">
        <v>850</v>
      </c>
      <c r="G81" s="29">
        <f t="shared" si="7"/>
        <v>2550</v>
      </c>
      <c r="H81" s="11"/>
      <c r="I81" s="10"/>
      <c r="J81" s="29">
        <f t="shared" si="8"/>
        <v>0</v>
      </c>
      <c r="K81" s="29"/>
      <c r="L81" s="223">
        <f t="shared" si="9"/>
        <v>2550</v>
      </c>
      <c r="M81" s="12"/>
      <c r="N81" s="218" t="str">
        <f t="shared" si="10"/>
        <v xml:space="preserve"> </v>
      </c>
      <c r="O81" s="189"/>
      <c r="P81" s="189"/>
      <c r="Q81" s="189"/>
      <c r="R81" s="189" t="str">
        <f t="shared" si="6"/>
        <v xml:space="preserve"> </v>
      </c>
      <c r="S81" s="189"/>
      <c r="T81" s="253"/>
      <c r="U81" s="13"/>
      <c r="V81" s="253"/>
      <c r="W81" s="253"/>
      <c r="X81" s="16"/>
    </row>
    <row r="82" spans="1:24" ht="15" customHeight="1" x14ac:dyDescent="0.35">
      <c r="A82" s="23">
        <v>45168</v>
      </c>
      <c r="B82" s="361"/>
      <c r="C82" s="364" t="s">
        <v>322</v>
      </c>
      <c r="D82" s="15">
        <v>1</v>
      </c>
      <c r="E82" s="15"/>
      <c r="F82" s="9">
        <v>850</v>
      </c>
      <c r="G82" s="29">
        <f t="shared" si="7"/>
        <v>850</v>
      </c>
      <c r="H82" s="11"/>
      <c r="I82" s="10"/>
      <c r="J82" s="29">
        <f t="shared" si="8"/>
        <v>0</v>
      </c>
      <c r="K82" s="29"/>
      <c r="L82" s="223">
        <f t="shared" si="9"/>
        <v>850</v>
      </c>
      <c r="M82" s="12"/>
      <c r="N82" s="218" t="str">
        <f t="shared" si="10"/>
        <v xml:space="preserve"> </v>
      </c>
      <c r="O82" s="189"/>
      <c r="P82" s="189"/>
      <c r="Q82" s="189"/>
      <c r="R82" s="189" t="str">
        <f t="shared" si="6"/>
        <v xml:space="preserve"> </v>
      </c>
      <c r="S82" s="189"/>
      <c r="T82" s="253"/>
      <c r="U82" s="13"/>
      <c r="V82" s="253"/>
      <c r="W82" s="253"/>
      <c r="X82" s="16"/>
    </row>
    <row r="83" spans="1:24" ht="15" customHeight="1" x14ac:dyDescent="0.35">
      <c r="A83" s="23">
        <v>45168</v>
      </c>
      <c r="B83" s="362"/>
      <c r="C83" s="579" t="s">
        <v>296</v>
      </c>
      <c r="D83" s="15">
        <v>4</v>
      </c>
      <c r="E83" s="15"/>
      <c r="F83" s="9">
        <v>840</v>
      </c>
      <c r="G83" s="29">
        <f t="shared" si="7"/>
        <v>3360</v>
      </c>
      <c r="H83" s="11"/>
      <c r="I83" s="10"/>
      <c r="J83" s="29">
        <f t="shared" si="8"/>
        <v>0</v>
      </c>
      <c r="K83" s="29"/>
      <c r="L83" s="223">
        <f t="shared" si="9"/>
        <v>3360</v>
      </c>
      <c r="M83" s="12"/>
      <c r="N83" s="218" t="str">
        <f t="shared" si="10"/>
        <v xml:space="preserve"> </v>
      </c>
      <c r="O83" s="189"/>
      <c r="P83" s="189"/>
      <c r="Q83" s="189"/>
      <c r="R83" s="189" t="str">
        <f t="shared" si="6"/>
        <v xml:space="preserve"> </v>
      </c>
      <c r="S83" s="189"/>
      <c r="T83" s="253"/>
      <c r="U83" s="13"/>
      <c r="V83" s="253"/>
      <c r="W83" s="253"/>
      <c r="X83" s="16"/>
    </row>
    <row r="84" spans="1:24" ht="15" customHeight="1" x14ac:dyDescent="0.35">
      <c r="A84" s="23">
        <v>45169</v>
      </c>
      <c r="B84" s="362"/>
      <c r="C84" s="364" t="s">
        <v>330</v>
      </c>
      <c r="D84" s="15"/>
      <c r="E84" s="15">
        <v>6</v>
      </c>
      <c r="F84" s="9">
        <v>820</v>
      </c>
      <c r="G84" s="29">
        <f t="shared" si="7"/>
        <v>4920</v>
      </c>
      <c r="H84" s="11"/>
      <c r="I84" s="10"/>
      <c r="J84" s="29">
        <f t="shared" si="8"/>
        <v>0</v>
      </c>
      <c r="K84" s="29"/>
      <c r="L84" s="223">
        <f t="shared" si="9"/>
        <v>4920</v>
      </c>
      <c r="M84" s="12"/>
      <c r="N84" s="218" t="str">
        <f t="shared" si="10"/>
        <v xml:space="preserve"> </v>
      </c>
      <c r="O84" s="189"/>
      <c r="P84" s="189"/>
      <c r="Q84" s="189"/>
      <c r="R84" s="189" t="str">
        <f t="shared" si="6"/>
        <v xml:space="preserve"> </v>
      </c>
      <c r="S84" s="189"/>
      <c r="T84" s="253"/>
      <c r="U84" s="13"/>
      <c r="V84" s="253"/>
      <c r="W84" s="253"/>
      <c r="X84" s="16"/>
    </row>
    <row r="85" spans="1:24" ht="15" customHeight="1" x14ac:dyDescent="0.35">
      <c r="A85" s="23">
        <v>45169</v>
      </c>
      <c r="B85" s="361"/>
      <c r="C85" s="141" t="s">
        <v>112</v>
      </c>
      <c r="D85" s="15">
        <v>10</v>
      </c>
      <c r="E85" s="15"/>
      <c r="F85" s="9">
        <v>820</v>
      </c>
      <c r="G85" s="29">
        <f t="shared" si="7"/>
        <v>8200</v>
      </c>
      <c r="H85" s="11"/>
      <c r="I85" s="10"/>
      <c r="J85" s="29">
        <f t="shared" si="8"/>
        <v>0</v>
      </c>
      <c r="K85" s="29"/>
      <c r="L85" s="223">
        <f t="shared" si="9"/>
        <v>8200</v>
      </c>
      <c r="M85" s="12"/>
      <c r="N85" s="218" t="str">
        <f t="shared" si="10"/>
        <v xml:space="preserve"> </v>
      </c>
      <c r="O85" s="189"/>
      <c r="P85" s="189"/>
      <c r="Q85" s="189"/>
      <c r="R85" s="189" t="str">
        <f t="shared" si="6"/>
        <v xml:space="preserve"> </v>
      </c>
      <c r="S85" s="189"/>
      <c r="T85" s="253"/>
      <c r="U85" s="13"/>
      <c r="V85" s="253"/>
      <c r="W85" s="253"/>
      <c r="X85" s="16"/>
    </row>
    <row r="86" spans="1:24" ht="15" customHeight="1" x14ac:dyDescent="0.35">
      <c r="A86" s="23">
        <v>45173</v>
      </c>
      <c r="B86" s="24"/>
      <c r="C86" s="211" t="s">
        <v>153</v>
      </c>
      <c r="D86" s="15">
        <v>1</v>
      </c>
      <c r="E86" s="15"/>
      <c r="F86" s="9">
        <v>850</v>
      </c>
      <c r="G86" s="29">
        <f t="shared" si="7"/>
        <v>850</v>
      </c>
      <c r="H86" s="11"/>
      <c r="I86" s="10"/>
      <c r="J86" s="29">
        <f t="shared" si="8"/>
        <v>0</v>
      </c>
      <c r="K86" s="29"/>
      <c r="L86" s="223">
        <f t="shared" si="9"/>
        <v>850</v>
      </c>
      <c r="M86" s="12"/>
      <c r="N86" s="218" t="str">
        <f t="shared" si="10"/>
        <v xml:space="preserve"> </v>
      </c>
      <c r="O86" s="189"/>
      <c r="P86" s="189"/>
      <c r="Q86" s="189"/>
      <c r="R86" s="189" t="str">
        <f t="shared" si="6"/>
        <v xml:space="preserve"> </v>
      </c>
      <c r="S86" s="189"/>
      <c r="T86" s="253"/>
      <c r="U86" s="13"/>
      <c r="V86" s="253"/>
      <c r="W86" s="253"/>
      <c r="X86" s="16"/>
    </row>
    <row r="87" spans="1:24" ht="15" customHeight="1" x14ac:dyDescent="0.35">
      <c r="A87" s="23">
        <v>45173</v>
      </c>
      <c r="B87" s="361"/>
      <c r="C87" s="141" t="s">
        <v>323</v>
      </c>
      <c r="D87" s="15">
        <v>1</v>
      </c>
      <c r="E87" s="15"/>
      <c r="F87" s="9">
        <v>850</v>
      </c>
      <c r="G87" s="29">
        <f t="shared" si="7"/>
        <v>850</v>
      </c>
      <c r="H87" s="11"/>
      <c r="I87" s="10"/>
      <c r="J87" s="29">
        <f t="shared" si="8"/>
        <v>0</v>
      </c>
      <c r="K87" s="29"/>
      <c r="L87" s="223">
        <f t="shared" si="9"/>
        <v>850</v>
      </c>
      <c r="M87" s="12"/>
      <c r="N87" s="218" t="str">
        <f t="shared" si="10"/>
        <v xml:space="preserve"> </v>
      </c>
      <c r="O87" s="189"/>
      <c r="P87" s="189"/>
      <c r="Q87" s="189"/>
      <c r="R87" s="189" t="str">
        <f t="shared" si="6"/>
        <v xml:space="preserve"> </v>
      </c>
      <c r="S87" s="189"/>
      <c r="T87" s="253"/>
      <c r="U87" s="13"/>
      <c r="V87" s="253"/>
      <c r="W87" s="253"/>
      <c r="X87" s="16"/>
    </row>
    <row r="88" spans="1:24" ht="15" customHeight="1" x14ac:dyDescent="0.35">
      <c r="A88" s="23"/>
      <c r="B88" s="361"/>
      <c r="C88" s="364"/>
      <c r="D88" s="15"/>
      <c r="E88" s="15"/>
      <c r="F88" s="9">
        <v>850</v>
      </c>
      <c r="G88" s="29">
        <f t="shared" si="7"/>
        <v>0</v>
      </c>
      <c r="H88" s="11"/>
      <c r="I88" s="10"/>
      <c r="J88" s="29">
        <f t="shared" si="8"/>
        <v>0</v>
      </c>
      <c r="K88" s="29"/>
      <c r="L88" s="223">
        <f t="shared" si="9"/>
        <v>0</v>
      </c>
      <c r="M88" s="12"/>
      <c r="N88" s="218" t="str">
        <f t="shared" si="10"/>
        <v xml:space="preserve"> </v>
      </c>
      <c r="O88" s="189"/>
      <c r="P88" s="189"/>
      <c r="Q88" s="189"/>
      <c r="R88" s="189" t="str">
        <f t="shared" si="6"/>
        <v xml:space="preserve"> </v>
      </c>
      <c r="S88" s="189"/>
      <c r="T88" s="253"/>
      <c r="U88" s="13"/>
      <c r="V88" s="253"/>
      <c r="W88" s="253"/>
      <c r="X88" s="16"/>
    </row>
    <row r="89" spans="1:24" ht="15" customHeight="1" x14ac:dyDescent="0.35">
      <c r="A89" s="23"/>
      <c r="B89" s="362"/>
      <c r="C89" s="364"/>
      <c r="D89" s="15"/>
      <c r="E89" s="15"/>
      <c r="F89" s="9">
        <v>820</v>
      </c>
      <c r="G89" s="29">
        <f t="shared" si="7"/>
        <v>0</v>
      </c>
      <c r="H89" s="11"/>
      <c r="I89" s="10"/>
      <c r="J89" s="29">
        <f t="shared" si="8"/>
        <v>0</v>
      </c>
      <c r="K89" s="29"/>
      <c r="L89" s="223">
        <f t="shared" si="9"/>
        <v>0</v>
      </c>
      <c r="M89" s="12"/>
      <c r="N89" s="218" t="str">
        <f t="shared" si="5"/>
        <v xml:space="preserve"> </v>
      </c>
      <c r="O89" s="189"/>
      <c r="P89" s="189"/>
      <c r="Q89" s="189"/>
      <c r="R89" s="189" t="str">
        <f t="shared" si="6"/>
        <v xml:space="preserve"> </v>
      </c>
      <c r="S89" s="189"/>
      <c r="T89" s="253"/>
      <c r="U89" s="13"/>
      <c r="V89" s="253"/>
      <c r="W89" s="253"/>
      <c r="X89" s="16"/>
    </row>
    <row r="90" spans="1:24" ht="15" customHeight="1" x14ac:dyDescent="0.35">
      <c r="A90" s="23"/>
      <c r="B90" s="361"/>
      <c r="C90" s="141"/>
      <c r="D90" s="15"/>
      <c r="E90" s="15"/>
      <c r="F90" s="9">
        <v>850</v>
      </c>
      <c r="G90" s="29">
        <f t="shared" si="7"/>
        <v>0</v>
      </c>
      <c r="H90" s="11"/>
      <c r="I90" s="10"/>
      <c r="J90" s="29">
        <f t="shared" si="8"/>
        <v>0</v>
      </c>
      <c r="K90" s="29"/>
      <c r="L90" s="223">
        <f t="shared" si="9"/>
        <v>0</v>
      </c>
      <c r="M90" s="12"/>
      <c r="N90" s="218" t="str">
        <f t="shared" si="5"/>
        <v xml:space="preserve"> </v>
      </c>
      <c r="O90" s="189"/>
      <c r="P90" s="189"/>
      <c r="Q90" s="189"/>
      <c r="R90" s="189" t="str">
        <f t="shared" si="6"/>
        <v xml:space="preserve"> </v>
      </c>
      <c r="S90" s="189"/>
      <c r="T90" s="253"/>
      <c r="U90" s="13"/>
      <c r="V90" s="253"/>
      <c r="W90" s="253"/>
      <c r="X90" s="16"/>
    </row>
    <row r="91" spans="1:24" ht="15" customHeight="1" x14ac:dyDescent="0.35">
      <c r="A91" s="245"/>
      <c r="B91" s="363"/>
      <c r="C91" s="141"/>
      <c r="D91" s="15"/>
      <c r="E91" s="15"/>
      <c r="F91" s="9">
        <v>820</v>
      </c>
      <c r="G91" s="29">
        <f t="shared" si="7"/>
        <v>0</v>
      </c>
      <c r="H91" s="11"/>
      <c r="I91" s="10"/>
      <c r="J91" s="29">
        <f t="shared" si="8"/>
        <v>0</v>
      </c>
      <c r="K91" s="29"/>
      <c r="L91" s="223">
        <f t="shared" si="9"/>
        <v>0</v>
      </c>
      <c r="M91" s="12"/>
      <c r="N91" s="218" t="str">
        <f t="shared" si="5"/>
        <v xml:space="preserve"> </v>
      </c>
      <c r="O91" s="189"/>
      <c r="P91" s="189"/>
      <c r="Q91" s="189"/>
      <c r="R91" s="189" t="str">
        <f t="shared" si="6"/>
        <v xml:space="preserve"> </v>
      </c>
      <c r="S91" s="189"/>
      <c r="T91" s="253"/>
      <c r="U91" s="13"/>
      <c r="V91" s="253"/>
      <c r="W91" s="253"/>
      <c r="X91" s="16"/>
    </row>
    <row r="92" spans="1:24" ht="15" customHeight="1" x14ac:dyDescent="0.35">
      <c r="A92" s="245"/>
      <c r="B92" s="246"/>
      <c r="C92" s="211"/>
      <c r="D92" s="15"/>
      <c r="E92" s="15"/>
      <c r="F92" s="9">
        <v>800</v>
      </c>
      <c r="G92" s="29">
        <f t="shared" si="7"/>
        <v>0</v>
      </c>
      <c r="H92" s="11"/>
      <c r="I92" s="10"/>
      <c r="J92" s="29">
        <f t="shared" si="8"/>
        <v>0</v>
      </c>
      <c r="K92" s="29"/>
      <c r="L92" s="223">
        <f t="shared" si="9"/>
        <v>0</v>
      </c>
      <c r="M92" s="12"/>
      <c r="N92" s="218" t="str">
        <f t="shared" si="5"/>
        <v xml:space="preserve"> </v>
      </c>
      <c r="O92" s="189"/>
      <c r="P92" s="189"/>
      <c r="Q92" s="189"/>
      <c r="R92" s="189" t="str">
        <f t="shared" si="6"/>
        <v xml:space="preserve"> </v>
      </c>
      <c r="S92" s="189"/>
      <c r="T92" s="253"/>
      <c r="U92" s="13"/>
      <c r="V92" s="253"/>
      <c r="W92" s="253"/>
      <c r="X92" s="16"/>
    </row>
    <row r="93" spans="1:24" ht="15" customHeight="1" x14ac:dyDescent="0.35">
      <c r="A93" s="245"/>
      <c r="B93" s="246"/>
      <c r="C93" s="211"/>
      <c r="D93" s="15"/>
      <c r="E93" s="15"/>
      <c r="F93" s="9">
        <v>830</v>
      </c>
      <c r="G93" s="29">
        <f t="shared" si="7"/>
        <v>0</v>
      </c>
      <c r="H93" s="11"/>
      <c r="I93" s="10"/>
      <c r="J93" s="29">
        <f t="shared" si="8"/>
        <v>0</v>
      </c>
      <c r="K93" s="29"/>
      <c r="L93" s="223">
        <f t="shared" si="9"/>
        <v>0</v>
      </c>
      <c r="M93" s="12"/>
      <c r="N93" s="218" t="str">
        <f t="shared" si="5"/>
        <v xml:space="preserve"> </v>
      </c>
      <c r="O93" s="189"/>
      <c r="P93" s="189"/>
      <c r="Q93" s="189"/>
      <c r="R93" s="189" t="str">
        <f t="shared" si="6"/>
        <v xml:space="preserve"> </v>
      </c>
      <c r="S93" s="189"/>
      <c r="T93" s="253"/>
      <c r="U93" s="13"/>
      <c r="V93" s="253"/>
      <c r="W93" s="253"/>
      <c r="X93" s="16"/>
    </row>
    <row r="94" spans="1:24" ht="15" customHeight="1" x14ac:dyDescent="0.35">
      <c r="A94" s="23"/>
      <c r="B94" s="361"/>
      <c r="C94" s="141"/>
      <c r="D94" s="15"/>
      <c r="E94" s="15"/>
      <c r="F94" s="9">
        <v>850</v>
      </c>
      <c r="G94" s="29">
        <f t="shared" si="7"/>
        <v>0</v>
      </c>
      <c r="H94" s="11"/>
      <c r="I94" s="10"/>
      <c r="J94" s="29">
        <f t="shared" si="8"/>
        <v>0</v>
      </c>
      <c r="K94" s="29"/>
      <c r="L94" s="223">
        <f t="shared" si="9"/>
        <v>0</v>
      </c>
      <c r="M94" s="12"/>
      <c r="N94" s="218" t="str">
        <f t="shared" si="5"/>
        <v xml:space="preserve"> </v>
      </c>
      <c r="O94" s="189"/>
      <c r="P94" s="189"/>
      <c r="Q94" s="189"/>
      <c r="R94" s="189" t="str">
        <f t="shared" si="6"/>
        <v xml:space="preserve"> </v>
      </c>
      <c r="S94" s="189"/>
      <c r="T94" s="253"/>
      <c r="U94" s="13"/>
      <c r="V94" s="253"/>
      <c r="W94" s="253"/>
      <c r="X94" s="16"/>
    </row>
    <row r="95" spans="1:24" ht="15" customHeight="1" x14ac:dyDescent="0.35">
      <c r="A95" s="23"/>
      <c r="B95" s="362"/>
      <c r="C95" s="578"/>
      <c r="D95" s="15"/>
      <c r="E95" s="15"/>
      <c r="F95" s="9">
        <v>800</v>
      </c>
      <c r="G95" s="29">
        <f t="shared" si="7"/>
        <v>0</v>
      </c>
      <c r="H95" s="11"/>
      <c r="I95" s="10"/>
      <c r="J95" s="29">
        <f t="shared" si="8"/>
        <v>0</v>
      </c>
      <c r="K95" s="29"/>
      <c r="L95" s="223">
        <f t="shared" si="9"/>
        <v>0</v>
      </c>
      <c r="M95" s="12"/>
      <c r="N95" s="218" t="str">
        <f t="shared" si="5"/>
        <v xml:space="preserve"> </v>
      </c>
      <c r="O95" s="189"/>
      <c r="P95" s="189"/>
      <c r="Q95" s="189"/>
      <c r="R95" s="189" t="str">
        <f t="shared" si="6"/>
        <v xml:space="preserve"> </v>
      </c>
      <c r="S95" s="189"/>
      <c r="T95" s="253"/>
      <c r="U95" s="13"/>
      <c r="V95" s="253"/>
      <c r="W95" s="253"/>
      <c r="X95" s="16"/>
    </row>
    <row r="96" spans="1:24" ht="15" customHeight="1" x14ac:dyDescent="0.35">
      <c r="A96" s="227"/>
      <c r="B96" s="24"/>
      <c r="C96" s="212"/>
      <c r="D96" s="15"/>
      <c r="E96" s="15"/>
      <c r="F96" s="9">
        <v>800</v>
      </c>
      <c r="G96" s="29">
        <f t="shared" si="7"/>
        <v>0</v>
      </c>
      <c r="H96" s="11"/>
      <c r="I96" s="10"/>
      <c r="J96" s="29">
        <f t="shared" si="8"/>
        <v>0</v>
      </c>
      <c r="K96" s="29"/>
      <c r="L96" s="223">
        <f t="shared" si="9"/>
        <v>0</v>
      </c>
      <c r="M96" s="12"/>
      <c r="N96" s="218" t="str">
        <f>IF(M96&gt;0,SUM(L96-M96)," ")</f>
        <v xml:space="preserve"> </v>
      </c>
      <c r="O96" s="189"/>
      <c r="P96" s="189"/>
      <c r="Q96" s="189"/>
      <c r="R96" s="189" t="str">
        <f t="shared" si="6"/>
        <v xml:space="preserve"> </v>
      </c>
      <c r="S96" s="189"/>
      <c r="T96" s="253"/>
      <c r="U96" s="13"/>
      <c r="V96" s="253"/>
      <c r="W96" s="253"/>
      <c r="X96" s="16"/>
    </row>
    <row r="97" spans="1:24" ht="15" customHeight="1" x14ac:dyDescent="0.35">
      <c r="A97" s="227"/>
      <c r="B97" s="24"/>
      <c r="C97" s="211"/>
      <c r="D97" s="15"/>
      <c r="E97" s="15"/>
      <c r="F97" s="9">
        <v>800</v>
      </c>
      <c r="G97" s="29">
        <f t="shared" si="7"/>
        <v>0</v>
      </c>
      <c r="H97" s="11"/>
      <c r="I97" s="10"/>
      <c r="J97" s="29">
        <f t="shared" si="8"/>
        <v>0</v>
      </c>
      <c r="K97" s="29"/>
      <c r="L97" s="223">
        <f t="shared" si="9"/>
        <v>0</v>
      </c>
      <c r="M97" s="12"/>
      <c r="N97" s="218" t="str">
        <f>IF(M97&gt;0,SUM(L97-M97)," ")</f>
        <v xml:space="preserve"> </v>
      </c>
      <c r="O97" s="189"/>
      <c r="P97" s="189"/>
      <c r="Q97" s="189"/>
      <c r="R97" s="189" t="str">
        <f t="shared" si="6"/>
        <v xml:space="preserve"> </v>
      </c>
      <c r="S97" s="189"/>
      <c r="T97" s="253"/>
      <c r="U97" s="13"/>
      <c r="V97" s="253"/>
      <c r="W97" s="253"/>
      <c r="X97" s="16"/>
    </row>
    <row r="98" spans="1:24" ht="15" customHeight="1" x14ac:dyDescent="0.35">
      <c r="A98" s="227"/>
      <c r="B98" s="24"/>
      <c r="C98" s="206"/>
      <c r="D98" s="15"/>
      <c r="E98" s="15"/>
      <c r="F98" s="9">
        <v>800</v>
      </c>
      <c r="G98" s="29">
        <f t="shared" si="7"/>
        <v>0</v>
      </c>
      <c r="H98" s="11"/>
      <c r="I98" s="10"/>
      <c r="J98" s="29">
        <f t="shared" si="8"/>
        <v>0</v>
      </c>
      <c r="K98" s="29"/>
      <c r="L98" s="223">
        <f t="shared" si="9"/>
        <v>0</v>
      </c>
      <c r="M98" s="12"/>
      <c r="N98" s="218" t="str">
        <f t="shared" si="5"/>
        <v xml:space="preserve"> </v>
      </c>
      <c r="O98" s="189"/>
      <c r="P98" s="189"/>
      <c r="Q98" s="189"/>
      <c r="R98" s="189" t="str">
        <f t="shared" si="4"/>
        <v xml:space="preserve"> </v>
      </c>
      <c r="S98" s="189"/>
      <c r="T98" s="253"/>
      <c r="U98" s="13"/>
      <c r="V98" s="253"/>
      <c r="W98" s="253"/>
      <c r="X98" s="16"/>
    </row>
    <row r="99" spans="1:24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7"/>
        <v>0</v>
      </c>
      <c r="H99" s="11"/>
      <c r="I99" s="10"/>
      <c r="J99" s="29">
        <f t="shared" si="8"/>
        <v>0</v>
      </c>
      <c r="K99" s="29"/>
      <c r="L99" s="223">
        <f t="shared" si="9"/>
        <v>0</v>
      </c>
      <c r="M99" s="12"/>
      <c r="N99" s="218" t="str">
        <f t="shared" si="5"/>
        <v xml:space="preserve"> </v>
      </c>
      <c r="O99" s="189"/>
      <c r="P99" s="189"/>
      <c r="Q99" s="189"/>
      <c r="R99" s="189" t="str">
        <f t="shared" si="4"/>
        <v xml:space="preserve"> </v>
      </c>
      <c r="S99" s="189"/>
      <c r="T99" s="253"/>
      <c r="U99" s="13"/>
      <c r="V99" s="253"/>
      <c r="W99" s="253"/>
      <c r="X99" s="16"/>
    </row>
    <row r="100" spans="1:24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7"/>
        <v>0</v>
      </c>
      <c r="H100" s="11"/>
      <c r="I100" s="10"/>
      <c r="J100" s="29">
        <f t="shared" si="8"/>
        <v>0</v>
      </c>
      <c r="K100" s="29"/>
      <c r="L100" s="223">
        <f t="shared" si="9"/>
        <v>0</v>
      </c>
      <c r="M100" s="12"/>
      <c r="N100" s="218" t="str">
        <f t="shared" si="5"/>
        <v xml:space="preserve"> </v>
      </c>
      <c r="O100" s="189"/>
      <c r="P100" s="189"/>
      <c r="Q100" s="189"/>
      <c r="R100" s="189" t="str">
        <f t="shared" si="4"/>
        <v xml:space="preserve"> </v>
      </c>
      <c r="S100" s="189"/>
      <c r="T100" s="253"/>
      <c r="U100" s="13"/>
      <c r="V100" s="253"/>
      <c r="W100" s="253"/>
      <c r="X100" s="16"/>
    </row>
    <row r="101" spans="1:24" ht="16" x14ac:dyDescent="0.5">
      <c r="D101" s="21">
        <f>SUM(D4:D100)</f>
        <v>134</v>
      </c>
      <c r="E101" s="21">
        <f>SUM(E4:E100)</f>
        <v>111</v>
      </c>
      <c r="G101" s="198">
        <f>SUM(G4:G100)</f>
        <v>202040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202040</v>
      </c>
      <c r="M101" s="198"/>
      <c r="N101" s="218" t="str">
        <f t="shared" si="5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-8120</v>
      </c>
      <c r="S101" s="199">
        <f>SUM(S4:S100)</f>
        <v>0</v>
      </c>
    </row>
    <row r="102" spans="1:24" x14ac:dyDescent="0.35">
      <c r="D102" s="290">
        <f>D101+E101</f>
        <v>245</v>
      </c>
      <c r="E102" s="291"/>
      <c r="G102" s="22"/>
      <c r="I102" s="5"/>
      <c r="J102" s="22"/>
      <c r="K102" s="22"/>
    </row>
    <row r="103" spans="1:24" x14ac:dyDescent="0.35">
      <c r="I103" s="5"/>
      <c r="J103" s="6"/>
      <c r="K103" s="6"/>
    </row>
    <row r="108" spans="1:24" x14ac:dyDescent="0.35">
      <c r="C108" s="211" t="s">
        <v>82</v>
      </c>
    </row>
    <row r="109" spans="1:24" x14ac:dyDescent="0.35">
      <c r="C109" s="211" t="s">
        <v>103</v>
      </c>
    </row>
    <row r="110" spans="1:24" x14ac:dyDescent="0.35">
      <c r="C110" s="211" t="s">
        <v>82</v>
      </c>
    </row>
    <row r="111" spans="1:24" x14ac:dyDescent="0.35">
      <c r="C111" s="211" t="s">
        <v>15</v>
      </c>
    </row>
    <row r="112" spans="1:24" x14ac:dyDescent="0.35">
      <c r="C112" s="212" t="s">
        <v>100</v>
      </c>
    </row>
    <row r="113" spans="3:3" x14ac:dyDescent="0.35">
      <c r="C113" s="211" t="s">
        <v>81</v>
      </c>
    </row>
    <row r="114" spans="3:3" x14ac:dyDescent="0.35">
      <c r="C114" s="211" t="s">
        <v>82</v>
      </c>
    </row>
    <row r="115" spans="3:3" x14ac:dyDescent="0.35">
      <c r="C115" s="211" t="s">
        <v>82</v>
      </c>
    </row>
    <row r="116" spans="3:3" x14ac:dyDescent="0.35">
      <c r="C116" s="211" t="s">
        <v>82</v>
      </c>
    </row>
    <row r="117" spans="3:3" x14ac:dyDescent="0.35">
      <c r="C117" s="211" t="s">
        <v>103</v>
      </c>
    </row>
    <row r="118" spans="3:3" x14ac:dyDescent="0.35">
      <c r="C118" s="212"/>
    </row>
    <row r="119" spans="3:3" x14ac:dyDescent="0.35">
      <c r="C119" s="211"/>
    </row>
    <row r="120" spans="3:3" x14ac:dyDescent="0.35">
      <c r="C120" s="212" t="s">
        <v>112</v>
      </c>
    </row>
    <row r="121" spans="3:3" x14ac:dyDescent="0.35">
      <c r="C121" s="211" t="s">
        <v>102</v>
      </c>
    </row>
    <row r="122" spans="3:3" x14ac:dyDescent="0.35">
      <c r="C122" s="211" t="s">
        <v>15</v>
      </c>
    </row>
    <row r="123" spans="3:3" x14ac:dyDescent="0.35">
      <c r="C123" s="211"/>
    </row>
    <row r="124" spans="3:3" x14ac:dyDescent="0.35">
      <c r="C124" s="211"/>
    </row>
    <row r="125" spans="3:3" x14ac:dyDescent="0.35">
      <c r="C125" s="211" t="s">
        <v>82</v>
      </c>
    </row>
    <row r="126" spans="3:3" x14ac:dyDescent="0.35">
      <c r="C126" s="212" t="s">
        <v>100</v>
      </c>
    </row>
    <row r="127" spans="3:3" x14ac:dyDescent="0.35">
      <c r="C127" s="211" t="s">
        <v>82</v>
      </c>
    </row>
    <row r="128" spans="3:3" x14ac:dyDescent="0.35">
      <c r="C128" s="211" t="s">
        <v>81</v>
      </c>
    </row>
    <row r="129" spans="3:3" x14ac:dyDescent="0.35">
      <c r="C129" s="211" t="s">
        <v>115</v>
      </c>
    </row>
    <row r="130" spans="3:3" x14ac:dyDescent="0.35">
      <c r="C130" s="212" t="s">
        <v>101</v>
      </c>
    </row>
    <row r="131" spans="3:3" x14ac:dyDescent="0.35">
      <c r="C131" s="211" t="s">
        <v>82</v>
      </c>
    </row>
    <row r="132" spans="3:3" x14ac:dyDescent="0.35">
      <c r="C132" s="211" t="s">
        <v>111</v>
      </c>
    </row>
    <row r="133" spans="3:3" x14ac:dyDescent="0.35">
      <c r="C133" s="206"/>
    </row>
    <row r="134" spans="3:3" x14ac:dyDescent="0.35">
      <c r="C134" s="212"/>
    </row>
    <row r="135" spans="3:3" x14ac:dyDescent="0.35">
      <c r="C135" s="212" t="s">
        <v>101</v>
      </c>
    </row>
    <row r="136" spans="3:3" x14ac:dyDescent="0.35">
      <c r="C136" s="212" t="s">
        <v>15</v>
      </c>
    </row>
    <row r="137" spans="3:3" x14ac:dyDescent="0.35">
      <c r="C137" s="211" t="s">
        <v>81</v>
      </c>
    </row>
    <row r="138" spans="3:3" x14ac:dyDescent="0.35">
      <c r="C138" s="211"/>
    </row>
    <row r="1048434" spans="15:21" x14ac:dyDescent="0.35">
      <c r="O1048434" s="189"/>
      <c r="P1048434" s="189"/>
      <c r="Q1048434" s="189"/>
      <c r="R1048434" s="189"/>
      <c r="S1048434" s="189"/>
      <c r="U1048434" s="13"/>
    </row>
    <row r="1048576" spans="1:1" x14ac:dyDescent="0.35">
      <c r="A1048576" s="245">
        <v>44789</v>
      </c>
    </row>
  </sheetData>
  <autoFilter ref="B3:AA102" xr:uid="{00000000-0009-0000-0000-00000E000000}"/>
  <mergeCells count="15">
    <mergeCell ref="A2:A3"/>
    <mergeCell ref="B2:B3"/>
    <mergeCell ref="C2:C3"/>
    <mergeCell ref="D2:G2"/>
    <mergeCell ref="H2:J2"/>
    <mergeCell ref="K2:K3"/>
    <mergeCell ref="V2:V3"/>
    <mergeCell ref="X2:X3"/>
    <mergeCell ref="O3:O4"/>
    <mergeCell ref="L2:L3"/>
    <mergeCell ref="M2:M3"/>
    <mergeCell ref="N2:N3"/>
    <mergeCell ref="O2:S2"/>
    <mergeCell ref="T2:T3"/>
    <mergeCell ref="U2:U3"/>
  </mergeCells>
  <conditionalFormatting sqref="B2 B100:B1048576 A65 A82:A86 A25 A75:A76 A78:A80 A67 A62:A63 A69 A27:A30 A18:A23 A50:A51 A42:A43 A53:A60">
    <cfRule type="containsText" dxfId="1069" priority="300" operator="containsText" text="OK">
      <formula>NOT(ISERROR(SEARCH("OK",A2)))</formula>
    </cfRule>
  </conditionalFormatting>
  <conditionalFormatting sqref="B2 B100:B1048576 A65 A82:A86 A25 A75:A76 A78:A80 A67 A62:A63 A69 A27:A30 A18:A23 A50:A51 A42:A43 A53:A60">
    <cfRule type="containsText" dxfId="1068" priority="299" operator="containsText" text="ok">
      <formula>NOT(ISERROR(SEARCH("ok",A2)))</formula>
    </cfRule>
  </conditionalFormatting>
  <conditionalFormatting sqref="B54:B65 B67">
    <cfRule type="containsText" dxfId="1067" priority="298" operator="containsText" text="OK">
      <formula>NOT(ISERROR(SEARCH("OK",B54)))</formula>
    </cfRule>
  </conditionalFormatting>
  <conditionalFormatting sqref="B54:B65 B67">
    <cfRule type="containsText" dxfId="1066" priority="297" operator="containsText" text="ok">
      <formula>NOT(ISERROR(SEARCH("ok",B54)))</formula>
    </cfRule>
  </conditionalFormatting>
  <conditionalFormatting sqref="A2 A100:A1048575">
    <cfRule type="containsText" dxfId="1065" priority="294" operator="containsText" text="OK">
      <formula>NOT(ISERROR(SEARCH("OK",A2)))</formula>
    </cfRule>
  </conditionalFormatting>
  <conditionalFormatting sqref="A2 A100:A1048575">
    <cfRule type="containsText" dxfId="1064" priority="293" operator="containsText" text="ok">
      <formula>NOT(ISERROR(SEARCH("ok",A2)))</formula>
    </cfRule>
  </conditionalFormatting>
  <conditionalFormatting sqref="A96">
    <cfRule type="containsText" dxfId="1063" priority="290" operator="containsText" text="OK">
      <formula>NOT(ISERROR(SEARCH("OK",A96)))</formula>
    </cfRule>
  </conditionalFormatting>
  <conditionalFormatting sqref="A96">
    <cfRule type="containsText" dxfId="1062" priority="289" operator="containsText" text="ok">
      <formula>NOT(ISERROR(SEARCH("ok",A96)))</formula>
    </cfRule>
  </conditionalFormatting>
  <conditionalFormatting sqref="A97">
    <cfRule type="containsText" dxfId="1061" priority="288" operator="containsText" text="OK">
      <formula>NOT(ISERROR(SEARCH("OK",A97)))</formula>
    </cfRule>
  </conditionalFormatting>
  <conditionalFormatting sqref="A97">
    <cfRule type="containsText" dxfId="1060" priority="287" operator="containsText" text="ok">
      <formula>NOT(ISERROR(SEARCH("ok",A97)))</formula>
    </cfRule>
  </conditionalFormatting>
  <conditionalFormatting sqref="A98">
    <cfRule type="containsText" dxfId="1059" priority="286" operator="containsText" text="OK">
      <formula>NOT(ISERROR(SEARCH("OK",A98)))</formula>
    </cfRule>
  </conditionalFormatting>
  <conditionalFormatting sqref="A98">
    <cfRule type="containsText" dxfId="1058" priority="285" operator="containsText" text="ok">
      <formula>NOT(ISERROR(SEARCH("ok",A98)))</formula>
    </cfRule>
  </conditionalFormatting>
  <conditionalFormatting sqref="A99">
    <cfRule type="containsText" dxfId="1057" priority="284" operator="containsText" text="OK">
      <formula>NOT(ISERROR(SEARCH("OK",A99)))</formula>
    </cfRule>
  </conditionalFormatting>
  <conditionalFormatting sqref="A99">
    <cfRule type="containsText" dxfId="1056" priority="283" operator="containsText" text="ok">
      <formula>NOT(ISERROR(SEARCH("ok",A99)))</formula>
    </cfRule>
  </conditionalFormatting>
  <conditionalFormatting sqref="B82">
    <cfRule type="containsText" dxfId="1055" priority="280" operator="containsText" text="OK">
      <formula>NOT(ISERROR(SEARCH("OK",B82)))</formula>
    </cfRule>
  </conditionalFormatting>
  <conditionalFormatting sqref="B82">
    <cfRule type="containsText" dxfId="1054" priority="279" operator="containsText" text="ok">
      <formula>NOT(ISERROR(SEARCH("ok",B82)))</formula>
    </cfRule>
  </conditionalFormatting>
  <conditionalFormatting sqref="B83">
    <cfRule type="containsText" dxfId="1053" priority="278" operator="containsText" text="OK">
      <formula>NOT(ISERROR(SEARCH("OK",B83)))</formula>
    </cfRule>
  </conditionalFormatting>
  <conditionalFormatting sqref="B83">
    <cfRule type="containsText" dxfId="1052" priority="277" operator="containsText" text="ok">
      <formula>NOT(ISERROR(SEARCH("ok",B83)))</formula>
    </cfRule>
  </conditionalFormatting>
  <conditionalFormatting sqref="B84">
    <cfRule type="containsText" dxfId="1051" priority="276" operator="containsText" text="OK">
      <formula>NOT(ISERROR(SEARCH("OK",B84)))</formula>
    </cfRule>
  </conditionalFormatting>
  <conditionalFormatting sqref="B84">
    <cfRule type="containsText" dxfId="1050" priority="275" operator="containsText" text="ok">
      <formula>NOT(ISERROR(SEARCH("ok",B84)))</formula>
    </cfRule>
  </conditionalFormatting>
  <conditionalFormatting sqref="B85">
    <cfRule type="containsText" dxfId="1049" priority="274" operator="containsText" text="OK">
      <formula>NOT(ISERROR(SEARCH("OK",B85)))</formula>
    </cfRule>
  </conditionalFormatting>
  <conditionalFormatting sqref="B85">
    <cfRule type="containsText" dxfId="1048" priority="273" operator="containsText" text="ok">
      <formula>NOT(ISERROR(SEARCH("ok",B85)))</formula>
    </cfRule>
  </conditionalFormatting>
  <conditionalFormatting sqref="B86">
    <cfRule type="containsText" dxfId="1047" priority="272" operator="containsText" text="OK">
      <formula>NOT(ISERROR(SEARCH("OK",B86)))</formula>
    </cfRule>
  </conditionalFormatting>
  <conditionalFormatting sqref="B86">
    <cfRule type="containsText" dxfId="1046" priority="271" operator="containsText" text="ok">
      <formula>NOT(ISERROR(SEARCH("ok",B86)))</formula>
    </cfRule>
  </conditionalFormatting>
  <conditionalFormatting sqref="A45">
    <cfRule type="containsText" dxfId="1045" priority="270" operator="containsText" text="OK">
      <formula>NOT(ISERROR(SEARCH("OK",A45)))</formula>
    </cfRule>
  </conditionalFormatting>
  <conditionalFormatting sqref="A45">
    <cfRule type="containsText" dxfId="1044" priority="269" operator="containsText" text="ok">
      <formula>NOT(ISERROR(SEARCH("ok",A45)))</formula>
    </cfRule>
  </conditionalFormatting>
  <conditionalFormatting sqref="B69">
    <cfRule type="containsText" dxfId="1043" priority="268" operator="containsText" text="OK">
      <formula>NOT(ISERROR(SEARCH("OK",B69)))</formula>
    </cfRule>
  </conditionalFormatting>
  <conditionalFormatting sqref="B69">
    <cfRule type="containsText" dxfId="1042" priority="267" operator="containsText" text="ok">
      <formula>NOT(ISERROR(SEARCH("ok",B69)))</formula>
    </cfRule>
  </conditionalFormatting>
  <conditionalFormatting sqref="B83">
    <cfRule type="containsText" dxfId="1041" priority="260" operator="containsText" text="OK">
      <formula>NOT(ISERROR(SEARCH("OK",B83)))</formula>
    </cfRule>
  </conditionalFormatting>
  <conditionalFormatting sqref="B83">
    <cfRule type="containsText" dxfId="1040" priority="259" operator="containsText" text="ok">
      <formula>NOT(ISERROR(SEARCH("ok",B83)))</formula>
    </cfRule>
  </conditionalFormatting>
  <conditionalFormatting sqref="B84">
    <cfRule type="containsText" dxfId="1039" priority="258" operator="containsText" text="OK">
      <formula>NOT(ISERROR(SEARCH("OK",B84)))</formula>
    </cfRule>
  </conditionalFormatting>
  <conditionalFormatting sqref="B84">
    <cfRule type="containsText" dxfId="1038" priority="257" operator="containsText" text="ok">
      <formula>NOT(ISERROR(SEARCH("ok",B84)))</formula>
    </cfRule>
  </conditionalFormatting>
  <conditionalFormatting sqref="A81">
    <cfRule type="containsText" dxfId="1037" priority="254" operator="containsText" text="OK">
      <formula>NOT(ISERROR(SEARCH("OK",A81)))</formula>
    </cfRule>
  </conditionalFormatting>
  <conditionalFormatting sqref="A81">
    <cfRule type="containsText" dxfId="1036" priority="253" operator="containsText" text="ok">
      <formula>NOT(ISERROR(SEARCH("ok",A81)))</formula>
    </cfRule>
  </conditionalFormatting>
  <conditionalFormatting sqref="B81">
    <cfRule type="containsText" dxfId="1035" priority="252" operator="containsText" text="OK">
      <formula>NOT(ISERROR(SEARCH("OK",B81)))</formula>
    </cfRule>
  </conditionalFormatting>
  <conditionalFormatting sqref="B81">
    <cfRule type="containsText" dxfId="1034" priority="251" operator="containsText" text="ok">
      <formula>NOT(ISERROR(SEARCH("ok",B81)))</formula>
    </cfRule>
  </conditionalFormatting>
  <conditionalFormatting sqref="A61">
    <cfRule type="containsText" dxfId="1033" priority="250" operator="containsText" text="OK">
      <formula>NOT(ISERROR(SEARCH("OK",A61)))</formula>
    </cfRule>
  </conditionalFormatting>
  <conditionalFormatting sqref="A61">
    <cfRule type="containsText" dxfId="1032" priority="249" operator="containsText" text="ok">
      <formula>NOT(ISERROR(SEARCH("ok",A61)))</formula>
    </cfRule>
  </conditionalFormatting>
  <conditionalFormatting sqref="B66">
    <cfRule type="containsText" dxfId="1031" priority="246" operator="containsText" text="OK">
      <formula>NOT(ISERROR(SEARCH("OK",B66)))</formula>
    </cfRule>
  </conditionalFormatting>
  <conditionalFormatting sqref="B66">
    <cfRule type="containsText" dxfId="1030" priority="245" operator="containsText" text="ok">
      <formula>NOT(ISERROR(SEARCH("ok",B66)))</formula>
    </cfRule>
  </conditionalFormatting>
  <conditionalFormatting sqref="A66">
    <cfRule type="containsText" dxfId="1029" priority="248" operator="containsText" text="OK">
      <formula>NOT(ISERROR(SEARCH("OK",A66)))</formula>
    </cfRule>
  </conditionalFormatting>
  <conditionalFormatting sqref="A66">
    <cfRule type="containsText" dxfId="1028" priority="247" operator="containsText" text="ok">
      <formula>NOT(ISERROR(SEARCH("ok",A66)))</formula>
    </cfRule>
  </conditionalFormatting>
  <conditionalFormatting sqref="B75">
    <cfRule type="containsText" dxfId="1027" priority="242" operator="containsText" text="OK">
      <formula>NOT(ISERROR(SEARCH("OK",B75)))</formula>
    </cfRule>
  </conditionalFormatting>
  <conditionalFormatting sqref="B75">
    <cfRule type="containsText" dxfId="1026" priority="241" operator="containsText" text="ok">
      <formula>NOT(ISERROR(SEARCH("ok",B75)))</formula>
    </cfRule>
  </conditionalFormatting>
  <conditionalFormatting sqref="B76">
    <cfRule type="containsText" dxfId="1025" priority="240" operator="containsText" text="OK">
      <formula>NOT(ISERROR(SEARCH("OK",B76)))</formula>
    </cfRule>
  </conditionalFormatting>
  <conditionalFormatting sqref="B76">
    <cfRule type="containsText" dxfId="1024" priority="239" operator="containsText" text="ok">
      <formula>NOT(ISERROR(SEARCH("ok",B76)))</formula>
    </cfRule>
  </conditionalFormatting>
  <conditionalFormatting sqref="B77">
    <cfRule type="containsText" dxfId="1023" priority="238" operator="containsText" text="OK">
      <formula>NOT(ISERROR(SEARCH("OK",B77)))</formula>
    </cfRule>
  </conditionalFormatting>
  <conditionalFormatting sqref="B77">
    <cfRule type="containsText" dxfId="1022" priority="237" operator="containsText" text="ok">
      <formula>NOT(ISERROR(SEARCH("ok",B77)))</formula>
    </cfRule>
  </conditionalFormatting>
  <conditionalFormatting sqref="B78">
    <cfRule type="containsText" dxfId="1021" priority="236" operator="containsText" text="OK">
      <formula>NOT(ISERROR(SEARCH("OK",B78)))</formula>
    </cfRule>
  </conditionalFormatting>
  <conditionalFormatting sqref="B78">
    <cfRule type="containsText" dxfId="1020" priority="235" operator="containsText" text="ok">
      <formula>NOT(ISERROR(SEARCH("ok",B78)))</formula>
    </cfRule>
  </conditionalFormatting>
  <conditionalFormatting sqref="A77">
    <cfRule type="containsText" dxfId="1019" priority="234" operator="containsText" text="OK">
      <formula>NOT(ISERROR(SEARCH("OK",A77)))</formula>
    </cfRule>
  </conditionalFormatting>
  <conditionalFormatting sqref="A77">
    <cfRule type="containsText" dxfId="1018" priority="233" operator="containsText" text="ok">
      <formula>NOT(ISERROR(SEARCH("ok",A77)))</formula>
    </cfRule>
  </conditionalFormatting>
  <conditionalFormatting sqref="A48">
    <cfRule type="containsText" dxfId="1017" priority="232" operator="containsText" text="OK">
      <formula>NOT(ISERROR(SEARCH("OK",A48)))</formula>
    </cfRule>
  </conditionalFormatting>
  <conditionalFormatting sqref="A48">
    <cfRule type="containsText" dxfId="1016" priority="231" operator="containsText" text="ok">
      <formula>NOT(ISERROR(SEARCH("ok",A48)))</formula>
    </cfRule>
  </conditionalFormatting>
  <conditionalFormatting sqref="A44">
    <cfRule type="containsText" dxfId="1015" priority="228" operator="containsText" text="OK">
      <formula>NOT(ISERROR(SEARCH("OK",A44)))</formula>
    </cfRule>
  </conditionalFormatting>
  <conditionalFormatting sqref="A44">
    <cfRule type="containsText" dxfId="1014" priority="227" operator="containsText" text="ok">
      <formula>NOT(ISERROR(SEARCH("ok",A44)))</formula>
    </cfRule>
  </conditionalFormatting>
  <conditionalFormatting sqref="A64">
    <cfRule type="containsText" dxfId="1013" priority="226" operator="containsText" text="OK">
      <formula>NOT(ISERROR(SEARCH("OK",A64)))</formula>
    </cfRule>
  </conditionalFormatting>
  <conditionalFormatting sqref="A64">
    <cfRule type="containsText" dxfId="1012" priority="225" operator="containsText" text="ok">
      <formula>NOT(ISERROR(SEARCH("ok",A64)))</formula>
    </cfRule>
  </conditionalFormatting>
  <conditionalFormatting sqref="A46">
    <cfRule type="containsText" dxfId="1011" priority="222" operator="containsText" text="OK">
      <formula>NOT(ISERROR(SEARCH("OK",A46)))</formula>
    </cfRule>
  </conditionalFormatting>
  <conditionalFormatting sqref="A46">
    <cfRule type="containsText" dxfId="1010" priority="221" operator="containsText" text="ok">
      <formula>NOT(ISERROR(SEARCH("ok",A46)))</formula>
    </cfRule>
  </conditionalFormatting>
  <conditionalFormatting sqref="A47">
    <cfRule type="containsText" dxfId="1009" priority="220" operator="containsText" text="OK">
      <formula>NOT(ISERROR(SEARCH("OK",A47)))</formula>
    </cfRule>
  </conditionalFormatting>
  <conditionalFormatting sqref="A47">
    <cfRule type="containsText" dxfId="1008" priority="219" operator="containsText" text="ok">
      <formula>NOT(ISERROR(SEARCH("ok",A47)))</formula>
    </cfRule>
  </conditionalFormatting>
  <conditionalFormatting sqref="A68">
    <cfRule type="containsText" dxfId="1007" priority="218" operator="containsText" text="OK">
      <formula>NOT(ISERROR(SEARCH("OK",A68)))</formula>
    </cfRule>
  </conditionalFormatting>
  <conditionalFormatting sqref="A68">
    <cfRule type="containsText" dxfId="1006" priority="217" operator="containsText" text="ok">
      <formula>NOT(ISERROR(SEARCH("ok",A68)))</formula>
    </cfRule>
  </conditionalFormatting>
  <conditionalFormatting sqref="B68">
    <cfRule type="containsText" dxfId="1005" priority="216" operator="containsText" text="OK">
      <formula>NOT(ISERROR(SEARCH("OK",B68)))</formula>
    </cfRule>
  </conditionalFormatting>
  <conditionalFormatting sqref="B68">
    <cfRule type="containsText" dxfId="1004" priority="215" operator="containsText" text="ok">
      <formula>NOT(ISERROR(SEARCH("ok",B68)))</formula>
    </cfRule>
  </conditionalFormatting>
  <conditionalFormatting sqref="A66">
    <cfRule type="containsText" dxfId="1003" priority="214" operator="containsText" text="OK">
      <formula>NOT(ISERROR(SEARCH("OK",A66)))</formula>
    </cfRule>
  </conditionalFormatting>
  <conditionalFormatting sqref="A66">
    <cfRule type="containsText" dxfId="1002" priority="213" operator="containsText" text="ok">
      <formula>NOT(ISERROR(SEARCH("ok",A66)))</formula>
    </cfRule>
  </conditionalFormatting>
  <conditionalFormatting sqref="B66">
    <cfRule type="containsText" dxfId="1001" priority="212" operator="containsText" text="OK">
      <formula>NOT(ISERROR(SEARCH("OK",B66)))</formula>
    </cfRule>
  </conditionalFormatting>
  <conditionalFormatting sqref="B66">
    <cfRule type="containsText" dxfId="1000" priority="211" operator="containsText" text="ok">
      <formula>NOT(ISERROR(SEARCH("ok",B66)))</formula>
    </cfRule>
  </conditionalFormatting>
  <conditionalFormatting sqref="B65">
    <cfRule type="containsText" dxfId="999" priority="208" operator="containsText" text="OK">
      <formula>NOT(ISERROR(SEARCH("OK",B65)))</formula>
    </cfRule>
  </conditionalFormatting>
  <conditionalFormatting sqref="B65">
    <cfRule type="containsText" dxfId="998" priority="207" operator="containsText" text="ok">
      <formula>NOT(ISERROR(SEARCH("ok",B65)))</formula>
    </cfRule>
  </conditionalFormatting>
  <conditionalFormatting sqref="A65">
    <cfRule type="containsText" dxfId="997" priority="210" operator="containsText" text="OK">
      <formula>NOT(ISERROR(SEARCH("OK",A65)))</formula>
    </cfRule>
  </conditionalFormatting>
  <conditionalFormatting sqref="A65">
    <cfRule type="containsText" dxfId="996" priority="209" operator="containsText" text="ok">
      <formula>NOT(ISERROR(SEARCH("ok",A65)))</formula>
    </cfRule>
  </conditionalFormatting>
  <conditionalFormatting sqref="A67">
    <cfRule type="containsText" dxfId="995" priority="206" operator="containsText" text="OK">
      <formula>NOT(ISERROR(SEARCH("OK",A67)))</formula>
    </cfRule>
  </conditionalFormatting>
  <conditionalFormatting sqref="A67">
    <cfRule type="containsText" dxfId="994" priority="205" operator="containsText" text="ok">
      <formula>NOT(ISERROR(SEARCH("ok",A67)))</formula>
    </cfRule>
  </conditionalFormatting>
  <conditionalFormatting sqref="B67">
    <cfRule type="containsText" dxfId="993" priority="204" operator="containsText" text="OK">
      <formula>NOT(ISERROR(SEARCH("OK",B67)))</formula>
    </cfRule>
  </conditionalFormatting>
  <conditionalFormatting sqref="B67">
    <cfRule type="containsText" dxfId="992" priority="203" operator="containsText" text="ok">
      <formula>NOT(ISERROR(SEARCH("ok",B67)))</formula>
    </cfRule>
  </conditionalFormatting>
  <conditionalFormatting sqref="B70">
    <cfRule type="containsText" dxfId="991" priority="202" operator="containsText" text="OK">
      <formula>NOT(ISERROR(SEARCH("OK",B70)))</formula>
    </cfRule>
  </conditionalFormatting>
  <conditionalFormatting sqref="B70">
    <cfRule type="containsText" dxfId="990" priority="201" operator="containsText" text="ok">
      <formula>NOT(ISERROR(SEARCH("ok",B70)))</formula>
    </cfRule>
  </conditionalFormatting>
  <conditionalFormatting sqref="A70">
    <cfRule type="containsText" dxfId="989" priority="200" operator="containsText" text="OK">
      <formula>NOT(ISERROR(SEARCH("OK",A70)))</formula>
    </cfRule>
  </conditionalFormatting>
  <conditionalFormatting sqref="A70">
    <cfRule type="containsText" dxfId="988" priority="199" operator="containsText" text="ok">
      <formula>NOT(ISERROR(SEARCH("ok",A70)))</formula>
    </cfRule>
  </conditionalFormatting>
  <conditionalFormatting sqref="A71">
    <cfRule type="containsText" dxfId="987" priority="198" operator="containsText" text="OK">
      <formula>NOT(ISERROR(SEARCH("OK",A71)))</formula>
    </cfRule>
  </conditionalFormatting>
  <conditionalFormatting sqref="A71">
    <cfRule type="containsText" dxfId="986" priority="197" operator="containsText" text="ok">
      <formula>NOT(ISERROR(SEARCH("ok",A71)))</formula>
    </cfRule>
  </conditionalFormatting>
  <conditionalFormatting sqref="B71">
    <cfRule type="containsText" dxfId="985" priority="196" operator="containsText" text="OK">
      <formula>NOT(ISERROR(SEARCH("OK",B71)))</formula>
    </cfRule>
  </conditionalFormatting>
  <conditionalFormatting sqref="B71">
    <cfRule type="containsText" dxfId="984" priority="195" operator="containsText" text="ok">
      <formula>NOT(ISERROR(SEARCH("ok",B71)))</formula>
    </cfRule>
  </conditionalFormatting>
  <conditionalFormatting sqref="A71">
    <cfRule type="containsText" dxfId="983" priority="194" operator="containsText" text="OK">
      <formula>NOT(ISERROR(SEARCH("OK",A71)))</formula>
    </cfRule>
  </conditionalFormatting>
  <conditionalFormatting sqref="A71">
    <cfRule type="containsText" dxfId="982" priority="193" operator="containsText" text="ok">
      <formula>NOT(ISERROR(SEARCH("ok",A71)))</formula>
    </cfRule>
  </conditionalFormatting>
  <conditionalFormatting sqref="B71">
    <cfRule type="containsText" dxfId="981" priority="192" operator="containsText" text="OK">
      <formula>NOT(ISERROR(SEARCH("OK",B71)))</formula>
    </cfRule>
  </conditionalFormatting>
  <conditionalFormatting sqref="B71">
    <cfRule type="containsText" dxfId="980" priority="191" operator="containsText" text="ok">
      <formula>NOT(ISERROR(SEARCH("ok",B71)))</formula>
    </cfRule>
  </conditionalFormatting>
  <conditionalFormatting sqref="B73">
    <cfRule type="containsText" dxfId="979" priority="184" operator="containsText" text="OK">
      <formula>NOT(ISERROR(SEARCH("OK",B73)))</formula>
    </cfRule>
  </conditionalFormatting>
  <conditionalFormatting sqref="B73">
    <cfRule type="containsText" dxfId="978" priority="183" operator="containsText" text="ok">
      <formula>NOT(ISERROR(SEARCH("ok",B73)))</formula>
    </cfRule>
  </conditionalFormatting>
  <conditionalFormatting sqref="A73">
    <cfRule type="containsText" dxfId="977" priority="186" operator="containsText" text="OK">
      <formula>NOT(ISERROR(SEARCH("OK",A73)))</formula>
    </cfRule>
  </conditionalFormatting>
  <conditionalFormatting sqref="A73">
    <cfRule type="containsText" dxfId="976" priority="185" operator="containsText" text="ok">
      <formula>NOT(ISERROR(SEARCH("ok",A73)))</formula>
    </cfRule>
  </conditionalFormatting>
  <conditionalFormatting sqref="A73">
    <cfRule type="containsText" dxfId="975" priority="182" operator="containsText" text="OK">
      <formula>NOT(ISERROR(SEARCH("OK",A73)))</formula>
    </cfRule>
  </conditionalFormatting>
  <conditionalFormatting sqref="A73">
    <cfRule type="containsText" dxfId="974" priority="181" operator="containsText" text="ok">
      <formula>NOT(ISERROR(SEARCH("ok",A73)))</formula>
    </cfRule>
  </conditionalFormatting>
  <conditionalFormatting sqref="B73">
    <cfRule type="containsText" dxfId="973" priority="180" operator="containsText" text="OK">
      <formula>NOT(ISERROR(SEARCH("OK",B73)))</formula>
    </cfRule>
  </conditionalFormatting>
  <conditionalFormatting sqref="B73">
    <cfRule type="containsText" dxfId="972" priority="179" operator="containsText" text="ok">
      <formula>NOT(ISERROR(SEARCH("ok",B73)))</formula>
    </cfRule>
  </conditionalFormatting>
  <conditionalFormatting sqref="A31">
    <cfRule type="containsText" dxfId="971" priority="154" operator="containsText" text="OK">
      <formula>NOT(ISERROR(SEARCH("OK",A31)))</formula>
    </cfRule>
  </conditionalFormatting>
  <conditionalFormatting sqref="A31">
    <cfRule type="containsText" dxfId="970" priority="153" operator="containsText" text="ok">
      <formula>NOT(ISERROR(SEARCH("ok",A31)))</formula>
    </cfRule>
  </conditionalFormatting>
  <conditionalFormatting sqref="A32">
    <cfRule type="containsText" dxfId="969" priority="152" operator="containsText" text="OK">
      <formula>NOT(ISERROR(SEARCH("OK",A32)))</formula>
    </cfRule>
  </conditionalFormatting>
  <conditionalFormatting sqref="A32">
    <cfRule type="containsText" dxfId="968" priority="151" operator="containsText" text="ok">
      <formula>NOT(ISERROR(SEARCH("ok",A32)))</formula>
    </cfRule>
  </conditionalFormatting>
  <conditionalFormatting sqref="A33">
    <cfRule type="containsText" dxfId="967" priority="150" operator="containsText" text="OK">
      <formula>NOT(ISERROR(SEARCH("OK",A33)))</formula>
    </cfRule>
  </conditionalFormatting>
  <conditionalFormatting sqref="A33">
    <cfRule type="containsText" dxfId="966" priority="149" operator="containsText" text="ok">
      <formula>NOT(ISERROR(SEARCH("ok",A33)))</formula>
    </cfRule>
  </conditionalFormatting>
  <conditionalFormatting sqref="A34">
    <cfRule type="containsText" dxfId="965" priority="148" operator="containsText" text="OK">
      <formula>NOT(ISERROR(SEARCH("OK",A34)))</formula>
    </cfRule>
  </conditionalFormatting>
  <conditionalFormatting sqref="A34">
    <cfRule type="containsText" dxfId="964" priority="147" operator="containsText" text="ok">
      <formula>NOT(ISERROR(SEARCH("ok",A34)))</formula>
    </cfRule>
  </conditionalFormatting>
  <conditionalFormatting sqref="A36">
    <cfRule type="containsText" dxfId="963" priority="144" operator="containsText" text="OK">
      <formula>NOT(ISERROR(SEARCH("OK",A36)))</formula>
    </cfRule>
  </conditionalFormatting>
  <conditionalFormatting sqref="A36">
    <cfRule type="containsText" dxfId="962" priority="143" operator="containsText" text="ok">
      <formula>NOT(ISERROR(SEARCH("ok",A36)))</formula>
    </cfRule>
  </conditionalFormatting>
  <conditionalFormatting sqref="A87">
    <cfRule type="containsText" dxfId="961" priority="132" operator="containsText" text="OK">
      <formula>NOT(ISERROR(SEARCH("OK",A87)))</formula>
    </cfRule>
  </conditionalFormatting>
  <conditionalFormatting sqref="A87">
    <cfRule type="containsText" dxfId="960" priority="131" operator="containsText" text="ok">
      <formula>NOT(ISERROR(SEARCH("ok",A87)))</formula>
    </cfRule>
  </conditionalFormatting>
  <conditionalFormatting sqref="A88">
    <cfRule type="containsText" dxfId="959" priority="130" operator="containsText" text="OK">
      <formula>NOT(ISERROR(SEARCH("OK",A88)))</formula>
    </cfRule>
  </conditionalFormatting>
  <conditionalFormatting sqref="A88">
    <cfRule type="containsText" dxfId="958" priority="129" operator="containsText" text="ok">
      <formula>NOT(ISERROR(SEARCH("ok",A88)))</formula>
    </cfRule>
  </conditionalFormatting>
  <conditionalFormatting sqref="B88">
    <cfRule type="containsText" dxfId="957" priority="128" operator="containsText" text="OK">
      <formula>NOT(ISERROR(SEARCH("OK",B88)))</formula>
    </cfRule>
  </conditionalFormatting>
  <conditionalFormatting sqref="B88">
    <cfRule type="containsText" dxfId="956" priority="127" operator="containsText" text="ok">
      <formula>NOT(ISERROR(SEARCH("ok",B88)))</formula>
    </cfRule>
  </conditionalFormatting>
  <conditionalFormatting sqref="A89">
    <cfRule type="containsText" dxfId="955" priority="126" operator="containsText" text="OK">
      <formula>NOT(ISERROR(SEARCH("OK",A89)))</formula>
    </cfRule>
  </conditionalFormatting>
  <conditionalFormatting sqref="A89">
    <cfRule type="containsText" dxfId="954" priority="125" operator="containsText" text="ok">
      <formula>NOT(ISERROR(SEARCH("ok",A89)))</formula>
    </cfRule>
  </conditionalFormatting>
  <conditionalFormatting sqref="B89">
    <cfRule type="containsText" dxfId="953" priority="124" operator="containsText" text="OK">
      <formula>NOT(ISERROR(SEARCH("OK",B89)))</formula>
    </cfRule>
  </conditionalFormatting>
  <conditionalFormatting sqref="B89">
    <cfRule type="containsText" dxfId="952" priority="123" operator="containsText" text="ok">
      <formula>NOT(ISERROR(SEARCH("ok",B89)))</formula>
    </cfRule>
  </conditionalFormatting>
  <conditionalFormatting sqref="B89">
    <cfRule type="containsText" dxfId="951" priority="122" operator="containsText" text="OK">
      <formula>NOT(ISERROR(SEARCH("OK",B89)))</formula>
    </cfRule>
  </conditionalFormatting>
  <conditionalFormatting sqref="B89">
    <cfRule type="containsText" dxfId="950" priority="121" operator="containsText" text="ok">
      <formula>NOT(ISERROR(SEARCH("ok",B89)))</formula>
    </cfRule>
  </conditionalFormatting>
  <conditionalFormatting sqref="A90">
    <cfRule type="containsText" dxfId="949" priority="120" operator="containsText" text="OK">
      <formula>NOT(ISERROR(SEARCH("OK",A90)))</formula>
    </cfRule>
  </conditionalFormatting>
  <conditionalFormatting sqref="A90">
    <cfRule type="containsText" dxfId="948" priority="119" operator="containsText" text="ok">
      <formula>NOT(ISERROR(SEARCH("ok",A90)))</formula>
    </cfRule>
  </conditionalFormatting>
  <conditionalFormatting sqref="B90">
    <cfRule type="containsText" dxfId="947" priority="118" operator="containsText" text="OK">
      <formula>NOT(ISERROR(SEARCH("OK",B90)))</formula>
    </cfRule>
  </conditionalFormatting>
  <conditionalFormatting sqref="B90">
    <cfRule type="containsText" dxfId="946" priority="117" operator="containsText" text="ok">
      <formula>NOT(ISERROR(SEARCH("ok",B90)))</formula>
    </cfRule>
  </conditionalFormatting>
  <conditionalFormatting sqref="A91">
    <cfRule type="containsText" dxfId="945" priority="116" operator="containsText" text="OK">
      <formula>NOT(ISERROR(SEARCH("OK",A91)))</formula>
    </cfRule>
  </conditionalFormatting>
  <conditionalFormatting sqref="A91">
    <cfRule type="containsText" dxfId="944" priority="115" operator="containsText" text="ok">
      <formula>NOT(ISERROR(SEARCH("ok",A91)))</formula>
    </cfRule>
  </conditionalFormatting>
  <conditionalFormatting sqref="A92">
    <cfRule type="containsText" dxfId="943" priority="114" operator="containsText" text="OK">
      <formula>NOT(ISERROR(SEARCH("OK",A92)))</formula>
    </cfRule>
  </conditionalFormatting>
  <conditionalFormatting sqref="A92">
    <cfRule type="containsText" dxfId="942" priority="113" operator="containsText" text="ok">
      <formula>NOT(ISERROR(SEARCH("ok",A92)))</formula>
    </cfRule>
  </conditionalFormatting>
  <conditionalFormatting sqref="B92">
    <cfRule type="containsText" dxfId="941" priority="112" operator="containsText" text="OK">
      <formula>NOT(ISERROR(SEARCH("OK",B92)))</formula>
    </cfRule>
  </conditionalFormatting>
  <conditionalFormatting sqref="B92">
    <cfRule type="containsText" dxfId="940" priority="111" operator="containsText" text="ok">
      <formula>NOT(ISERROR(SEARCH("ok",B92)))</formula>
    </cfRule>
  </conditionalFormatting>
  <conditionalFormatting sqref="B93">
    <cfRule type="containsText" dxfId="939" priority="110" operator="containsText" text="OK">
      <formula>NOT(ISERROR(SEARCH("OK",B93)))</formula>
    </cfRule>
  </conditionalFormatting>
  <conditionalFormatting sqref="B93">
    <cfRule type="containsText" dxfId="938" priority="109" operator="containsText" text="ok">
      <formula>NOT(ISERROR(SEARCH("ok",B93)))</formula>
    </cfRule>
  </conditionalFormatting>
  <conditionalFormatting sqref="A93">
    <cfRule type="containsText" dxfId="937" priority="108" operator="containsText" text="OK">
      <formula>NOT(ISERROR(SEARCH("OK",A93)))</formula>
    </cfRule>
  </conditionalFormatting>
  <conditionalFormatting sqref="A93">
    <cfRule type="containsText" dxfId="936" priority="107" operator="containsText" text="ok">
      <formula>NOT(ISERROR(SEARCH("ok",A93)))</formula>
    </cfRule>
  </conditionalFormatting>
  <conditionalFormatting sqref="A94">
    <cfRule type="containsText" dxfId="935" priority="106" operator="containsText" text="OK">
      <formula>NOT(ISERROR(SEARCH("OK",A94)))</formula>
    </cfRule>
  </conditionalFormatting>
  <conditionalFormatting sqref="A94">
    <cfRule type="containsText" dxfId="934" priority="105" operator="containsText" text="ok">
      <formula>NOT(ISERROR(SEARCH("ok",A94)))</formula>
    </cfRule>
  </conditionalFormatting>
  <conditionalFormatting sqref="B94">
    <cfRule type="containsText" dxfId="933" priority="104" operator="containsText" text="OK">
      <formula>NOT(ISERROR(SEARCH("OK",B94)))</formula>
    </cfRule>
  </conditionalFormatting>
  <conditionalFormatting sqref="B94">
    <cfRule type="containsText" dxfId="932" priority="103" operator="containsText" text="ok">
      <formula>NOT(ISERROR(SEARCH("ok",B94)))</formula>
    </cfRule>
  </conditionalFormatting>
  <conditionalFormatting sqref="A95">
    <cfRule type="containsText" dxfId="931" priority="102" operator="containsText" text="OK">
      <formula>NOT(ISERROR(SEARCH("OK",A95)))</formula>
    </cfRule>
  </conditionalFormatting>
  <conditionalFormatting sqref="A95">
    <cfRule type="containsText" dxfId="930" priority="101" operator="containsText" text="ok">
      <formula>NOT(ISERROR(SEARCH("ok",A95)))</formula>
    </cfRule>
  </conditionalFormatting>
  <conditionalFormatting sqref="B95">
    <cfRule type="containsText" dxfId="929" priority="100" operator="containsText" text="OK">
      <formula>NOT(ISERROR(SEARCH("OK",B95)))</formula>
    </cfRule>
  </conditionalFormatting>
  <conditionalFormatting sqref="B95">
    <cfRule type="containsText" dxfId="928" priority="99" operator="containsText" text="ok">
      <formula>NOT(ISERROR(SEARCH("ok",B95)))</formula>
    </cfRule>
  </conditionalFormatting>
  <conditionalFormatting sqref="B95">
    <cfRule type="containsText" dxfId="927" priority="98" operator="containsText" text="OK">
      <formula>NOT(ISERROR(SEARCH("OK",B95)))</formula>
    </cfRule>
  </conditionalFormatting>
  <conditionalFormatting sqref="B95">
    <cfRule type="containsText" dxfId="926" priority="97" operator="containsText" text="ok">
      <formula>NOT(ISERROR(SEARCH("ok",B95)))</formula>
    </cfRule>
  </conditionalFormatting>
  <conditionalFormatting sqref="B74">
    <cfRule type="containsText" dxfId="925" priority="96" operator="containsText" text="OK">
      <formula>NOT(ISERROR(SEARCH("OK",B74)))</formula>
    </cfRule>
  </conditionalFormatting>
  <conditionalFormatting sqref="B74">
    <cfRule type="containsText" dxfId="924" priority="95" operator="containsText" text="ok">
      <formula>NOT(ISERROR(SEARCH("ok",B74)))</formula>
    </cfRule>
  </conditionalFormatting>
  <conditionalFormatting sqref="A74">
    <cfRule type="containsText" dxfId="923" priority="94" operator="containsText" text="OK">
      <formula>NOT(ISERROR(SEARCH("OK",A74)))</formula>
    </cfRule>
  </conditionalFormatting>
  <conditionalFormatting sqref="A74">
    <cfRule type="containsText" dxfId="922" priority="93" operator="containsText" text="ok">
      <formula>NOT(ISERROR(SEARCH("ok",A74)))</formula>
    </cfRule>
  </conditionalFormatting>
  <conditionalFormatting sqref="A72">
    <cfRule type="containsText" dxfId="921" priority="92" operator="containsText" text="OK">
      <formula>NOT(ISERROR(SEARCH("OK",A72)))</formula>
    </cfRule>
  </conditionalFormatting>
  <conditionalFormatting sqref="A72">
    <cfRule type="containsText" dxfId="920" priority="91" operator="containsText" text="ok">
      <formula>NOT(ISERROR(SEARCH("ok",A72)))</formula>
    </cfRule>
  </conditionalFormatting>
  <conditionalFormatting sqref="B72">
    <cfRule type="containsText" dxfId="919" priority="90" operator="containsText" text="OK">
      <formula>NOT(ISERROR(SEARCH("OK",B72)))</formula>
    </cfRule>
  </conditionalFormatting>
  <conditionalFormatting sqref="B72">
    <cfRule type="containsText" dxfId="918" priority="89" operator="containsText" text="ok">
      <formula>NOT(ISERROR(SEARCH("ok",B72)))</formula>
    </cfRule>
  </conditionalFormatting>
  <conditionalFormatting sqref="A49">
    <cfRule type="containsText" dxfId="917" priority="88" operator="containsText" text="OK">
      <formula>NOT(ISERROR(SEARCH("OK",A49)))</formula>
    </cfRule>
  </conditionalFormatting>
  <conditionalFormatting sqref="A49">
    <cfRule type="containsText" dxfId="916" priority="87" operator="containsText" text="ok">
      <formula>NOT(ISERROR(SEARCH("ok",A49)))</formula>
    </cfRule>
  </conditionalFormatting>
  <conditionalFormatting sqref="A49">
    <cfRule type="containsText" dxfId="915" priority="86" operator="containsText" text="OK">
      <formula>NOT(ISERROR(SEARCH("OK",A49)))</formula>
    </cfRule>
  </conditionalFormatting>
  <conditionalFormatting sqref="A49">
    <cfRule type="containsText" dxfId="914" priority="85" operator="containsText" text="ok">
      <formula>NOT(ISERROR(SEARCH("ok",A49)))</formula>
    </cfRule>
  </conditionalFormatting>
  <conditionalFormatting sqref="A48">
    <cfRule type="containsText" dxfId="913" priority="84" operator="containsText" text="OK">
      <formula>NOT(ISERROR(SEARCH("OK",A48)))</formula>
    </cfRule>
  </conditionalFormatting>
  <conditionalFormatting sqref="A48">
    <cfRule type="containsText" dxfId="912" priority="83" operator="containsText" text="ok">
      <formula>NOT(ISERROR(SEARCH("ok",A48)))</formula>
    </cfRule>
  </conditionalFormatting>
  <conditionalFormatting sqref="A50">
    <cfRule type="containsText" dxfId="911" priority="82" operator="containsText" text="OK">
      <formula>NOT(ISERROR(SEARCH("OK",A50)))</formula>
    </cfRule>
  </conditionalFormatting>
  <conditionalFormatting sqref="A50">
    <cfRule type="containsText" dxfId="910" priority="81" operator="containsText" text="ok">
      <formula>NOT(ISERROR(SEARCH("ok",A50)))</formula>
    </cfRule>
  </conditionalFormatting>
  <conditionalFormatting sqref="A11:A15">
    <cfRule type="containsText" dxfId="909" priority="80" operator="containsText" text="OK">
      <formula>NOT(ISERROR(SEARCH("OK",A11)))</formula>
    </cfRule>
  </conditionalFormatting>
  <conditionalFormatting sqref="A11:A15">
    <cfRule type="containsText" dxfId="908" priority="79" operator="containsText" text="ok">
      <formula>NOT(ISERROR(SEARCH("ok",A11)))</formula>
    </cfRule>
  </conditionalFormatting>
  <conditionalFormatting sqref="B15">
    <cfRule type="containsText" dxfId="907" priority="78" operator="containsText" text="OK">
      <formula>NOT(ISERROR(SEARCH("OK",B15)))</formula>
    </cfRule>
  </conditionalFormatting>
  <conditionalFormatting sqref="B15">
    <cfRule type="containsText" dxfId="906" priority="77" operator="containsText" text="ok">
      <formula>NOT(ISERROR(SEARCH("ok",B15)))</formula>
    </cfRule>
  </conditionalFormatting>
  <conditionalFormatting sqref="A10">
    <cfRule type="containsText" dxfId="905" priority="66" operator="containsText" text="OK">
      <formula>NOT(ISERROR(SEARCH("OK",A10)))</formula>
    </cfRule>
  </conditionalFormatting>
  <conditionalFormatting sqref="A10">
    <cfRule type="containsText" dxfId="904" priority="65" operator="containsText" text="ok">
      <formula>NOT(ISERROR(SEARCH("ok",A10)))</formula>
    </cfRule>
  </conditionalFormatting>
  <conditionalFormatting sqref="A10">
    <cfRule type="containsText" dxfId="903" priority="64" operator="containsText" text="OK">
      <formula>NOT(ISERROR(SEARCH("OK",A10)))</formula>
    </cfRule>
  </conditionalFormatting>
  <conditionalFormatting sqref="A10">
    <cfRule type="containsText" dxfId="902" priority="63" operator="containsText" text="ok">
      <formula>NOT(ISERROR(SEARCH("ok",A10)))</formula>
    </cfRule>
  </conditionalFormatting>
  <conditionalFormatting sqref="A11">
    <cfRule type="containsText" dxfId="901" priority="60" operator="containsText" text="OK">
      <formula>NOT(ISERROR(SEARCH("OK",A11)))</formula>
    </cfRule>
  </conditionalFormatting>
  <conditionalFormatting sqref="A11">
    <cfRule type="containsText" dxfId="900" priority="59" operator="containsText" text="ok">
      <formula>NOT(ISERROR(SEARCH("ok",A11)))</formula>
    </cfRule>
  </conditionalFormatting>
  <conditionalFormatting sqref="A52">
    <cfRule type="containsText" dxfId="899" priority="54" operator="containsText" text="OK">
      <formula>NOT(ISERROR(SEARCH("OK",A52)))</formula>
    </cfRule>
  </conditionalFormatting>
  <conditionalFormatting sqref="A52">
    <cfRule type="containsText" dxfId="898" priority="53" operator="containsText" text="ok">
      <formula>NOT(ISERROR(SEARCH("ok",A52)))</formula>
    </cfRule>
  </conditionalFormatting>
  <conditionalFormatting sqref="A1048576">
    <cfRule type="containsText" dxfId="897" priority="44" operator="containsText" text="OK">
      <formula>NOT(ISERROR(SEARCH("OK",A1048576)))</formula>
    </cfRule>
  </conditionalFormatting>
  <conditionalFormatting sqref="A1048576">
    <cfRule type="containsText" dxfId="896" priority="43" operator="containsText" text="ok">
      <formula>NOT(ISERROR(SEARCH("ok",A1048576)))</formula>
    </cfRule>
  </conditionalFormatting>
  <conditionalFormatting sqref="A40">
    <cfRule type="containsText" dxfId="895" priority="42" operator="containsText" text="OK">
      <formula>NOT(ISERROR(SEARCH("OK",A40)))</formula>
    </cfRule>
  </conditionalFormatting>
  <conditionalFormatting sqref="A40">
    <cfRule type="containsText" dxfId="894" priority="41" operator="containsText" text="ok">
      <formula>NOT(ISERROR(SEARCH("ok",A40)))</formula>
    </cfRule>
  </conditionalFormatting>
  <conditionalFormatting sqref="A41">
    <cfRule type="containsText" dxfId="893" priority="40" operator="containsText" text="OK">
      <formula>NOT(ISERROR(SEARCH("OK",A41)))</formula>
    </cfRule>
  </conditionalFormatting>
  <conditionalFormatting sqref="A41">
    <cfRule type="containsText" dxfId="892" priority="39" operator="containsText" text="ok">
      <formula>NOT(ISERROR(SEARCH("ok",A41)))</formula>
    </cfRule>
  </conditionalFormatting>
  <conditionalFormatting sqref="A8:A9">
    <cfRule type="containsText" dxfId="891" priority="38" operator="containsText" text="OK">
      <formula>NOT(ISERROR(SEARCH("OK",A8)))</formula>
    </cfRule>
  </conditionalFormatting>
  <conditionalFormatting sqref="A8:A9">
    <cfRule type="containsText" dxfId="890" priority="37" operator="containsText" text="ok">
      <formula>NOT(ISERROR(SEARCH("ok",A8)))</formula>
    </cfRule>
  </conditionalFormatting>
  <conditionalFormatting sqref="B8">
    <cfRule type="containsText" dxfId="889" priority="36" operator="containsText" text="OK">
      <formula>NOT(ISERROR(SEARCH("OK",B8)))</formula>
    </cfRule>
  </conditionalFormatting>
  <conditionalFormatting sqref="B8">
    <cfRule type="containsText" dxfId="888" priority="35" operator="containsText" text="ok">
      <formula>NOT(ISERROR(SEARCH("ok",B8)))</formula>
    </cfRule>
  </conditionalFormatting>
  <conditionalFormatting sqref="B9">
    <cfRule type="containsText" dxfId="887" priority="34" operator="containsText" text="OK">
      <formula>NOT(ISERROR(SEARCH("OK",B9)))</formula>
    </cfRule>
  </conditionalFormatting>
  <conditionalFormatting sqref="B9">
    <cfRule type="containsText" dxfId="886" priority="33" operator="containsText" text="ok">
      <formula>NOT(ISERROR(SEARCH("ok",B9)))</formula>
    </cfRule>
  </conditionalFormatting>
  <conditionalFormatting sqref="A4">
    <cfRule type="containsText" dxfId="885" priority="32" operator="containsText" text="OK">
      <formula>NOT(ISERROR(SEARCH("OK",A4)))</formula>
    </cfRule>
  </conditionalFormatting>
  <conditionalFormatting sqref="A4">
    <cfRule type="containsText" dxfId="884" priority="31" operator="containsText" text="ok">
      <formula>NOT(ISERROR(SEARCH("ok",A4)))</formula>
    </cfRule>
  </conditionalFormatting>
  <conditionalFormatting sqref="B4">
    <cfRule type="containsText" dxfId="883" priority="30" operator="containsText" text="OK">
      <formula>NOT(ISERROR(SEARCH("OK",B4)))</formula>
    </cfRule>
  </conditionalFormatting>
  <conditionalFormatting sqref="B4">
    <cfRule type="containsText" dxfId="882" priority="29" operator="containsText" text="ok">
      <formula>NOT(ISERROR(SEARCH("ok",B4)))</formula>
    </cfRule>
  </conditionalFormatting>
  <conditionalFormatting sqref="A4">
    <cfRule type="containsText" dxfId="881" priority="28" operator="containsText" text="OK">
      <formula>NOT(ISERROR(SEARCH("OK",A4)))</formula>
    </cfRule>
  </conditionalFormatting>
  <conditionalFormatting sqref="A4">
    <cfRule type="containsText" dxfId="880" priority="27" operator="containsText" text="ok">
      <formula>NOT(ISERROR(SEARCH("ok",A4)))</formula>
    </cfRule>
  </conditionalFormatting>
  <conditionalFormatting sqref="B4">
    <cfRule type="containsText" dxfId="879" priority="26" operator="containsText" text="OK">
      <formula>NOT(ISERROR(SEARCH("OK",B4)))</formula>
    </cfRule>
  </conditionalFormatting>
  <conditionalFormatting sqref="B4">
    <cfRule type="containsText" dxfId="878" priority="25" operator="containsText" text="ok">
      <formula>NOT(ISERROR(SEARCH("ok",B4)))</formula>
    </cfRule>
  </conditionalFormatting>
  <conditionalFormatting sqref="B6">
    <cfRule type="containsText" dxfId="877" priority="22" operator="containsText" text="OK">
      <formula>NOT(ISERROR(SEARCH("OK",B6)))</formula>
    </cfRule>
  </conditionalFormatting>
  <conditionalFormatting sqref="B6">
    <cfRule type="containsText" dxfId="876" priority="21" operator="containsText" text="ok">
      <formula>NOT(ISERROR(SEARCH("ok",B6)))</formula>
    </cfRule>
  </conditionalFormatting>
  <conditionalFormatting sqref="A6">
    <cfRule type="containsText" dxfId="875" priority="24" operator="containsText" text="OK">
      <formula>NOT(ISERROR(SEARCH("OK",A6)))</formula>
    </cfRule>
  </conditionalFormatting>
  <conditionalFormatting sqref="A6">
    <cfRule type="containsText" dxfId="874" priority="23" operator="containsText" text="ok">
      <formula>NOT(ISERROR(SEARCH("ok",A6)))</formula>
    </cfRule>
  </conditionalFormatting>
  <conditionalFormatting sqref="A6">
    <cfRule type="containsText" dxfId="873" priority="20" operator="containsText" text="OK">
      <formula>NOT(ISERROR(SEARCH("OK",A6)))</formula>
    </cfRule>
  </conditionalFormatting>
  <conditionalFormatting sqref="A6">
    <cfRule type="containsText" dxfId="872" priority="19" operator="containsText" text="ok">
      <formula>NOT(ISERROR(SEARCH("ok",A6)))</formula>
    </cfRule>
  </conditionalFormatting>
  <conditionalFormatting sqref="B6">
    <cfRule type="containsText" dxfId="871" priority="18" operator="containsText" text="OK">
      <formula>NOT(ISERROR(SEARCH("OK",B6)))</formula>
    </cfRule>
  </conditionalFormatting>
  <conditionalFormatting sqref="B6">
    <cfRule type="containsText" dxfId="870" priority="17" operator="containsText" text="ok">
      <formula>NOT(ISERROR(SEARCH("ok",B6)))</formula>
    </cfRule>
  </conditionalFormatting>
  <conditionalFormatting sqref="B7">
    <cfRule type="containsText" dxfId="869" priority="16" operator="containsText" text="OK">
      <formula>NOT(ISERROR(SEARCH("OK",B7)))</formula>
    </cfRule>
  </conditionalFormatting>
  <conditionalFormatting sqref="B7">
    <cfRule type="containsText" dxfId="868" priority="15" operator="containsText" text="ok">
      <formula>NOT(ISERROR(SEARCH("ok",B7)))</formula>
    </cfRule>
  </conditionalFormatting>
  <conditionalFormatting sqref="A7">
    <cfRule type="containsText" dxfId="867" priority="14" operator="containsText" text="OK">
      <formula>NOT(ISERROR(SEARCH("OK",A7)))</formula>
    </cfRule>
  </conditionalFormatting>
  <conditionalFormatting sqref="A7">
    <cfRule type="containsText" dxfId="866" priority="13" operator="containsText" text="ok">
      <formula>NOT(ISERROR(SEARCH("ok",A7)))</formula>
    </cfRule>
  </conditionalFormatting>
  <conditionalFormatting sqref="A5">
    <cfRule type="containsText" dxfId="865" priority="12" operator="containsText" text="OK">
      <formula>NOT(ISERROR(SEARCH("OK",A5)))</formula>
    </cfRule>
  </conditionalFormatting>
  <conditionalFormatting sqref="A5">
    <cfRule type="containsText" dxfId="864" priority="11" operator="containsText" text="ok">
      <formula>NOT(ISERROR(SEARCH("ok",A5)))</formula>
    </cfRule>
  </conditionalFormatting>
  <conditionalFormatting sqref="B5">
    <cfRule type="containsText" dxfId="863" priority="10" operator="containsText" text="OK">
      <formula>NOT(ISERROR(SEARCH("OK",B5)))</formula>
    </cfRule>
  </conditionalFormatting>
  <conditionalFormatting sqref="B5">
    <cfRule type="containsText" dxfId="862" priority="9" operator="containsText" text="ok">
      <formula>NOT(ISERROR(SEARCH("ok",B5)))</formula>
    </cfRule>
  </conditionalFormatting>
  <conditionalFormatting sqref="A35">
    <cfRule type="containsText" dxfId="861" priority="8" operator="containsText" text="OK">
      <formula>NOT(ISERROR(SEARCH("OK",A35)))</formula>
    </cfRule>
  </conditionalFormatting>
  <conditionalFormatting sqref="A35">
    <cfRule type="containsText" dxfId="860" priority="7" operator="containsText" text="ok">
      <formula>NOT(ISERROR(SEARCH("ok",A35)))</formula>
    </cfRule>
  </conditionalFormatting>
  <conditionalFormatting sqref="A39">
    <cfRule type="containsText" dxfId="859" priority="6" operator="containsText" text="OK">
      <formula>NOT(ISERROR(SEARCH("OK",A39)))</formula>
    </cfRule>
  </conditionalFormatting>
  <conditionalFormatting sqref="A39">
    <cfRule type="containsText" dxfId="858" priority="5" operator="containsText" text="ok">
      <formula>NOT(ISERROR(SEARCH("ok",A39)))</formula>
    </cfRule>
  </conditionalFormatting>
  <conditionalFormatting sqref="A38">
    <cfRule type="containsText" dxfId="857" priority="4" operator="containsText" text="OK">
      <formula>NOT(ISERROR(SEARCH("OK",A38)))</formula>
    </cfRule>
  </conditionalFormatting>
  <conditionalFormatting sqref="A38">
    <cfRule type="containsText" dxfId="856" priority="3" operator="containsText" text="ok">
      <formula>NOT(ISERROR(SEARCH("ok",A38)))</formula>
    </cfRule>
  </conditionalFormatting>
  <conditionalFormatting sqref="A37">
    <cfRule type="containsText" dxfId="855" priority="2" operator="containsText" text="OK">
      <formula>NOT(ISERROR(SEARCH("OK",A37)))</formula>
    </cfRule>
  </conditionalFormatting>
  <conditionalFormatting sqref="A37">
    <cfRule type="containsText" dxfId="854" priority="1" operator="containsText" text="ok">
      <formula>NOT(ISERROR(SEARCH("ok",A37)))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33" max="16383" man="1"/>
  </rowBreaks>
  <colBreaks count="1" manualBreakCount="1">
    <brk id="1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48434"/>
  <sheetViews>
    <sheetView zoomScale="86" zoomScaleNormal="86" workbookViewId="0">
      <pane xSplit="3" ySplit="3" topLeftCell="D39" activePane="bottomRight" state="frozen"/>
      <selection activeCell="C83" sqref="C83"/>
      <selection pane="topRight" activeCell="C83" sqref="C83"/>
      <selection pane="bottomLeft" activeCell="C83" sqref="C83"/>
      <selection pane="bottomRight" activeCell="C41" sqref="C41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187" customWidth="1"/>
    <col min="4" max="4" width="14.54296875" style="187" bestFit="1" customWidth="1"/>
    <col min="5" max="5" width="13.1796875" style="187" bestFit="1" customWidth="1"/>
    <col min="6" max="6" width="15.7265625" style="5" bestFit="1" customWidth="1"/>
    <col min="7" max="7" width="14.453125" style="6" bestFit="1" customWidth="1"/>
    <col min="8" max="8" width="8.81640625" style="187" hidden="1" customWidth="1"/>
    <col min="9" max="9" width="13.26953125" style="187" hidden="1" customWidth="1"/>
    <col min="10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187" hidden="1" customWidth="1"/>
    <col min="21" max="21" width="10.26953125" style="7" hidden="1" customWidth="1"/>
    <col min="22" max="22" width="9.81640625" style="187" hidden="1" customWidth="1"/>
    <col min="23" max="23" width="18.81640625" style="187" hidden="1" customWidth="1"/>
    <col min="24" max="24" width="30.26953125" style="187" customWidth="1"/>
    <col min="25" max="25" width="14.7265625" style="187" bestFit="1" customWidth="1"/>
    <col min="26" max="26" width="5" style="187" bestFit="1" customWidth="1"/>
    <col min="27" max="27" width="14.26953125" style="187" customWidth="1"/>
    <col min="28" max="28" width="14" style="187" bestFit="1" customWidth="1"/>
    <col min="29" max="16384" width="9.1796875" style="187"/>
  </cols>
  <sheetData>
    <row r="1" spans="1:27" x14ac:dyDescent="0.35">
      <c r="A1" s="226" t="s">
        <v>2</v>
      </c>
      <c r="B1" s="192" t="s">
        <v>2</v>
      </c>
      <c r="C1" s="193"/>
      <c r="D1" s="316">
        <f>D102</f>
        <v>150</v>
      </c>
      <c r="E1" s="317"/>
      <c r="F1" s="318">
        <f>AA13</f>
        <v>123550</v>
      </c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19" t="s">
        <v>3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2" t="s">
        <v>16</v>
      </c>
      <c r="X2" s="718" t="s">
        <v>16</v>
      </c>
    </row>
    <row r="3" spans="1:27" ht="29.5" thickBot="1" x14ac:dyDescent="0.4">
      <c r="A3" s="717"/>
      <c r="B3" s="719"/>
      <c r="C3" s="719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2"/>
      <c r="X3" s="718"/>
      <c r="Y3" s="8"/>
    </row>
    <row r="4" spans="1:27" ht="15" customHeight="1" x14ac:dyDescent="0.35">
      <c r="A4" s="245">
        <v>45174</v>
      </c>
      <c r="B4" s="245"/>
      <c r="C4" s="212" t="s">
        <v>346</v>
      </c>
      <c r="D4" s="15">
        <v>1</v>
      </c>
      <c r="E4" s="15"/>
      <c r="F4" s="9">
        <v>800</v>
      </c>
      <c r="G4" s="29">
        <f t="shared" ref="G4:G67" si="0">(F4*D4)+(E4*F4)</f>
        <v>800</v>
      </c>
      <c r="H4" s="11"/>
      <c r="I4" s="10"/>
      <c r="J4" s="29">
        <f t="shared" ref="J4:J67" si="1">H4*I4</f>
        <v>0</v>
      </c>
      <c r="K4" s="29"/>
      <c r="L4" s="223">
        <f>(J4+G4)-K4</f>
        <v>800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>IF(O4&gt;0,SUM(O4-(L4+P4))," ")</f>
        <v xml:space="preserve"> </v>
      </c>
      <c r="S4" s="189"/>
      <c r="T4" s="253" t="s">
        <v>1</v>
      </c>
      <c r="U4" s="13">
        <v>0</v>
      </c>
      <c r="V4" s="253" t="s">
        <v>10</v>
      </c>
      <c r="W4" s="253"/>
      <c r="X4" s="14"/>
    </row>
    <row r="5" spans="1:27" ht="15" customHeight="1" x14ac:dyDescent="0.35">
      <c r="A5" s="245">
        <v>45174</v>
      </c>
      <c r="B5" s="245"/>
      <c r="C5" s="212" t="s">
        <v>279</v>
      </c>
      <c r="D5" s="15"/>
      <c r="E5" s="15">
        <v>8</v>
      </c>
      <c r="F5" s="9">
        <v>800</v>
      </c>
      <c r="G5" s="29">
        <f t="shared" si="0"/>
        <v>6400</v>
      </c>
      <c r="H5" s="11"/>
      <c r="I5" s="10"/>
      <c r="J5" s="29">
        <f t="shared" si="1"/>
        <v>0</v>
      </c>
      <c r="K5" s="29"/>
      <c r="L5" s="223">
        <f t="shared" ref="L5:L68" si="2">(J5+G5)-K5</f>
        <v>6400</v>
      </c>
      <c r="M5" s="12"/>
      <c r="N5" s="218" t="str">
        <f t="shared" ref="N5:N61" si="3">IF(M5&gt;0,SUM(L5-M5)," ")</f>
        <v xml:space="preserve"> </v>
      </c>
      <c r="O5" s="189"/>
      <c r="P5" s="189"/>
      <c r="Q5" s="189"/>
      <c r="R5" s="189" t="str">
        <f t="shared" ref="R5:R100" si="4">IF(O5&gt;0,SUM(O5-(L5+P5))," ")</f>
        <v xml:space="preserve"> </v>
      </c>
      <c r="S5" s="189"/>
      <c r="T5" s="253" t="s">
        <v>1</v>
      </c>
      <c r="U5" s="13">
        <v>0</v>
      </c>
      <c r="V5" s="253" t="s">
        <v>10</v>
      </c>
      <c r="W5" s="253"/>
      <c r="X5" s="14"/>
    </row>
    <row r="6" spans="1:27" ht="15" customHeight="1" x14ac:dyDescent="0.35">
      <c r="A6" s="245">
        <v>45174</v>
      </c>
      <c r="B6" s="245"/>
      <c r="C6" s="212" t="s">
        <v>280</v>
      </c>
      <c r="D6" s="15"/>
      <c r="E6" s="15">
        <v>2</v>
      </c>
      <c r="F6" s="9">
        <v>830</v>
      </c>
      <c r="G6" s="29">
        <f t="shared" si="0"/>
        <v>1660</v>
      </c>
      <c r="H6" s="11"/>
      <c r="I6" s="10"/>
      <c r="J6" s="29">
        <f t="shared" si="1"/>
        <v>0</v>
      </c>
      <c r="K6" s="29"/>
      <c r="L6" s="223">
        <f t="shared" si="2"/>
        <v>1660</v>
      </c>
      <c r="M6" s="213"/>
      <c r="N6" s="218" t="str">
        <f t="shared" si="3"/>
        <v xml:space="preserve"> </v>
      </c>
      <c r="O6" s="189"/>
      <c r="P6" s="189"/>
      <c r="Q6" s="189"/>
      <c r="R6" s="189" t="str">
        <f t="shared" si="4"/>
        <v xml:space="preserve"> </v>
      </c>
      <c r="S6" s="189"/>
      <c r="T6" s="253" t="s">
        <v>1</v>
      </c>
      <c r="U6" s="13">
        <v>0</v>
      </c>
      <c r="V6" s="253" t="s">
        <v>10</v>
      </c>
      <c r="W6" s="253"/>
      <c r="X6" s="17"/>
    </row>
    <row r="7" spans="1:27" ht="15" customHeight="1" x14ac:dyDescent="0.35">
      <c r="A7" s="245">
        <v>45175</v>
      </c>
      <c r="B7" s="245"/>
      <c r="C7" s="211" t="s">
        <v>338</v>
      </c>
      <c r="D7" s="15"/>
      <c r="E7" s="15">
        <v>1</v>
      </c>
      <c r="F7" s="9">
        <v>800</v>
      </c>
      <c r="G7" s="29">
        <f t="shared" si="0"/>
        <v>800</v>
      </c>
      <c r="H7" s="11"/>
      <c r="I7" s="10"/>
      <c r="J7" s="29">
        <f t="shared" si="1"/>
        <v>0</v>
      </c>
      <c r="K7" s="29"/>
      <c r="L7" s="223">
        <f t="shared" si="2"/>
        <v>800</v>
      </c>
      <c r="M7" s="12"/>
      <c r="N7" s="218" t="str">
        <f t="shared" si="3"/>
        <v xml:space="preserve"> </v>
      </c>
      <c r="O7" s="189"/>
      <c r="P7" s="189"/>
      <c r="Q7" s="189"/>
      <c r="R7" s="189" t="str">
        <f t="shared" si="4"/>
        <v xml:space="preserve"> </v>
      </c>
      <c r="S7" s="189"/>
      <c r="T7" s="253" t="s">
        <v>1</v>
      </c>
      <c r="U7" s="13">
        <v>0</v>
      </c>
      <c r="V7" s="253" t="s">
        <v>10</v>
      </c>
      <c r="W7" s="253"/>
      <c r="X7" s="16"/>
    </row>
    <row r="8" spans="1:27" ht="15" customHeight="1" x14ac:dyDescent="0.35">
      <c r="A8" s="245">
        <v>45175</v>
      </c>
      <c r="B8" s="245"/>
      <c r="C8" s="211" t="s">
        <v>296</v>
      </c>
      <c r="D8" s="15"/>
      <c r="E8" s="15">
        <v>4</v>
      </c>
      <c r="F8" s="9">
        <v>840</v>
      </c>
      <c r="G8" s="29">
        <f t="shared" si="0"/>
        <v>3360</v>
      </c>
      <c r="H8" s="11"/>
      <c r="I8" s="10"/>
      <c r="J8" s="29">
        <f t="shared" si="1"/>
        <v>0</v>
      </c>
      <c r="K8" s="29"/>
      <c r="L8" s="223">
        <f t="shared" si="2"/>
        <v>3360</v>
      </c>
      <c r="M8" s="12"/>
      <c r="N8" s="218" t="str">
        <f t="shared" si="3"/>
        <v xml:space="preserve"> </v>
      </c>
      <c r="O8" s="189">
        <v>1400</v>
      </c>
      <c r="P8" s="189"/>
      <c r="Q8" s="189"/>
      <c r="R8" s="189">
        <f t="shared" si="4"/>
        <v>-1960</v>
      </c>
      <c r="S8" s="189"/>
      <c r="T8" s="253" t="s">
        <v>83</v>
      </c>
      <c r="U8" s="13">
        <v>0</v>
      </c>
      <c r="V8" s="253" t="s">
        <v>10</v>
      </c>
      <c r="W8" s="253" t="s">
        <v>84</v>
      </c>
      <c r="X8" s="16"/>
      <c r="Y8" s="187" t="s">
        <v>0</v>
      </c>
      <c r="Z8" s="187" t="s">
        <v>8</v>
      </c>
      <c r="AA8" s="249">
        <f>G101</f>
        <v>123550</v>
      </c>
    </row>
    <row r="9" spans="1:27" ht="15" customHeight="1" x14ac:dyDescent="0.35">
      <c r="A9" s="245">
        <v>45175</v>
      </c>
      <c r="B9" s="245"/>
      <c r="C9" s="211" t="s">
        <v>321</v>
      </c>
      <c r="D9" s="15">
        <v>3</v>
      </c>
      <c r="E9" s="15"/>
      <c r="F9" s="9">
        <v>850</v>
      </c>
      <c r="G9" s="29">
        <f t="shared" si="0"/>
        <v>2550</v>
      </c>
      <c r="H9" s="11"/>
      <c r="I9" s="10"/>
      <c r="J9" s="29">
        <f t="shared" si="1"/>
        <v>0</v>
      </c>
      <c r="K9" s="29"/>
      <c r="L9" s="223">
        <f t="shared" si="2"/>
        <v>2550</v>
      </c>
      <c r="M9" s="12"/>
      <c r="N9" s="218" t="str">
        <f t="shared" si="3"/>
        <v xml:space="preserve"> </v>
      </c>
      <c r="O9" s="189"/>
      <c r="P9" s="189"/>
      <c r="Q9" s="189"/>
      <c r="R9" s="189" t="str">
        <f t="shared" si="4"/>
        <v xml:space="preserve"> </v>
      </c>
      <c r="S9" s="189"/>
      <c r="T9" s="18" t="s">
        <v>1</v>
      </c>
      <c r="U9" s="13">
        <v>0</v>
      </c>
      <c r="V9" s="253" t="s">
        <v>10</v>
      </c>
      <c r="W9" s="253"/>
      <c r="X9" s="16"/>
      <c r="Y9" s="187">
        <v>720</v>
      </c>
      <c r="AA9" s="191">
        <f>Y9*Z9</f>
        <v>0</v>
      </c>
    </row>
    <row r="10" spans="1:27" ht="15" customHeight="1" x14ac:dyDescent="0.35">
      <c r="A10" s="245">
        <v>45175</v>
      </c>
      <c r="B10" s="245"/>
      <c r="C10" s="211" t="s">
        <v>415</v>
      </c>
      <c r="D10" s="15">
        <v>2</v>
      </c>
      <c r="E10" s="15"/>
      <c r="F10" s="9">
        <v>830</v>
      </c>
      <c r="G10" s="29">
        <f t="shared" si="0"/>
        <v>1660</v>
      </c>
      <c r="H10" s="11"/>
      <c r="I10" s="10"/>
      <c r="J10" s="29">
        <f t="shared" si="1"/>
        <v>0</v>
      </c>
      <c r="K10" s="29"/>
      <c r="L10" s="223">
        <f t="shared" si="2"/>
        <v>1660</v>
      </c>
      <c r="M10" s="12"/>
      <c r="N10" s="218" t="str">
        <f t="shared" si="3"/>
        <v xml:space="preserve"> </v>
      </c>
      <c r="O10" s="189"/>
      <c r="P10" s="189"/>
      <c r="Q10" s="189"/>
      <c r="R10" s="189" t="str">
        <f t="shared" si="4"/>
        <v xml:space="preserve"> </v>
      </c>
      <c r="S10" s="189"/>
      <c r="T10" s="18" t="s">
        <v>1</v>
      </c>
      <c r="U10" s="13">
        <v>0</v>
      </c>
      <c r="V10" s="253" t="s">
        <v>10</v>
      </c>
      <c r="W10" s="253"/>
      <c r="X10" s="16"/>
      <c r="Y10" s="187">
        <v>750</v>
      </c>
      <c r="AA10" s="191">
        <f>Y10*Z10</f>
        <v>0</v>
      </c>
    </row>
    <row r="11" spans="1:27" ht="15" customHeight="1" x14ac:dyDescent="0.35">
      <c r="A11" s="245">
        <v>45175</v>
      </c>
      <c r="B11" s="245"/>
      <c r="C11" s="212" t="s">
        <v>323</v>
      </c>
      <c r="D11" s="15">
        <v>1</v>
      </c>
      <c r="E11" s="15"/>
      <c r="F11" s="9">
        <v>850</v>
      </c>
      <c r="G11" s="29">
        <f t="shared" si="0"/>
        <v>850</v>
      </c>
      <c r="H11" s="11"/>
      <c r="I11" s="10"/>
      <c r="J11" s="29">
        <f t="shared" si="1"/>
        <v>0</v>
      </c>
      <c r="K11" s="29"/>
      <c r="L11" s="223">
        <f t="shared" si="2"/>
        <v>850</v>
      </c>
      <c r="M11" s="213"/>
      <c r="N11" s="218" t="str">
        <f t="shared" si="3"/>
        <v xml:space="preserve"> </v>
      </c>
      <c r="O11" s="189"/>
      <c r="P11" s="189"/>
      <c r="Q11" s="189"/>
      <c r="R11" s="189" t="str">
        <f t="shared" si="4"/>
        <v xml:space="preserve"> </v>
      </c>
      <c r="S11" s="189"/>
      <c r="T11" s="18" t="s">
        <v>1</v>
      </c>
      <c r="U11" s="13">
        <v>0</v>
      </c>
      <c r="V11" s="253" t="s">
        <v>10</v>
      </c>
      <c r="W11" s="253"/>
      <c r="X11" s="16"/>
      <c r="Y11" s="187">
        <v>780</v>
      </c>
      <c r="AA11" s="191">
        <f>Y11*Z11</f>
        <v>0</v>
      </c>
    </row>
    <row r="12" spans="1:27" ht="15" customHeight="1" x14ac:dyDescent="0.35">
      <c r="A12" s="245">
        <v>45175</v>
      </c>
      <c r="B12" s="245"/>
      <c r="C12" s="211" t="s">
        <v>322</v>
      </c>
      <c r="D12" s="15">
        <v>1</v>
      </c>
      <c r="E12" s="15"/>
      <c r="F12" s="9">
        <v>850</v>
      </c>
      <c r="G12" s="29">
        <f t="shared" si="0"/>
        <v>850</v>
      </c>
      <c r="H12" s="11"/>
      <c r="I12" s="10"/>
      <c r="J12" s="29">
        <f t="shared" si="1"/>
        <v>0</v>
      </c>
      <c r="K12" s="29"/>
      <c r="L12" s="223">
        <f t="shared" si="2"/>
        <v>850</v>
      </c>
      <c r="M12" s="12"/>
      <c r="N12" s="218" t="str">
        <f t="shared" si="3"/>
        <v xml:space="preserve"> </v>
      </c>
      <c r="O12" s="189"/>
      <c r="P12" s="189"/>
      <c r="Q12" s="189"/>
      <c r="R12" s="189" t="str">
        <f t="shared" si="4"/>
        <v xml:space="preserve"> </v>
      </c>
      <c r="S12" s="189"/>
      <c r="T12" s="253" t="s">
        <v>1</v>
      </c>
      <c r="U12" s="13">
        <v>0</v>
      </c>
      <c r="V12" s="253" t="s">
        <v>10</v>
      </c>
      <c r="W12" s="253"/>
      <c r="X12" s="17"/>
      <c r="Y12" s="187">
        <v>800</v>
      </c>
      <c r="AA12" s="191">
        <f>Y12*Z12</f>
        <v>0</v>
      </c>
    </row>
    <row r="13" spans="1:27" ht="15" customHeight="1" x14ac:dyDescent="0.35">
      <c r="A13" s="245">
        <v>45177</v>
      </c>
      <c r="B13" s="246"/>
      <c r="C13" s="211" t="s">
        <v>281</v>
      </c>
      <c r="D13" s="15"/>
      <c r="E13" s="15">
        <v>4</v>
      </c>
      <c r="F13" s="9">
        <v>800</v>
      </c>
      <c r="G13" s="29">
        <f t="shared" si="0"/>
        <v>3200</v>
      </c>
      <c r="H13" s="11"/>
      <c r="I13" s="10"/>
      <c r="J13" s="29">
        <f t="shared" si="1"/>
        <v>0</v>
      </c>
      <c r="K13" s="29"/>
      <c r="L13" s="223">
        <f t="shared" si="2"/>
        <v>3200</v>
      </c>
      <c r="M13" s="213"/>
      <c r="N13" s="218" t="str">
        <f t="shared" si="3"/>
        <v xml:space="preserve"> </v>
      </c>
      <c r="O13" s="189">
        <v>440</v>
      </c>
      <c r="P13" s="189"/>
      <c r="Q13" s="189"/>
      <c r="R13" s="189">
        <f t="shared" si="4"/>
        <v>-2760</v>
      </c>
      <c r="S13" s="189">
        <f>P13-Q13</f>
        <v>0</v>
      </c>
      <c r="T13" s="253" t="s">
        <v>1</v>
      </c>
      <c r="U13" s="13">
        <v>30</v>
      </c>
      <c r="V13" s="253" t="s">
        <v>10</v>
      </c>
      <c r="W13" s="253" t="s">
        <v>92</v>
      </c>
      <c r="X13" s="16"/>
      <c r="AA13" s="251">
        <f>AA8-(SUM(AA9:AA12))</f>
        <v>123550</v>
      </c>
    </row>
    <row r="14" spans="1:27" ht="15" customHeight="1" x14ac:dyDescent="0.35">
      <c r="A14" s="245">
        <v>45177</v>
      </c>
      <c r="B14" s="246"/>
      <c r="C14" s="212" t="s">
        <v>330</v>
      </c>
      <c r="D14" s="15"/>
      <c r="E14" s="15">
        <v>4</v>
      </c>
      <c r="F14" s="9">
        <v>820</v>
      </c>
      <c r="G14" s="29">
        <f t="shared" si="0"/>
        <v>3280</v>
      </c>
      <c r="H14" s="11"/>
      <c r="I14" s="10"/>
      <c r="J14" s="29">
        <f t="shared" si="1"/>
        <v>0</v>
      </c>
      <c r="K14" s="29"/>
      <c r="L14" s="223">
        <f t="shared" si="2"/>
        <v>3280</v>
      </c>
      <c r="M14" s="12"/>
      <c r="N14" s="218" t="str">
        <f t="shared" si="3"/>
        <v xml:space="preserve"> </v>
      </c>
      <c r="O14" s="190"/>
      <c r="P14" s="190"/>
      <c r="Q14" s="190"/>
      <c r="R14" s="189" t="str">
        <f t="shared" si="4"/>
        <v xml:space="preserve"> </v>
      </c>
      <c r="S14" s="190"/>
      <c r="T14" s="253"/>
      <c r="U14" s="19"/>
      <c r="V14" s="253"/>
      <c r="W14" s="253"/>
      <c r="X14" s="16"/>
    </row>
    <row r="15" spans="1:27" ht="15" customHeight="1" x14ac:dyDescent="0.35">
      <c r="A15" s="245">
        <v>45177</v>
      </c>
      <c r="B15" s="246"/>
      <c r="C15" s="211" t="s">
        <v>153</v>
      </c>
      <c r="D15" s="15">
        <v>1</v>
      </c>
      <c r="E15" s="15"/>
      <c r="F15" s="9">
        <v>850</v>
      </c>
      <c r="G15" s="29">
        <f t="shared" si="0"/>
        <v>850</v>
      </c>
      <c r="H15" s="11"/>
      <c r="I15" s="10"/>
      <c r="J15" s="29">
        <f t="shared" si="1"/>
        <v>0</v>
      </c>
      <c r="K15" s="29"/>
      <c r="L15" s="223">
        <f t="shared" si="2"/>
        <v>850</v>
      </c>
      <c r="M15" s="12"/>
      <c r="N15" s="218" t="str">
        <f t="shared" si="3"/>
        <v xml:space="preserve"> </v>
      </c>
      <c r="O15" s="190"/>
      <c r="P15" s="190"/>
      <c r="Q15" s="190"/>
      <c r="R15" s="189" t="str">
        <f t="shared" si="4"/>
        <v xml:space="preserve"> </v>
      </c>
      <c r="S15" s="190"/>
      <c r="T15" s="253"/>
      <c r="U15" s="19"/>
      <c r="V15" s="253"/>
      <c r="W15" s="253"/>
      <c r="X15" s="16"/>
    </row>
    <row r="16" spans="1:27" ht="15" customHeight="1" x14ac:dyDescent="0.35">
      <c r="A16" s="245">
        <v>45177</v>
      </c>
      <c r="B16" s="246"/>
      <c r="C16" s="212" t="s">
        <v>325</v>
      </c>
      <c r="D16" s="15">
        <v>1</v>
      </c>
      <c r="E16" s="15"/>
      <c r="F16" s="9">
        <v>850</v>
      </c>
      <c r="G16" s="29">
        <f t="shared" si="0"/>
        <v>850</v>
      </c>
      <c r="H16" s="11"/>
      <c r="I16" s="10"/>
      <c r="J16" s="29">
        <f t="shared" si="1"/>
        <v>0</v>
      </c>
      <c r="K16" s="29"/>
      <c r="L16" s="223">
        <f t="shared" si="2"/>
        <v>850</v>
      </c>
      <c r="M16" s="12"/>
      <c r="N16" s="218" t="str">
        <f t="shared" si="3"/>
        <v xml:space="preserve"> </v>
      </c>
      <c r="O16" s="189"/>
      <c r="P16" s="189"/>
      <c r="Q16" s="189"/>
      <c r="R16" s="189" t="str">
        <f t="shared" si="4"/>
        <v xml:space="preserve"> </v>
      </c>
      <c r="S16" s="189"/>
      <c r="T16" s="253"/>
      <c r="U16" s="13"/>
      <c r="V16" s="253"/>
      <c r="W16" s="253"/>
      <c r="X16" s="16"/>
    </row>
    <row r="17" spans="1:24" ht="15" customHeight="1" x14ac:dyDescent="0.35">
      <c r="A17" s="245">
        <v>45178</v>
      </c>
      <c r="B17" s="246"/>
      <c r="C17" s="211" t="s">
        <v>322</v>
      </c>
      <c r="D17" s="15">
        <v>2</v>
      </c>
      <c r="E17" s="15"/>
      <c r="F17" s="9">
        <v>850</v>
      </c>
      <c r="G17" s="29">
        <f t="shared" si="0"/>
        <v>1700</v>
      </c>
      <c r="H17" s="11"/>
      <c r="I17" s="10"/>
      <c r="J17" s="29">
        <f t="shared" si="1"/>
        <v>0</v>
      </c>
      <c r="K17" s="29"/>
      <c r="L17" s="223">
        <f t="shared" si="2"/>
        <v>1700</v>
      </c>
      <c r="M17" s="223"/>
      <c r="N17" s="218" t="str">
        <f t="shared" si="3"/>
        <v xml:space="preserve"> </v>
      </c>
      <c r="O17" s="189"/>
      <c r="P17" s="189"/>
      <c r="Q17" s="189"/>
      <c r="R17" s="189" t="str">
        <f t="shared" si="4"/>
        <v xml:space="preserve"> </v>
      </c>
      <c r="S17" s="189"/>
      <c r="T17" s="253"/>
      <c r="U17" s="13"/>
      <c r="V17" s="253"/>
      <c r="W17" s="253"/>
      <c r="X17" s="16"/>
    </row>
    <row r="18" spans="1:24" ht="15" customHeight="1" x14ac:dyDescent="0.35">
      <c r="A18" s="245">
        <v>45180</v>
      </c>
      <c r="B18" s="246"/>
      <c r="C18" s="212" t="s">
        <v>279</v>
      </c>
      <c r="D18" s="15"/>
      <c r="E18" s="15">
        <v>6</v>
      </c>
      <c r="F18" s="9">
        <v>780</v>
      </c>
      <c r="G18" s="29">
        <f t="shared" si="0"/>
        <v>4680</v>
      </c>
      <c r="H18" s="11"/>
      <c r="I18" s="10"/>
      <c r="J18" s="29">
        <f t="shared" si="1"/>
        <v>0</v>
      </c>
      <c r="K18" s="29"/>
      <c r="L18" s="223">
        <f t="shared" si="2"/>
        <v>4680</v>
      </c>
      <c r="M18" s="213"/>
      <c r="N18" s="218" t="str">
        <f t="shared" si="3"/>
        <v xml:space="preserve"> </v>
      </c>
      <c r="O18" s="189"/>
      <c r="P18" s="189"/>
      <c r="Q18" s="189"/>
      <c r="R18" s="189" t="str">
        <f t="shared" si="4"/>
        <v xml:space="preserve"> </v>
      </c>
      <c r="S18" s="189"/>
      <c r="T18" s="253"/>
      <c r="U18" s="13"/>
      <c r="V18" s="253"/>
      <c r="W18" s="253"/>
      <c r="X18" s="16"/>
    </row>
    <row r="19" spans="1:24" ht="15" customHeight="1" x14ac:dyDescent="0.35">
      <c r="A19" s="245">
        <v>45180</v>
      </c>
      <c r="B19" s="246"/>
      <c r="C19" s="211" t="s">
        <v>324</v>
      </c>
      <c r="D19" s="15"/>
      <c r="E19" s="15">
        <v>1</v>
      </c>
      <c r="F19" s="9">
        <v>840</v>
      </c>
      <c r="G19" s="29">
        <f t="shared" si="0"/>
        <v>840</v>
      </c>
      <c r="H19" s="11"/>
      <c r="I19" s="10"/>
      <c r="J19" s="29">
        <f t="shared" si="1"/>
        <v>0</v>
      </c>
      <c r="K19" s="29"/>
      <c r="L19" s="223">
        <f t="shared" si="2"/>
        <v>840</v>
      </c>
      <c r="M19" s="223"/>
      <c r="N19" s="218" t="str">
        <f t="shared" si="3"/>
        <v xml:space="preserve"> </v>
      </c>
      <c r="O19" s="189"/>
      <c r="P19" s="189"/>
      <c r="Q19" s="189"/>
      <c r="R19" s="189" t="str">
        <f t="shared" si="4"/>
        <v xml:space="preserve"> </v>
      </c>
      <c r="S19" s="189"/>
      <c r="T19" s="253"/>
      <c r="U19" s="13"/>
      <c r="V19" s="253"/>
      <c r="W19" s="253"/>
      <c r="X19" s="16"/>
    </row>
    <row r="20" spans="1:24" ht="15" customHeight="1" x14ac:dyDescent="0.35">
      <c r="A20" s="245">
        <v>45180</v>
      </c>
      <c r="B20" s="246"/>
      <c r="C20" s="212" t="s">
        <v>323</v>
      </c>
      <c r="D20" s="15">
        <v>1</v>
      </c>
      <c r="E20" s="15"/>
      <c r="F20" s="9">
        <v>850</v>
      </c>
      <c r="G20" s="29">
        <f t="shared" si="0"/>
        <v>850</v>
      </c>
      <c r="H20" s="11"/>
      <c r="I20" s="10"/>
      <c r="J20" s="29">
        <f t="shared" si="1"/>
        <v>0</v>
      </c>
      <c r="K20" s="29"/>
      <c r="L20" s="223">
        <f t="shared" si="2"/>
        <v>850</v>
      </c>
      <c r="M20" s="12"/>
      <c r="N20" s="218" t="str">
        <f t="shared" si="3"/>
        <v xml:space="preserve"> </v>
      </c>
      <c r="O20" s="189"/>
      <c r="P20" s="189"/>
      <c r="Q20" s="189"/>
      <c r="R20" s="189" t="str">
        <f t="shared" si="4"/>
        <v xml:space="preserve"> </v>
      </c>
      <c r="S20" s="189"/>
      <c r="T20" s="253"/>
      <c r="U20" s="13"/>
      <c r="V20" s="253"/>
      <c r="W20" s="253"/>
      <c r="X20" s="16"/>
    </row>
    <row r="21" spans="1:24" ht="15" customHeight="1" x14ac:dyDescent="0.35">
      <c r="A21" s="245">
        <v>45181</v>
      </c>
      <c r="B21" s="245"/>
      <c r="C21" s="212" t="s">
        <v>321</v>
      </c>
      <c r="D21" s="15">
        <v>1</v>
      </c>
      <c r="E21" s="15"/>
      <c r="F21" s="9">
        <v>850</v>
      </c>
      <c r="G21" s="29">
        <f t="shared" si="0"/>
        <v>850</v>
      </c>
      <c r="H21" s="11"/>
      <c r="I21" s="10"/>
      <c r="J21" s="29">
        <f t="shared" si="1"/>
        <v>0</v>
      </c>
      <c r="K21" s="29"/>
      <c r="L21" s="223">
        <f t="shared" si="2"/>
        <v>850</v>
      </c>
      <c r="M21" s="12"/>
      <c r="N21" s="218" t="str">
        <f t="shared" si="3"/>
        <v xml:space="preserve"> </v>
      </c>
      <c r="O21" s="189"/>
      <c r="P21" s="189"/>
      <c r="Q21" s="189"/>
      <c r="R21" s="189" t="str">
        <f t="shared" si="4"/>
        <v xml:space="preserve"> </v>
      </c>
      <c r="S21" s="189"/>
      <c r="T21" s="253"/>
      <c r="U21" s="13"/>
      <c r="V21" s="253"/>
      <c r="W21" s="253"/>
      <c r="X21" s="16"/>
    </row>
    <row r="22" spans="1:24" ht="15" customHeight="1" x14ac:dyDescent="0.35">
      <c r="A22" s="245">
        <v>45181</v>
      </c>
      <c r="B22" s="245"/>
      <c r="C22" s="212" t="s">
        <v>153</v>
      </c>
      <c r="D22" s="15">
        <v>1</v>
      </c>
      <c r="E22" s="15"/>
      <c r="F22" s="9">
        <v>850</v>
      </c>
      <c r="G22" s="29">
        <f t="shared" si="0"/>
        <v>850</v>
      </c>
      <c r="H22" s="11"/>
      <c r="I22" s="10"/>
      <c r="J22" s="29">
        <f t="shared" si="1"/>
        <v>0</v>
      </c>
      <c r="K22" s="29"/>
      <c r="L22" s="223">
        <f t="shared" si="2"/>
        <v>850</v>
      </c>
      <c r="M22" s="12"/>
      <c r="N22" s="218" t="str">
        <f t="shared" si="3"/>
        <v xml:space="preserve"> </v>
      </c>
      <c r="O22" s="189"/>
      <c r="P22" s="189"/>
      <c r="Q22" s="189"/>
      <c r="R22" s="189" t="str">
        <f t="shared" si="4"/>
        <v xml:space="preserve"> </v>
      </c>
      <c r="S22" s="189"/>
      <c r="T22" s="253"/>
      <c r="U22" s="13"/>
      <c r="V22" s="253"/>
      <c r="W22" s="253"/>
      <c r="X22" s="16"/>
    </row>
    <row r="23" spans="1:24" ht="15" customHeight="1" x14ac:dyDescent="0.35">
      <c r="A23" s="245">
        <v>45181</v>
      </c>
      <c r="B23" s="245"/>
      <c r="C23" s="212" t="s">
        <v>349</v>
      </c>
      <c r="D23" s="15"/>
      <c r="E23" s="15">
        <v>8</v>
      </c>
      <c r="F23" s="9">
        <v>820</v>
      </c>
      <c r="G23" s="29">
        <f t="shared" si="0"/>
        <v>6560</v>
      </c>
      <c r="H23" s="11"/>
      <c r="I23" s="10"/>
      <c r="J23" s="29">
        <f t="shared" si="1"/>
        <v>0</v>
      </c>
      <c r="K23" s="29"/>
      <c r="L23" s="223">
        <f t="shared" si="2"/>
        <v>6560</v>
      </c>
      <c r="M23" s="12"/>
      <c r="N23" s="218" t="str">
        <f t="shared" si="3"/>
        <v xml:space="preserve"> </v>
      </c>
      <c r="O23" s="189"/>
      <c r="P23" s="189"/>
      <c r="Q23" s="189"/>
      <c r="R23" s="189" t="str">
        <f t="shared" si="4"/>
        <v xml:space="preserve"> </v>
      </c>
      <c r="S23" s="189"/>
      <c r="T23" s="253"/>
      <c r="U23" s="13"/>
      <c r="V23" s="253"/>
      <c r="W23" s="253"/>
      <c r="X23" s="16"/>
    </row>
    <row r="24" spans="1:24" ht="15" customHeight="1" x14ac:dyDescent="0.35">
      <c r="A24" s="250">
        <v>45182</v>
      </c>
      <c r="B24" s="250"/>
      <c r="C24" s="212" t="s">
        <v>152</v>
      </c>
      <c r="D24" s="15">
        <v>8</v>
      </c>
      <c r="E24" s="15"/>
      <c r="F24" s="9">
        <v>830</v>
      </c>
      <c r="G24" s="29">
        <f t="shared" si="0"/>
        <v>6640</v>
      </c>
      <c r="H24" s="11"/>
      <c r="I24" s="10"/>
      <c r="J24" s="29">
        <f t="shared" si="1"/>
        <v>0</v>
      </c>
      <c r="K24" s="29"/>
      <c r="L24" s="223">
        <f t="shared" si="2"/>
        <v>6640</v>
      </c>
      <c r="M24" s="12"/>
      <c r="N24" s="218" t="str">
        <f t="shared" si="3"/>
        <v xml:space="preserve"> </v>
      </c>
      <c r="O24" s="189"/>
      <c r="P24" s="189"/>
      <c r="Q24" s="189"/>
      <c r="R24" s="189" t="str">
        <f t="shared" si="4"/>
        <v xml:space="preserve"> </v>
      </c>
      <c r="S24" s="189"/>
      <c r="T24" s="253"/>
      <c r="U24" s="13"/>
      <c r="V24" s="253"/>
      <c r="W24" s="253"/>
      <c r="X24" s="16"/>
    </row>
    <row r="25" spans="1:24" ht="15" customHeight="1" x14ac:dyDescent="0.35">
      <c r="A25" s="250">
        <v>45182</v>
      </c>
      <c r="B25" s="245"/>
      <c r="C25" s="211" t="s">
        <v>321</v>
      </c>
      <c r="D25" s="15">
        <v>3</v>
      </c>
      <c r="E25" s="15"/>
      <c r="F25" s="9">
        <v>850</v>
      </c>
      <c r="G25" s="29">
        <f t="shared" si="0"/>
        <v>2550</v>
      </c>
      <c r="H25" s="11"/>
      <c r="I25" s="10"/>
      <c r="J25" s="29">
        <f t="shared" si="1"/>
        <v>0</v>
      </c>
      <c r="K25" s="29"/>
      <c r="L25" s="223">
        <f t="shared" si="2"/>
        <v>2550</v>
      </c>
      <c r="M25" s="12"/>
      <c r="N25" s="218" t="str">
        <f t="shared" si="3"/>
        <v xml:space="preserve"> </v>
      </c>
      <c r="O25" s="189"/>
      <c r="P25" s="189"/>
      <c r="Q25" s="189"/>
      <c r="R25" s="189" t="str">
        <f t="shared" si="4"/>
        <v xml:space="preserve"> </v>
      </c>
      <c r="S25" s="189"/>
      <c r="T25" s="253"/>
      <c r="U25" s="13"/>
      <c r="V25" s="253"/>
      <c r="W25" s="253"/>
      <c r="X25" s="16"/>
    </row>
    <row r="26" spans="1:24" ht="15" customHeight="1" x14ac:dyDescent="0.35">
      <c r="A26" s="250">
        <v>45183</v>
      </c>
      <c r="B26" s="245"/>
      <c r="C26" s="211" t="s">
        <v>338</v>
      </c>
      <c r="D26" s="15"/>
      <c r="E26" s="15">
        <v>1</v>
      </c>
      <c r="F26" s="9">
        <v>800</v>
      </c>
      <c r="G26" s="29">
        <f t="shared" si="0"/>
        <v>800</v>
      </c>
      <c r="H26" s="11"/>
      <c r="I26" s="10"/>
      <c r="J26" s="29">
        <f t="shared" si="1"/>
        <v>0</v>
      </c>
      <c r="K26" s="29"/>
      <c r="L26" s="223">
        <f t="shared" si="2"/>
        <v>800</v>
      </c>
      <c r="M26" s="12"/>
      <c r="N26" s="218" t="str">
        <f t="shared" si="3"/>
        <v xml:space="preserve"> </v>
      </c>
      <c r="O26" s="189"/>
      <c r="P26" s="189"/>
      <c r="Q26" s="189"/>
      <c r="R26" s="189" t="str">
        <f t="shared" si="4"/>
        <v xml:space="preserve"> </v>
      </c>
      <c r="S26" s="189"/>
      <c r="T26" s="253"/>
      <c r="U26" s="13"/>
      <c r="V26" s="253"/>
      <c r="W26" s="253"/>
      <c r="X26" s="16"/>
    </row>
    <row r="27" spans="1:24" ht="15" customHeight="1" x14ac:dyDescent="0.35">
      <c r="A27" s="245">
        <v>45183</v>
      </c>
      <c r="B27" s="245"/>
      <c r="C27" s="212" t="s">
        <v>296</v>
      </c>
      <c r="D27" s="15"/>
      <c r="E27" s="15">
        <v>4</v>
      </c>
      <c r="F27" s="9">
        <v>840</v>
      </c>
      <c r="G27" s="29">
        <f t="shared" si="0"/>
        <v>3360</v>
      </c>
      <c r="H27" s="11"/>
      <c r="I27" s="10"/>
      <c r="J27" s="29">
        <f t="shared" si="1"/>
        <v>0</v>
      </c>
      <c r="K27" s="29"/>
      <c r="L27" s="223">
        <f t="shared" si="2"/>
        <v>3360</v>
      </c>
      <c r="M27" s="12"/>
      <c r="N27" s="218" t="str">
        <f t="shared" si="3"/>
        <v xml:space="preserve"> </v>
      </c>
      <c r="O27" s="189"/>
      <c r="P27" s="189"/>
      <c r="Q27" s="189"/>
      <c r="R27" s="189" t="str">
        <f t="shared" si="4"/>
        <v xml:space="preserve"> </v>
      </c>
      <c r="S27" s="189"/>
      <c r="T27" s="253"/>
      <c r="U27" s="13"/>
      <c r="V27" s="253"/>
      <c r="W27" s="253"/>
      <c r="X27" s="16"/>
    </row>
    <row r="28" spans="1:24" ht="15" customHeight="1" x14ac:dyDescent="0.35">
      <c r="A28" s="245">
        <v>45183</v>
      </c>
      <c r="B28" s="245"/>
      <c r="C28" s="212" t="s">
        <v>322</v>
      </c>
      <c r="D28" s="15">
        <v>1</v>
      </c>
      <c r="E28" s="15"/>
      <c r="F28" s="9">
        <v>850</v>
      </c>
      <c r="G28" s="29">
        <f t="shared" si="0"/>
        <v>850</v>
      </c>
      <c r="H28" s="11"/>
      <c r="I28" s="10"/>
      <c r="J28" s="29">
        <f t="shared" si="1"/>
        <v>0</v>
      </c>
      <c r="K28" s="29"/>
      <c r="L28" s="223">
        <f t="shared" si="2"/>
        <v>850</v>
      </c>
      <c r="M28" s="12"/>
      <c r="N28" s="218" t="str">
        <f t="shared" si="3"/>
        <v xml:space="preserve"> </v>
      </c>
      <c r="O28" s="189"/>
      <c r="P28" s="189"/>
      <c r="Q28" s="189"/>
      <c r="R28" s="189" t="str">
        <f t="shared" si="4"/>
        <v xml:space="preserve"> </v>
      </c>
      <c r="S28" s="189"/>
      <c r="T28" s="253"/>
      <c r="U28" s="13"/>
      <c r="V28" s="253"/>
      <c r="W28" s="253"/>
      <c r="X28" s="16"/>
    </row>
    <row r="29" spans="1:24" ht="15" customHeight="1" x14ac:dyDescent="0.35">
      <c r="A29" s="245">
        <v>45184</v>
      </c>
      <c r="B29" s="245"/>
      <c r="C29" s="211" t="s">
        <v>153</v>
      </c>
      <c r="D29" s="15">
        <v>1</v>
      </c>
      <c r="E29" s="15"/>
      <c r="F29" s="9">
        <v>850</v>
      </c>
      <c r="G29" s="29">
        <f t="shared" si="0"/>
        <v>850</v>
      </c>
      <c r="H29" s="11"/>
      <c r="I29" s="10"/>
      <c r="J29" s="29">
        <f t="shared" si="1"/>
        <v>0</v>
      </c>
      <c r="K29" s="29"/>
      <c r="L29" s="223">
        <f t="shared" si="2"/>
        <v>850</v>
      </c>
      <c r="M29" s="12"/>
      <c r="N29" s="239" t="str">
        <f t="shared" si="3"/>
        <v xml:space="preserve"> </v>
      </c>
      <c r="O29" s="189"/>
      <c r="P29" s="189"/>
      <c r="Q29" s="189"/>
      <c r="R29" s="189" t="str">
        <f t="shared" si="4"/>
        <v xml:space="preserve"> </v>
      </c>
      <c r="S29" s="189"/>
      <c r="T29" s="253"/>
      <c r="U29" s="13"/>
      <c r="V29" s="253"/>
      <c r="W29" s="253"/>
      <c r="X29" s="16"/>
    </row>
    <row r="30" spans="1:24" ht="15" customHeight="1" x14ac:dyDescent="0.35">
      <c r="A30" s="245">
        <v>45187</v>
      </c>
      <c r="B30" s="245"/>
      <c r="C30" s="211" t="s">
        <v>323</v>
      </c>
      <c r="D30" s="15">
        <v>1</v>
      </c>
      <c r="E30" s="15"/>
      <c r="F30" s="9">
        <v>850</v>
      </c>
      <c r="G30" s="29">
        <f t="shared" si="0"/>
        <v>850</v>
      </c>
      <c r="H30" s="11"/>
      <c r="I30" s="10"/>
      <c r="J30" s="29">
        <f t="shared" si="1"/>
        <v>0</v>
      </c>
      <c r="K30" s="29"/>
      <c r="L30" s="223">
        <f t="shared" si="2"/>
        <v>850</v>
      </c>
      <c r="M30" s="207"/>
      <c r="N30" s="218" t="str">
        <f t="shared" si="3"/>
        <v xml:space="preserve"> </v>
      </c>
      <c r="O30" s="189"/>
      <c r="P30" s="189"/>
      <c r="Q30" s="189"/>
      <c r="R30" s="189" t="str">
        <f t="shared" si="4"/>
        <v xml:space="preserve"> </v>
      </c>
      <c r="S30" s="189"/>
      <c r="T30" s="253"/>
      <c r="U30" s="13"/>
      <c r="V30" s="253"/>
      <c r="W30" s="253"/>
      <c r="X30" s="16"/>
    </row>
    <row r="31" spans="1:24" ht="15" customHeight="1" x14ac:dyDescent="0.35">
      <c r="A31" s="245">
        <v>45187</v>
      </c>
      <c r="B31" s="245"/>
      <c r="C31" s="211" t="s">
        <v>279</v>
      </c>
      <c r="D31" s="15"/>
      <c r="E31" s="15">
        <v>6</v>
      </c>
      <c r="F31" s="9">
        <v>780</v>
      </c>
      <c r="G31" s="29">
        <f t="shared" si="0"/>
        <v>4680</v>
      </c>
      <c r="H31" s="11"/>
      <c r="I31" s="10"/>
      <c r="J31" s="29">
        <f t="shared" si="1"/>
        <v>0</v>
      </c>
      <c r="K31" s="29"/>
      <c r="L31" s="223">
        <f t="shared" si="2"/>
        <v>4680</v>
      </c>
      <c r="M31" s="12"/>
      <c r="N31" s="218" t="str">
        <f t="shared" si="3"/>
        <v xml:space="preserve"> </v>
      </c>
      <c r="O31" s="189"/>
      <c r="P31" s="189"/>
      <c r="Q31" s="189"/>
      <c r="R31" s="189" t="str">
        <f t="shared" si="4"/>
        <v xml:space="preserve"> </v>
      </c>
      <c r="S31" s="189"/>
      <c r="T31" s="253"/>
      <c r="U31" s="13"/>
      <c r="V31" s="253"/>
      <c r="W31" s="253"/>
      <c r="X31" s="16"/>
    </row>
    <row r="32" spans="1:24" ht="15" customHeight="1" x14ac:dyDescent="0.35">
      <c r="A32" s="245">
        <v>45187</v>
      </c>
      <c r="B32" s="245"/>
      <c r="C32" s="211" t="s">
        <v>331</v>
      </c>
      <c r="D32" s="15"/>
      <c r="E32" s="15">
        <v>1</v>
      </c>
      <c r="F32" s="9">
        <v>850</v>
      </c>
      <c r="G32" s="29">
        <f t="shared" si="0"/>
        <v>850</v>
      </c>
      <c r="H32" s="11"/>
      <c r="I32" s="10"/>
      <c r="J32" s="29">
        <f t="shared" si="1"/>
        <v>0</v>
      </c>
      <c r="K32" s="29"/>
      <c r="L32" s="223">
        <f t="shared" si="2"/>
        <v>850</v>
      </c>
      <c r="M32" s="213"/>
      <c r="N32" s="218" t="str">
        <f t="shared" si="3"/>
        <v xml:space="preserve"> </v>
      </c>
      <c r="O32" s="189"/>
      <c r="P32" s="189"/>
      <c r="Q32" s="189"/>
      <c r="R32" s="189" t="str">
        <f t="shared" si="4"/>
        <v xml:space="preserve"> </v>
      </c>
      <c r="S32" s="189"/>
      <c r="T32" s="253"/>
      <c r="U32" s="13"/>
      <c r="V32" s="253"/>
      <c r="W32" s="253"/>
      <c r="X32" s="16"/>
    </row>
    <row r="33" spans="1:24" ht="15" customHeight="1" x14ac:dyDescent="0.35">
      <c r="A33" s="245">
        <v>45187</v>
      </c>
      <c r="B33" s="245"/>
      <c r="C33" s="212" t="s">
        <v>280</v>
      </c>
      <c r="D33" s="15"/>
      <c r="E33" s="15">
        <v>2</v>
      </c>
      <c r="F33" s="9">
        <v>830</v>
      </c>
      <c r="G33" s="29">
        <f t="shared" si="0"/>
        <v>1660</v>
      </c>
      <c r="H33" s="11"/>
      <c r="I33" s="10"/>
      <c r="J33" s="29">
        <f t="shared" si="1"/>
        <v>0</v>
      </c>
      <c r="K33" s="29"/>
      <c r="L33" s="223">
        <f t="shared" si="2"/>
        <v>1660</v>
      </c>
      <c r="M33" s="12"/>
      <c r="N33" s="218" t="str">
        <f t="shared" si="3"/>
        <v xml:space="preserve"> </v>
      </c>
      <c r="O33" s="189"/>
      <c r="P33" s="189"/>
      <c r="Q33" s="189"/>
      <c r="R33" s="189" t="str">
        <f t="shared" si="4"/>
        <v xml:space="preserve"> </v>
      </c>
      <c r="S33" s="189"/>
      <c r="T33" s="253"/>
      <c r="U33" s="13"/>
      <c r="V33" s="253"/>
      <c r="W33" s="253"/>
      <c r="X33" s="16"/>
    </row>
    <row r="34" spans="1:24" ht="15" customHeight="1" x14ac:dyDescent="0.35">
      <c r="A34" s="245">
        <v>45187</v>
      </c>
      <c r="B34" s="245"/>
      <c r="C34" s="211" t="s">
        <v>322</v>
      </c>
      <c r="D34" s="15">
        <v>1</v>
      </c>
      <c r="E34" s="15"/>
      <c r="F34" s="9">
        <v>850</v>
      </c>
      <c r="G34" s="29">
        <f t="shared" si="0"/>
        <v>850</v>
      </c>
      <c r="H34" s="11"/>
      <c r="I34" s="10"/>
      <c r="J34" s="29">
        <f t="shared" si="1"/>
        <v>0</v>
      </c>
      <c r="K34" s="29"/>
      <c r="L34" s="223">
        <f t="shared" si="2"/>
        <v>850</v>
      </c>
      <c r="M34" s="12"/>
      <c r="N34" s="218" t="str">
        <f t="shared" si="3"/>
        <v xml:space="preserve"> </v>
      </c>
      <c r="O34" s="189"/>
      <c r="P34" s="189"/>
      <c r="Q34" s="189"/>
      <c r="R34" s="189" t="str">
        <f t="shared" si="4"/>
        <v xml:space="preserve"> </v>
      </c>
      <c r="S34" s="189"/>
      <c r="T34" s="253"/>
      <c r="U34" s="13"/>
      <c r="V34" s="253"/>
      <c r="W34" s="253"/>
      <c r="X34" s="16"/>
    </row>
    <row r="35" spans="1:24" ht="15" customHeight="1" x14ac:dyDescent="0.35">
      <c r="A35" s="245">
        <v>45188</v>
      </c>
      <c r="B35" s="246"/>
      <c r="C35" s="211" t="s">
        <v>346</v>
      </c>
      <c r="D35" s="15">
        <v>1</v>
      </c>
      <c r="E35" s="15"/>
      <c r="F35" s="9">
        <v>800</v>
      </c>
      <c r="G35" s="29">
        <f t="shared" si="0"/>
        <v>800</v>
      </c>
      <c r="H35" s="11"/>
      <c r="I35" s="10"/>
      <c r="J35" s="29">
        <f t="shared" si="1"/>
        <v>0</v>
      </c>
      <c r="K35" s="29"/>
      <c r="L35" s="223">
        <f t="shared" si="2"/>
        <v>800</v>
      </c>
      <c r="M35" s="12"/>
      <c r="N35" s="218" t="str">
        <f t="shared" si="3"/>
        <v xml:space="preserve"> </v>
      </c>
      <c r="O35" s="189"/>
      <c r="P35" s="189"/>
      <c r="Q35" s="189"/>
      <c r="R35" s="189" t="str">
        <f t="shared" si="4"/>
        <v xml:space="preserve"> </v>
      </c>
      <c r="S35" s="189"/>
      <c r="T35" s="253"/>
      <c r="U35" s="13"/>
      <c r="V35" s="253"/>
      <c r="W35" s="253"/>
      <c r="X35" s="16"/>
    </row>
    <row r="36" spans="1:24" ht="15" customHeight="1" x14ac:dyDescent="0.35">
      <c r="A36" s="245">
        <v>45189</v>
      </c>
      <c r="B36" s="246"/>
      <c r="C36" s="212" t="s">
        <v>318</v>
      </c>
      <c r="D36" s="15">
        <v>1</v>
      </c>
      <c r="E36" s="15"/>
      <c r="F36" s="9">
        <v>850</v>
      </c>
      <c r="G36" s="29">
        <f t="shared" si="0"/>
        <v>850</v>
      </c>
      <c r="H36" s="11"/>
      <c r="I36" s="10"/>
      <c r="J36" s="29">
        <f t="shared" si="1"/>
        <v>0</v>
      </c>
      <c r="K36" s="29"/>
      <c r="L36" s="223">
        <f t="shared" si="2"/>
        <v>850</v>
      </c>
      <c r="M36" s="12"/>
      <c r="N36" s="218" t="str">
        <f t="shared" si="3"/>
        <v xml:space="preserve"> </v>
      </c>
      <c r="O36" s="189"/>
      <c r="P36" s="189"/>
      <c r="Q36" s="189"/>
      <c r="R36" s="189" t="str">
        <f t="shared" si="4"/>
        <v xml:space="preserve"> </v>
      </c>
      <c r="S36" s="189"/>
      <c r="T36" s="253"/>
      <c r="U36" s="13"/>
      <c r="V36" s="253"/>
      <c r="W36" s="253"/>
      <c r="X36" s="16"/>
    </row>
    <row r="37" spans="1:24" ht="15" customHeight="1" x14ac:dyDescent="0.35">
      <c r="A37" s="245">
        <v>45189</v>
      </c>
      <c r="B37" s="246"/>
      <c r="C37" s="211" t="s">
        <v>153</v>
      </c>
      <c r="D37" s="15">
        <v>1</v>
      </c>
      <c r="E37" s="15"/>
      <c r="F37" s="9">
        <v>850</v>
      </c>
      <c r="G37" s="29">
        <f t="shared" si="0"/>
        <v>850</v>
      </c>
      <c r="H37" s="11"/>
      <c r="I37" s="10"/>
      <c r="J37" s="29">
        <f t="shared" si="1"/>
        <v>0</v>
      </c>
      <c r="K37" s="29"/>
      <c r="L37" s="223">
        <f t="shared" si="2"/>
        <v>850</v>
      </c>
      <c r="M37" s="12"/>
      <c r="N37" s="218" t="str">
        <f t="shared" si="3"/>
        <v xml:space="preserve"> </v>
      </c>
      <c r="O37" s="189"/>
      <c r="P37" s="189"/>
      <c r="Q37" s="189"/>
      <c r="R37" s="189" t="str">
        <f t="shared" si="4"/>
        <v xml:space="preserve"> </v>
      </c>
      <c r="S37" s="189"/>
      <c r="T37" s="253"/>
      <c r="U37" s="13"/>
      <c r="V37" s="253"/>
      <c r="W37" s="253"/>
      <c r="X37" s="16"/>
    </row>
    <row r="38" spans="1:24" ht="15" customHeight="1" x14ac:dyDescent="0.35">
      <c r="A38" s="245">
        <v>45189</v>
      </c>
      <c r="B38" s="246"/>
      <c r="C38" s="212" t="s">
        <v>296</v>
      </c>
      <c r="D38" s="15"/>
      <c r="E38" s="15">
        <v>6</v>
      </c>
      <c r="F38" s="9">
        <v>840</v>
      </c>
      <c r="G38" s="29">
        <f t="shared" si="0"/>
        <v>5040</v>
      </c>
      <c r="H38" s="11"/>
      <c r="I38" s="10"/>
      <c r="J38" s="29">
        <f t="shared" si="1"/>
        <v>0</v>
      </c>
      <c r="K38" s="29"/>
      <c r="L38" s="223">
        <f t="shared" si="2"/>
        <v>5040</v>
      </c>
      <c r="M38" s="12"/>
      <c r="N38" s="218" t="str">
        <f t="shared" si="3"/>
        <v xml:space="preserve"> </v>
      </c>
      <c r="O38" s="189"/>
      <c r="P38" s="189"/>
      <c r="Q38" s="189"/>
      <c r="R38" s="189" t="str">
        <f t="shared" si="4"/>
        <v xml:space="preserve"> </v>
      </c>
      <c r="S38" s="189"/>
      <c r="T38" s="253"/>
      <c r="U38" s="13"/>
      <c r="V38" s="253"/>
      <c r="W38" s="253"/>
      <c r="X38" s="16"/>
    </row>
    <row r="39" spans="1:24" ht="15" customHeight="1" x14ac:dyDescent="0.35">
      <c r="A39" s="245">
        <v>45189</v>
      </c>
      <c r="B39" s="246"/>
      <c r="C39" s="211" t="s">
        <v>330</v>
      </c>
      <c r="D39" s="15"/>
      <c r="E39" s="15">
        <v>10</v>
      </c>
      <c r="F39" s="9">
        <v>820</v>
      </c>
      <c r="G39" s="29">
        <f t="shared" si="0"/>
        <v>8200</v>
      </c>
      <c r="H39" s="11"/>
      <c r="I39" s="10"/>
      <c r="J39" s="29">
        <f t="shared" si="1"/>
        <v>0</v>
      </c>
      <c r="K39" s="29"/>
      <c r="L39" s="223">
        <f t="shared" si="2"/>
        <v>8200</v>
      </c>
      <c r="M39" s="12"/>
      <c r="N39" s="218" t="str">
        <f t="shared" si="3"/>
        <v xml:space="preserve"> </v>
      </c>
      <c r="O39" s="189"/>
      <c r="P39" s="189"/>
      <c r="Q39" s="189"/>
      <c r="R39" s="189" t="str">
        <f t="shared" si="4"/>
        <v xml:space="preserve"> </v>
      </c>
      <c r="S39" s="189"/>
      <c r="T39" s="253"/>
      <c r="U39" s="13"/>
      <c r="V39" s="253"/>
      <c r="W39" s="253"/>
      <c r="X39" s="16"/>
    </row>
    <row r="40" spans="1:24" ht="15" customHeight="1" x14ac:dyDescent="0.35">
      <c r="A40" s="245">
        <v>45189</v>
      </c>
      <c r="B40" s="246"/>
      <c r="C40" s="212" t="s">
        <v>112</v>
      </c>
      <c r="D40" s="15">
        <v>10</v>
      </c>
      <c r="E40" s="15"/>
      <c r="F40" s="9">
        <v>820</v>
      </c>
      <c r="G40" s="29">
        <f t="shared" si="0"/>
        <v>8200</v>
      </c>
      <c r="H40" s="11"/>
      <c r="I40" s="10"/>
      <c r="J40" s="29">
        <f t="shared" si="1"/>
        <v>0</v>
      </c>
      <c r="K40" s="29"/>
      <c r="L40" s="223">
        <f t="shared" si="2"/>
        <v>8200</v>
      </c>
      <c r="M40" s="12"/>
      <c r="N40" s="218" t="str">
        <f t="shared" si="3"/>
        <v xml:space="preserve"> </v>
      </c>
      <c r="O40" s="189"/>
      <c r="P40" s="189"/>
      <c r="Q40" s="189"/>
      <c r="R40" s="189" t="str">
        <f t="shared" si="4"/>
        <v xml:space="preserve"> </v>
      </c>
      <c r="S40" s="189"/>
      <c r="T40" s="253"/>
      <c r="U40" s="13"/>
      <c r="V40" s="253"/>
      <c r="W40" s="253"/>
      <c r="X40" s="16"/>
    </row>
    <row r="41" spans="1:24" ht="15" customHeight="1" x14ac:dyDescent="0.35">
      <c r="A41" s="245">
        <v>45190</v>
      </c>
      <c r="B41" s="246"/>
      <c r="C41" s="211" t="s">
        <v>328</v>
      </c>
      <c r="D41" s="15">
        <v>4</v>
      </c>
      <c r="E41" s="15"/>
      <c r="F41" s="9">
        <v>810</v>
      </c>
      <c r="G41" s="29">
        <f t="shared" si="0"/>
        <v>3240</v>
      </c>
      <c r="H41" s="11"/>
      <c r="I41" s="10"/>
      <c r="J41" s="29">
        <f t="shared" si="1"/>
        <v>0</v>
      </c>
      <c r="K41" s="29"/>
      <c r="L41" s="223">
        <f t="shared" si="2"/>
        <v>3240</v>
      </c>
      <c r="M41" s="12"/>
      <c r="N41" s="218" t="str">
        <f t="shared" si="3"/>
        <v xml:space="preserve"> </v>
      </c>
      <c r="O41" s="189"/>
      <c r="P41" s="189"/>
      <c r="Q41" s="189"/>
      <c r="R41" s="189" t="str">
        <f t="shared" si="4"/>
        <v xml:space="preserve"> </v>
      </c>
      <c r="S41" s="189"/>
      <c r="T41" s="253"/>
      <c r="U41" s="13"/>
      <c r="V41" s="253"/>
      <c r="W41" s="253"/>
      <c r="X41" s="16"/>
    </row>
    <row r="42" spans="1:24" ht="15" customHeight="1" x14ac:dyDescent="0.35">
      <c r="A42" s="245">
        <v>45190</v>
      </c>
      <c r="B42" s="246"/>
      <c r="C42" s="212" t="s">
        <v>323</v>
      </c>
      <c r="D42" s="15">
        <v>1</v>
      </c>
      <c r="E42" s="15"/>
      <c r="F42" s="9">
        <v>850</v>
      </c>
      <c r="G42" s="29">
        <f t="shared" si="0"/>
        <v>850</v>
      </c>
      <c r="H42" s="11"/>
      <c r="I42" s="10"/>
      <c r="J42" s="29">
        <f t="shared" si="1"/>
        <v>0</v>
      </c>
      <c r="K42" s="29"/>
      <c r="L42" s="223">
        <f t="shared" si="2"/>
        <v>850</v>
      </c>
      <c r="M42" s="12"/>
      <c r="N42" s="218" t="str">
        <f t="shared" si="3"/>
        <v xml:space="preserve"> </v>
      </c>
      <c r="O42" s="189"/>
      <c r="P42" s="189"/>
      <c r="Q42" s="189"/>
      <c r="R42" s="189" t="str">
        <f t="shared" si="4"/>
        <v xml:space="preserve"> </v>
      </c>
      <c r="S42" s="189"/>
      <c r="T42" s="253"/>
      <c r="U42" s="13"/>
      <c r="V42" s="253"/>
      <c r="W42" s="253"/>
      <c r="X42" s="16"/>
    </row>
    <row r="43" spans="1:24" ht="15" customHeight="1" x14ac:dyDescent="0.35">
      <c r="A43" s="245">
        <v>45194</v>
      </c>
      <c r="B43" s="246"/>
      <c r="C43" s="212" t="s">
        <v>322</v>
      </c>
      <c r="D43" s="15">
        <v>1</v>
      </c>
      <c r="E43" s="15"/>
      <c r="F43" s="9">
        <v>850</v>
      </c>
      <c r="G43" s="29">
        <f t="shared" si="0"/>
        <v>850</v>
      </c>
      <c r="H43" s="11"/>
      <c r="I43" s="10"/>
      <c r="J43" s="29">
        <f t="shared" si="1"/>
        <v>0</v>
      </c>
      <c r="K43" s="29"/>
      <c r="L43" s="223">
        <f t="shared" si="2"/>
        <v>850</v>
      </c>
      <c r="M43" s="12"/>
      <c r="N43" s="218" t="str">
        <f t="shared" si="3"/>
        <v xml:space="preserve"> </v>
      </c>
      <c r="O43" s="189"/>
      <c r="P43" s="189"/>
      <c r="Q43" s="189"/>
      <c r="R43" s="189" t="str">
        <f t="shared" si="4"/>
        <v xml:space="preserve"> </v>
      </c>
      <c r="S43" s="189"/>
      <c r="T43" s="253"/>
      <c r="U43" s="13"/>
      <c r="V43" s="253"/>
      <c r="W43" s="253"/>
      <c r="X43" s="16"/>
    </row>
    <row r="44" spans="1:24" ht="15" customHeight="1" x14ac:dyDescent="0.35">
      <c r="A44" s="245">
        <v>45194</v>
      </c>
      <c r="B44" s="246"/>
      <c r="C44" s="211" t="s">
        <v>153</v>
      </c>
      <c r="D44" s="15">
        <v>1</v>
      </c>
      <c r="E44" s="15"/>
      <c r="F44" s="9">
        <v>850</v>
      </c>
      <c r="G44" s="29">
        <f t="shared" si="0"/>
        <v>850</v>
      </c>
      <c r="H44" s="11"/>
      <c r="I44" s="10"/>
      <c r="J44" s="29">
        <f t="shared" si="1"/>
        <v>0</v>
      </c>
      <c r="K44" s="29"/>
      <c r="L44" s="223">
        <f t="shared" si="2"/>
        <v>850</v>
      </c>
      <c r="M44" s="213"/>
      <c r="N44" s="218" t="str">
        <f t="shared" si="3"/>
        <v xml:space="preserve"> </v>
      </c>
      <c r="O44" s="189"/>
      <c r="P44" s="189"/>
      <c r="Q44" s="189"/>
      <c r="R44" s="189" t="str">
        <f t="shared" si="4"/>
        <v xml:space="preserve"> </v>
      </c>
      <c r="S44" s="189"/>
      <c r="T44" s="253"/>
      <c r="U44" s="13"/>
      <c r="V44" s="253"/>
      <c r="W44" s="253"/>
      <c r="X44" s="16"/>
    </row>
    <row r="45" spans="1:24" ht="15" customHeight="1" x14ac:dyDescent="0.35">
      <c r="A45" s="245">
        <v>45194</v>
      </c>
      <c r="B45" s="246"/>
      <c r="C45" s="211" t="s">
        <v>346</v>
      </c>
      <c r="D45" s="15">
        <v>1</v>
      </c>
      <c r="E45" s="15"/>
      <c r="F45" s="9">
        <v>800</v>
      </c>
      <c r="G45" s="29">
        <f t="shared" si="0"/>
        <v>800</v>
      </c>
      <c r="H45" s="11"/>
      <c r="I45" s="10"/>
      <c r="J45" s="29">
        <f t="shared" si="1"/>
        <v>0</v>
      </c>
      <c r="K45" s="29"/>
      <c r="L45" s="223">
        <f t="shared" si="2"/>
        <v>800</v>
      </c>
      <c r="M45" s="213"/>
      <c r="N45" s="218" t="str">
        <f t="shared" si="3"/>
        <v xml:space="preserve"> </v>
      </c>
      <c r="O45" s="189"/>
      <c r="P45" s="189"/>
      <c r="Q45" s="189"/>
      <c r="R45" s="189" t="str">
        <f t="shared" si="4"/>
        <v xml:space="preserve"> </v>
      </c>
      <c r="S45" s="189"/>
      <c r="T45" s="253"/>
      <c r="U45" s="13"/>
      <c r="V45" s="253"/>
      <c r="W45" s="253"/>
      <c r="X45" s="16"/>
    </row>
    <row r="46" spans="1:24" ht="15" customHeight="1" x14ac:dyDescent="0.35">
      <c r="A46" s="245">
        <v>45194</v>
      </c>
      <c r="B46" s="246"/>
      <c r="C46" s="211" t="s">
        <v>279</v>
      </c>
      <c r="D46" s="15"/>
      <c r="E46" s="15">
        <v>6</v>
      </c>
      <c r="F46" s="9">
        <v>780</v>
      </c>
      <c r="G46" s="29">
        <f t="shared" si="0"/>
        <v>4680</v>
      </c>
      <c r="H46" s="11"/>
      <c r="I46" s="10"/>
      <c r="J46" s="29">
        <f t="shared" si="1"/>
        <v>0</v>
      </c>
      <c r="K46" s="29"/>
      <c r="L46" s="223">
        <f t="shared" si="2"/>
        <v>4680</v>
      </c>
      <c r="M46" s="12"/>
      <c r="N46" s="218" t="str">
        <f>IF(M46&gt;0,SUM(L46-M46)," ")</f>
        <v xml:space="preserve"> </v>
      </c>
      <c r="O46" s="189"/>
      <c r="P46" s="189"/>
      <c r="Q46" s="189"/>
      <c r="R46" s="189" t="str">
        <f t="shared" si="4"/>
        <v xml:space="preserve"> </v>
      </c>
      <c r="S46" s="189"/>
      <c r="T46" s="253"/>
      <c r="U46" s="13"/>
      <c r="V46" s="253"/>
      <c r="W46" s="253"/>
      <c r="X46" s="16"/>
    </row>
    <row r="47" spans="1:24" ht="15" customHeight="1" x14ac:dyDescent="0.35">
      <c r="A47" s="245">
        <v>45194</v>
      </c>
      <c r="B47" s="246"/>
      <c r="C47" s="211" t="s">
        <v>324</v>
      </c>
      <c r="D47" s="15"/>
      <c r="E47" s="15">
        <v>1</v>
      </c>
      <c r="F47" s="9">
        <v>850</v>
      </c>
      <c r="G47" s="29">
        <f t="shared" si="0"/>
        <v>850</v>
      </c>
      <c r="H47" s="11"/>
      <c r="I47" s="10"/>
      <c r="J47" s="29">
        <f t="shared" si="1"/>
        <v>0</v>
      </c>
      <c r="K47" s="29"/>
      <c r="L47" s="223">
        <f t="shared" si="2"/>
        <v>850</v>
      </c>
      <c r="M47" s="12"/>
      <c r="N47" s="218" t="str">
        <f>IF(M47&gt;0,SUM(L47-M47)," ")</f>
        <v xml:space="preserve"> </v>
      </c>
      <c r="O47" s="189"/>
      <c r="P47" s="189"/>
      <c r="Q47" s="189"/>
      <c r="R47" s="189" t="str">
        <f t="shared" si="4"/>
        <v xml:space="preserve"> </v>
      </c>
      <c r="S47" s="189"/>
      <c r="T47" s="253"/>
      <c r="U47" s="13"/>
      <c r="V47" s="253"/>
      <c r="W47" s="253"/>
      <c r="X47" s="16"/>
    </row>
    <row r="48" spans="1:24" ht="15" customHeight="1" x14ac:dyDescent="0.35">
      <c r="A48" s="245">
        <v>45196</v>
      </c>
      <c r="B48" s="246"/>
      <c r="C48" s="211" t="s">
        <v>443</v>
      </c>
      <c r="D48" s="15">
        <v>1</v>
      </c>
      <c r="E48" s="15"/>
      <c r="F48" s="9">
        <v>800</v>
      </c>
      <c r="G48" s="29">
        <f t="shared" si="0"/>
        <v>800</v>
      </c>
      <c r="H48" s="11"/>
      <c r="I48" s="10"/>
      <c r="J48" s="29">
        <f t="shared" si="1"/>
        <v>0</v>
      </c>
      <c r="K48" s="29"/>
      <c r="L48" s="223">
        <f t="shared" si="2"/>
        <v>800</v>
      </c>
      <c r="M48" s="213"/>
      <c r="N48" s="218" t="str">
        <f t="shared" si="3"/>
        <v xml:space="preserve"> </v>
      </c>
      <c r="O48" s="189"/>
      <c r="P48" s="189"/>
      <c r="Q48" s="189"/>
      <c r="R48" s="189" t="str">
        <f t="shared" si="4"/>
        <v xml:space="preserve"> </v>
      </c>
      <c r="S48" s="189"/>
      <c r="T48" s="253"/>
      <c r="U48" s="13"/>
      <c r="V48" s="253"/>
      <c r="W48" s="253"/>
      <c r="X48" s="16"/>
    </row>
    <row r="49" spans="1:24" ht="15" customHeight="1" x14ac:dyDescent="0.35">
      <c r="A49" s="245">
        <v>45196</v>
      </c>
      <c r="B49" s="246"/>
      <c r="C49" s="212" t="s">
        <v>321</v>
      </c>
      <c r="D49" s="15">
        <v>3</v>
      </c>
      <c r="E49" s="15"/>
      <c r="F49" s="9">
        <v>850</v>
      </c>
      <c r="G49" s="29">
        <f t="shared" si="0"/>
        <v>2550</v>
      </c>
      <c r="H49" s="11"/>
      <c r="I49" s="10"/>
      <c r="J49" s="29">
        <f t="shared" si="1"/>
        <v>0</v>
      </c>
      <c r="K49" s="29"/>
      <c r="L49" s="223">
        <f t="shared" si="2"/>
        <v>2550</v>
      </c>
      <c r="M49" s="12"/>
      <c r="N49" s="218" t="str">
        <f t="shared" si="3"/>
        <v xml:space="preserve"> </v>
      </c>
      <c r="O49" s="189"/>
      <c r="P49" s="189"/>
      <c r="Q49" s="189"/>
      <c r="R49" s="189" t="str">
        <f t="shared" si="4"/>
        <v xml:space="preserve"> </v>
      </c>
      <c r="S49" s="189"/>
      <c r="T49" s="253"/>
      <c r="U49" s="13"/>
      <c r="V49" s="253"/>
      <c r="W49" s="253"/>
      <c r="X49" s="16"/>
    </row>
    <row r="50" spans="1:24" ht="15" customHeight="1" x14ac:dyDescent="0.35">
      <c r="A50" s="245">
        <v>45196</v>
      </c>
      <c r="B50" s="246"/>
      <c r="C50" s="211" t="s">
        <v>153</v>
      </c>
      <c r="D50" s="15">
        <v>1</v>
      </c>
      <c r="E50" s="15"/>
      <c r="F50" s="9">
        <v>850</v>
      </c>
      <c r="G50" s="29">
        <f t="shared" si="0"/>
        <v>850</v>
      </c>
      <c r="H50" s="11"/>
      <c r="I50" s="10"/>
      <c r="J50" s="29">
        <f t="shared" si="1"/>
        <v>0</v>
      </c>
      <c r="K50" s="29"/>
      <c r="L50" s="223">
        <f t="shared" si="2"/>
        <v>850</v>
      </c>
      <c r="M50" s="12"/>
      <c r="N50" s="218" t="str">
        <f t="shared" si="3"/>
        <v xml:space="preserve"> </v>
      </c>
      <c r="O50" s="189"/>
      <c r="P50" s="189"/>
      <c r="Q50" s="189"/>
      <c r="R50" s="189" t="str">
        <f t="shared" si="4"/>
        <v xml:space="preserve"> </v>
      </c>
      <c r="S50" s="189"/>
      <c r="T50" s="253"/>
      <c r="U50" s="13"/>
      <c r="V50" s="253"/>
      <c r="W50" s="253"/>
      <c r="X50" s="16"/>
    </row>
    <row r="51" spans="1:24" ht="15" customHeight="1" x14ac:dyDescent="0.35">
      <c r="A51" s="245">
        <v>45196</v>
      </c>
      <c r="B51" s="246"/>
      <c r="C51" s="211" t="s">
        <v>152</v>
      </c>
      <c r="D51" s="15">
        <v>8</v>
      </c>
      <c r="E51" s="15"/>
      <c r="F51" s="9">
        <v>830</v>
      </c>
      <c r="G51" s="29">
        <f t="shared" si="0"/>
        <v>6640</v>
      </c>
      <c r="H51" s="11"/>
      <c r="I51" s="10"/>
      <c r="J51" s="29">
        <f t="shared" si="1"/>
        <v>0</v>
      </c>
      <c r="K51" s="29"/>
      <c r="L51" s="223">
        <f t="shared" si="2"/>
        <v>6640</v>
      </c>
      <c r="M51" s="213"/>
      <c r="N51" s="218" t="str">
        <f t="shared" si="3"/>
        <v xml:space="preserve"> </v>
      </c>
      <c r="O51" s="189"/>
      <c r="P51" s="189"/>
      <c r="Q51" s="189"/>
      <c r="R51" s="189" t="str">
        <f t="shared" si="4"/>
        <v xml:space="preserve"> </v>
      </c>
      <c r="S51" s="189"/>
      <c r="T51" s="253"/>
      <c r="U51" s="13"/>
      <c r="V51" s="253"/>
      <c r="W51" s="253"/>
      <c r="X51" s="16"/>
    </row>
    <row r="52" spans="1:24" ht="15" customHeight="1" x14ac:dyDescent="0.35">
      <c r="A52" s="245">
        <v>45197</v>
      </c>
      <c r="B52" s="246"/>
      <c r="C52" s="211" t="s">
        <v>323</v>
      </c>
      <c r="D52" s="15">
        <v>1</v>
      </c>
      <c r="E52" s="15"/>
      <c r="F52" s="9">
        <v>850</v>
      </c>
      <c r="G52" s="29">
        <f t="shared" si="0"/>
        <v>850</v>
      </c>
      <c r="H52" s="11"/>
      <c r="I52" s="10"/>
      <c r="J52" s="29">
        <f t="shared" si="1"/>
        <v>0</v>
      </c>
      <c r="K52" s="29"/>
      <c r="L52" s="223">
        <f t="shared" si="2"/>
        <v>850</v>
      </c>
      <c r="M52" s="12"/>
      <c r="N52" s="218" t="str">
        <f t="shared" si="3"/>
        <v xml:space="preserve"> </v>
      </c>
      <c r="O52" s="189"/>
      <c r="P52" s="189"/>
      <c r="Q52" s="189"/>
      <c r="R52" s="189" t="str">
        <f t="shared" si="4"/>
        <v xml:space="preserve"> </v>
      </c>
      <c r="S52" s="189"/>
      <c r="T52" s="253"/>
      <c r="U52" s="13"/>
      <c r="V52" s="253"/>
      <c r="W52" s="253"/>
      <c r="X52" s="16"/>
    </row>
    <row r="53" spans="1:24" ht="15" customHeight="1" x14ac:dyDescent="0.35">
      <c r="A53" s="245">
        <v>45197</v>
      </c>
      <c r="B53" s="246"/>
      <c r="C53" s="212" t="s">
        <v>296</v>
      </c>
      <c r="D53" s="15"/>
      <c r="E53" s="15">
        <v>4</v>
      </c>
      <c r="F53" s="9">
        <v>840</v>
      </c>
      <c r="G53" s="29">
        <f t="shared" si="0"/>
        <v>3360</v>
      </c>
      <c r="H53" s="11"/>
      <c r="I53" s="10"/>
      <c r="J53" s="29">
        <f t="shared" si="1"/>
        <v>0</v>
      </c>
      <c r="K53" s="29"/>
      <c r="L53" s="223">
        <f t="shared" si="2"/>
        <v>3360</v>
      </c>
      <c r="M53" s="12"/>
      <c r="N53" s="218" t="str">
        <f t="shared" si="3"/>
        <v xml:space="preserve"> </v>
      </c>
      <c r="O53" s="189"/>
      <c r="P53" s="189"/>
      <c r="Q53" s="189"/>
      <c r="R53" s="189" t="str">
        <f t="shared" si="4"/>
        <v xml:space="preserve"> </v>
      </c>
      <c r="S53" s="189"/>
      <c r="T53" s="253"/>
      <c r="U53" s="13"/>
      <c r="V53" s="253"/>
      <c r="W53" s="253"/>
      <c r="X53" s="16"/>
    </row>
    <row r="54" spans="1:24" ht="15" customHeight="1" x14ac:dyDescent="0.35">
      <c r="A54" s="245">
        <v>45198</v>
      </c>
      <c r="B54" s="246"/>
      <c r="C54" s="211" t="s">
        <v>322</v>
      </c>
      <c r="D54" s="15">
        <v>1</v>
      </c>
      <c r="E54" s="15"/>
      <c r="F54" s="9">
        <v>850</v>
      </c>
      <c r="G54" s="29">
        <f t="shared" si="0"/>
        <v>850</v>
      </c>
      <c r="H54" s="11"/>
      <c r="I54" s="10"/>
      <c r="J54" s="29">
        <f t="shared" si="1"/>
        <v>0</v>
      </c>
      <c r="K54" s="29"/>
      <c r="L54" s="223">
        <f t="shared" si="2"/>
        <v>850</v>
      </c>
      <c r="M54" s="12"/>
      <c r="N54" s="218" t="str">
        <f t="shared" si="3"/>
        <v xml:space="preserve"> </v>
      </c>
      <c r="O54" s="189"/>
      <c r="P54" s="189"/>
      <c r="Q54" s="189"/>
      <c r="R54" s="189" t="str">
        <f t="shared" si="4"/>
        <v xml:space="preserve"> </v>
      </c>
      <c r="S54" s="189"/>
      <c r="T54" s="253"/>
      <c r="U54" s="13"/>
      <c r="V54" s="253"/>
      <c r="W54" s="253"/>
      <c r="X54" s="16"/>
    </row>
    <row r="55" spans="1:24" ht="15" customHeight="1" x14ac:dyDescent="0.35">
      <c r="A55" s="245">
        <v>45201</v>
      </c>
      <c r="B55" s="246"/>
      <c r="C55" s="211" t="s">
        <v>153</v>
      </c>
      <c r="D55" s="15"/>
      <c r="E55" s="15">
        <v>1</v>
      </c>
      <c r="F55" s="9">
        <v>850</v>
      </c>
      <c r="G55" s="29">
        <f t="shared" si="0"/>
        <v>850</v>
      </c>
      <c r="H55" s="11"/>
      <c r="I55" s="10"/>
      <c r="J55" s="29">
        <f t="shared" si="1"/>
        <v>0</v>
      </c>
      <c r="K55" s="29"/>
      <c r="L55" s="223">
        <f t="shared" si="2"/>
        <v>850</v>
      </c>
      <c r="M55" s="12"/>
      <c r="N55" s="218" t="str">
        <f t="shared" si="3"/>
        <v xml:space="preserve"> </v>
      </c>
      <c r="O55" s="189"/>
      <c r="P55" s="189"/>
      <c r="Q55" s="189"/>
      <c r="R55" s="189" t="str">
        <f t="shared" si="4"/>
        <v xml:space="preserve"> </v>
      </c>
      <c r="S55" s="189"/>
      <c r="T55" s="253"/>
      <c r="U55" s="13"/>
      <c r="V55" s="253"/>
      <c r="W55" s="253"/>
      <c r="X55" s="16"/>
    </row>
    <row r="56" spans="1:24" ht="15" customHeight="1" x14ac:dyDescent="0.35">
      <c r="A56" s="245"/>
      <c r="B56" s="246"/>
      <c r="C56" s="211"/>
      <c r="D56" s="15"/>
      <c r="E56" s="15"/>
      <c r="F56" s="9"/>
      <c r="G56" s="29">
        <f t="shared" si="0"/>
        <v>0</v>
      </c>
      <c r="H56" s="11"/>
      <c r="I56" s="10"/>
      <c r="J56" s="29">
        <f t="shared" si="1"/>
        <v>0</v>
      </c>
      <c r="K56" s="29"/>
      <c r="L56" s="223">
        <f t="shared" si="2"/>
        <v>0</v>
      </c>
      <c r="M56" s="12"/>
      <c r="N56" s="218" t="str">
        <f t="shared" si="3"/>
        <v xml:space="preserve"> </v>
      </c>
      <c r="O56" s="189"/>
      <c r="P56" s="189"/>
      <c r="Q56" s="189"/>
      <c r="R56" s="189" t="str">
        <f t="shared" si="4"/>
        <v xml:space="preserve"> </v>
      </c>
      <c r="S56" s="189"/>
      <c r="T56" s="253"/>
      <c r="U56" s="13"/>
      <c r="V56" s="253"/>
      <c r="W56" s="253"/>
      <c r="X56" s="16"/>
    </row>
    <row r="57" spans="1:24" ht="15" customHeight="1" x14ac:dyDescent="0.35">
      <c r="A57" s="245">
        <v>45201</v>
      </c>
      <c r="B57" s="246"/>
      <c r="C57" s="211" t="s">
        <v>280</v>
      </c>
      <c r="D57" s="15"/>
      <c r="E57" s="15">
        <v>2</v>
      </c>
      <c r="F57" s="9">
        <v>830</v>
      </c>
      <c r="G57" s="29">
        <f t="shared" si="0"/>
        <v>1660</v>
      </c>
      <c r="H57" s="11"/>
      <c r="I57" s="10"/>
      <c r="J57" s="29">
        <f t="shared" si="1"/>
        <v>0</v>
      </c>
      <c r="K57" s="29"/>
      <c r="L57" s="223">
        <f t="shared" si="2"/>
        <v>1660</v>
      </c>
      <c r="M57" s="12"/>
      <c r="N57" s="218" t="str">
        <f t="shared" si="3"/>
        <v xml:space="preserve"> </v>
      </c>
      <c r="O57" s="189"/>
      <c r="P57" s="189"/>
      <c r="Q57" s="189"/>
      <c r="R57" s="189" t="str">
        <f t="shared" si="4"/>
        <v xml:space="preserve"> </v>
      </c>
      <c r="S57" s="189"/>
      <c r="T57" s="253"/>
      <c r="U57" s="13"/>
      <c r="V57" s="253"/>
      <c r="W57" s="253"/>
      <c r="X57" s="16"/>
    </row>
    <row r="58" spans="1:24" ht="15" customHeight="1" x14ac:dyDescent="0.35">
      <c r="A58" s="245">
        <v>45201</v>
      </c>
      <c r="B58" s="246"/>
      <c r="C58" s="212" t="s">
        <v>326</v>
      </c>
      <c r="D58" s="15"/>
      <c r="E58" s="15">
        <v>1</v>
      </c>
      <c r="F58" s="9">
        <v>840</v>
      </c>
      <c r="G58" s="29">
        <f t="shared" si="0"/>
        <v>840</v>
      </c>
      <c r="H58" s="11"/>
      <c r="I58" s="10"/>
      <c r="J58" s="29">
        <f t="shared" si="1"/>
        <v>0</v>
      </c>
      <c r="K58" s="29"/>
      <c r="L58" s="223">
        <f t="shared" si="2"/>
        <v>840</v>
      </c>
      <c r="M58" s="12"/>
      <c r="N58" s="239" t="str">
        <f t="shared" si="3"/>
        <v xml:space="preserve"> </v>
      </c>
      <c r="O58" s="189"/>
      <c r="P58" s="189"/>
      <c r="Q58" s="189"/>
      <c r="R58" s="189" t="str">
        <f t="shared" si="4"/>
        <v xml:space="preserve"> </v>
      </c>
      <c r="S58" s="189"/>
      <c r="T58" s="253"/>
      <c r="U58" s="13"/>
      <c r="V58" s="253"/>
      <c r="W58" s="253"/>
      <c r="X58" s="16"/>
    </row>
    <row r="59" spans="1:24" ht="15" customHeight="1" x14ac:dyDescent="0.35">
      <c r="A59" s="245">
        <v>45201</v>
      </c>
      <c r="B59" s="246"/>
      <c r="C59" s="211" t="s">
        <v>336</v>
      </c>
      <c r="D59" s="15">
        <v>1</v>
      </c>
      <c r="E59" s="15"/>
      <c r="F59" s="9">
        <v>860</v>
      </c>
      <c r="G59" s="29">
        <f t="shared" si="0"/>
        <v>860</v>
      </c>
      <c r="H59" s="11"/>
      <c r="I59" s="10"/>
      <c r="J59" s="29">
        <f t="shared" si="1"/>
        <v>0</v>
      </c>
      <c r="K59" s="29"/>
      <c r="L59" s="223">
        <f t="shared" si="2"/>
        <v>860</v>
      </c>
      <c r="M59" s="12"/>
      <c r="N59" s="218" t="str">
        <f t="shared" si="3"/>
        <v xml:space="preserve"> </v>
      </c>
      <c r="O59" s="189"/>
      <c r="P59" s="189"/>
      <c r="Q59" s="189"/>
      <c r="R59" s="189" t="str">
        <f t="shared" si="4"/>
        <v xml:space="preserve"> </v>
      </c>
      <c r="S59" s="189"/>
      <c r="T59" s="253"/>
      <c r="U59" s="13"/>
      <c r="V59" s="253"/>
      <c r="W59" s="253"/>
      <c r="X59" s="16"/>
    </row>
    <row r="60" spans="1:24" ht="15" customHeight="1" x14ac:dyDescent="0.35">
      <c r="A60" s="245"/>
      <c r="B60" s="246"/>
      <c r="C60" s="211"/>
      <c r="D60" s="15"/>
      <c r="E60" s="15"/>
      <c r="F60" s="9">
        <v>880</v>
      </c>
      <c r="G60" s="29">
        <f t="shared" si="0"/>
        <v>0</v>
      </c>
      <c r="H60" s="11"/>
      <c r="I60" s="10"/>
      <c r="J60" s="29">
        <f t="shared" si="1"/>
        <v>0</v>
      </c>
      <c r="K60" s="29"/>
      <c r="L60" s="223">
        <f t="shared" si="2"/>
        <v>0</v>
      </c>
      <c r="M60" s="12"/>
      <c r="N60" s="218" t="str">
        <f t="shared" si="3"/>
        <v xml:space="preserve"> </v>
      </c>
      <c r="O60" s="189"/>
      <c r="P60" s="189"/>
      <c r="Q60" s="189"/>
      <c r="R60" s="189" t="str">
        <f>IF(O60&gt;0,SUM(O60-(L60+P60))," ")</f>
        <v xml:space="preserve"> </v>
      </c>
      <c r="S60" s="189"/>
      <c r="T60" s="253"/>
      <c r="U60" s="13"/>
      <c r="V60" s="253"/>
      <c r="W60" s="253"/>
      <c r="X60" s="16"/>
    </row>
    <row r="61" spans="1:24" ht="15" customHeight="1" x14ac:dyDescent="0.35">
      <c r="A61" s="245"/>
      <c r="B61" s="246"/>
      <c r="C61" s="212"/>
      <c r="D61" s="15"/>
      <c r="E61" s="15"/>
      <c r="F61" s="9">
        <v>850</v>
      </c>
      <c r="G61" s="29">
        <f t="shared" si="0"/>
        <v>0</v>
      </c>
      <c r="H61" s="11"/>
      <c r="I61" s="10"/>
      <c r="J61" s="29">
        <f t="shared" si="1"/>
        <v>0</v>
      </c>
      <c r="K61" s="29"/>
      <c r="L61" s="223">
        <f t="shared" si="2"/>
        <v>0</v>
      </c>
      <c r="M61" s="12"/>
      <c r="N61" s="218" t="str">
        <f t="shared" si="3"/>
        <v xml:space="preserve"> </v>
      </c>
      <c r="O61" s="189"/>
      <c r="P61" s="189"/>
      <c r="Q61" s="189"/>
      <c r="R61" s="189" t="str">
        <f>IF(O61&gt;0,SUM(O61-(L61+P61))," ")</f>
        <v xml:space="preserve"> </v>
      </c>
      <c r="S61" s="189"/>
      <c r="T61" s="253"/>
      <c r="U61" s="13"/>
      <c r="V61" s="253"/>
      <c r="W61" s="253"/>
      <c r="X61" s="16"/>
    </row>
    <row r="62" spans="1:24" ht="15" customHeight="1" x14ac:dyDescent="0.35">
      <c r="A62" s="245"/>
      <c r="B62" s="246"/>
      <c r="C62" s="211"/>
      <c r="D62" s="15"/>
      <c r="E62" s="15"/>
      <c r="F62" s="9">
        <v>880</v>
      </c>
      <c r="G62" s="29">
        <f t="shared" si="0"/>
        <v>0</v>
      </c>
      <c r="H62" s="11"/>
      <c r="I62" s="10"/>
      <c r="J62" s="29">
        <f t="shared" si="1"/>
        <v>0</v>
      </c>
      <c r="K62" s="29"/>
      <c r="L62" s="223">
        <f t="shared" si="2"/>
        <v>0</v>
      </c>
      <c r="M62" s="213"/>
      <c r="N62" s="218" t="str">
        <f t="shared" ref="N62:N101" si="5">IF(M62&gt;0,SUM(L62-M62)," ")</f>
        <v xml:space="preserve"> </v>
      </c>
      <c r="O62" s="189"/>
      <c r="P62" s="189"/>
      <c r="Q62" s="189"/>
      <c r="R62" s="189" t="str">
        <f t="shared" ref="R62:R97" si="6">IF(O62&gt;0,SUM(O62-(L62+P62))," ")</f>
        <v xml:space="preserve"> </v>
      </c>
      <c r="S62" s="189"/>
      <c r="T62" s="253"/>
      <c r="U62" s="13"/>
      <c r="V62" s="253"/>
      <c r="W62" s="253"/>
      <c r="X62" s="16"/>
    </row>
    <row r="63" spans="1:24" ht="15" customHeight="1" x14ac:dyDescent="0.35">
      <c r="A63" s="245"/>
      <c r="B63" s="246"/>
      <c r="C63" s="211"/>
      <c r="D63" s="15"/>
      <c r="E63" s="15"/>
      <c r="F63" s="9">
        <v>880</v>
      </c>
      <c r="G63" s="29">
        <f t="shared" si="0"/>
        <v>0</v>
      </c>
      <c r="H63" s="11"/>
      <c r="I63" s="10"/>
      <c r="J63" s="29">
        <f t="shared" si="1"/>
        <v>0</v>
      </c>
      <c r="K63" s="29"/>
      <c r="L63" s="223">
        <f t="shared" si="2"/>
        <v>0</v>
      </c>
      <c r="M63" s="213"/>
      <c r="N63" s="239" t="str">
        <f t="shared" si="5"/>
        <v xml:space="preserve"> </v>
      </c>
      <c r="O63" s="189"/>
      <c r="P63" s="189"/>
      <c r="Q63" s="189"/>
      <c r="R63" s="189" t="str">
        <f t="shared" si="6"/>
        <v xml:space="preserve"> </v>
      </c>
      <c r="S63" s="189"/>
      <c r="T63" s="253"/>
      <c r="U63" s="13"/>
      <c r="V63" s="253"/>
      <c r="W63" s="253"/>
      <c r="X63" s="16"/>
    </row>
    <row r="64" spans="1:24" ht="15" customHeight="1" x14ac:dyDescent="0.35">
      <c r="A64" s="245"/>
      <c r="B64" s="246"/>
      <c r="C64" s="212"/>
      <c r="D64" s="15"/>
      <c r="E64" s="15"/>
      <c r="F64" s="9">
        <v>880</v>
      </c>
      <c r="G64" s="29">
        <f t="shared" si="0"/>
        <v>0</v>
      </c>
      <c r="H64" s="11"/>
      <c r="I64" s="10"/>
      <c r="J64" s="29">
        <f t="shared" si="1"/>
        <v>0</v>
      </c>
      <c r="K64" s="29"/>
      <c r="L64" s="223">
        <f t="shared" si="2"/>
        <v>0</v>
      </c>
      <c r="M64" s="12"/>
      <c r="N64" s="218" t="str">
        <f t="shared" si="5"/>
        <v xml:space="preserve"> </v>
      </c>
      <c r="O64" s="189"/>
      <c r="P64" s="189"/>
      <c r="Q64" s="189"/>
      <c r="R64" s="189" t="str">
        <f t="shared" si="6"/>
        <v xml:space="preserve"> </v>
      </c>
      <c r="S64" s="189"/>
      <c r="T64" s="253"/>
      <c r="U64" s="13"/>
      <c r="V64" s="253"/>
      <c r="W64" s="253"/>
      <c r="X64" s="16"/>
    </row>
    <row r="65" spans="1:24" ht="15" customHeight="1" x14ac:dyDescent="0.35">
      <c r="A65" s="245"/>
      <c r="B65" s="246"/>
      <c r="C65" s="212"/>
      <c r="D65" s="15"/>
      <c r="E65" s="15"/>
      <c r="F65" s="9">
        <v>900</v>
      </c>
      <c r="G65" s="29">
        <f t="shared" si="0"/>
        <v>0</v>
      </c>
      <c r="H65" s="11"/>
      <c r="I65" s="10"/>
      <c r="J65" s="29">
        <f t="shared" si="1"/>
        <v>0</v>
      </c>
      <c r="K65" s="29"/>
      <c r="L65" s="223">
        <f t="shared" si="2"/>
        <v>0</v>
      </c>
      <c r="M65" s="12"/>
      <c r="N65" s="218" t="str">
        <f t="shared" si="5"/>
        <v xml:space="preserve"> </v>
      </c>
      <c r="O65" s="189"/>
      <c r="P65" s="189"/>
      <c r="Q65" s="189"/>
      <c r="R65" s="189" t="str">
        <f t="shared" si="6"/>
        <v xml:space="preserve"> </v>
      </c>
      <c r="S65" s="189"/>
      <c r="T65" s="253"/>
      <c r="U65" s="13"/>
      <c r="V65" s="253"/>
      <c r="W65" s="253"/>
      <c r="X65" s="16"/>
    </row>
    <row r="66" spans="1:24" ht="15" customHeight="1" x14ac:dyDescent="0.35">
      <c r="A66" s="245"/>
      <c r="B66" s="246"/>
      <c r="C66" s="211"/>
      <c r="D66" s="15"/>
      <c r="E66" s="15"/>
      <c r="F66" s="9">
        <v>860</v>
      </c>
      <c r="G66" s="29">
        <f t="shared" si="0"/>
        <v>0</v>
      </c>
      <c r="H66" s="11"/>
      <c r="I66" s="10"/>
      <c r="J66" s="29">
        <f t="shared" si="1"/>
        <v>0</v>
      </c>
      <c r="K66" s="29"/>
      <c r="L66" s="223">
        <f t="shared" si="2"/>
        <v>0</v>
      </c>
      <c r="M66" s="12"/>
      <c r="N66" s="218" t="str">
        <f t="shared" si="5"/>
        <v xml:space="preserve"> </v>
      </c>
      <c r="O66" s="189"/>
      <c r="P66" s="189"/>
      <c r="Q66" s="189"/>
      <c r="R66" s="189" t="str">
        <f t="shared" si="6"/>
        <v xml:space="preserve"> </v>
      </c>
      <c r="S66" s="189"/>
      <c r="T66" s="253"/>
      <c r="U66" s="13"/>
      <c r="V66" s="253"/>
      <c r="W66" s="253"/>
      <c r="X66" s="16"/>
    </row>
    <row r="67" spans="1:24" ht="15" customHeight="1" x14ac:dyDescent="0.35">
      <c r="A67" s="245"/>
      <c r="B67" s="246"/>
      <c r="C67" s="211"/>
      <c r="D67" s="15"/>
      <c r="E67" s="15"/>
      <c r="F67" s="9">
        <v>880</v>
      </c>
      <c r="G67" s="29">
        <f t="shared" si="0"/>
        <v>0</v>
      </c>
      <c r="H67" s="11"/>
      <c r="I67" s="10"/>
      <c r="J67" s="29">
        <f t="shared" si="1"/>
        <v>0</v>
      </c>
      <c r="K67" s="29"/>
      <c r="L67" s="223">
        <f t="shared" si="2"/>
        <v>0</v>
      </c>
      <c r="M67" s="12"/>
      <c r="N67" s="218" t="str">
        <f t="shared" si="5"/>
        <v xml:space="preserve"> </v>
      </c>
      <c r="O67" s="189"/>
      <c r="P67" s="189"/>
      <c r="Q67" s="189"/>
      <c r="R67" s="189" t="str">
        <f t="shared" si="6"/>
        <v xml:space="preserve"> </v>
      </c>
      <c r="S67" s="189"/>
      <c r="T67" s="253"/>
      <c r="U67" s="13"/>
      <c r="V67" s="253"/>
      <c r="W67" s="253"/>
      <c r="X67" s="16"/>
    </row>
    <row r="68" spans="1:24" ht="15" customHeight="1" x14ac:dyDescent="0.35">
      <c r="A68" s="245"/>
      <c r="B68" s="246"/>
      <c r="C68" s="211"/>
      <c r="D68" s="15"/>
      <c r="E68" s="15"/>
      <c r="F68" s="9">
        <v>880</v>
      </c>
      <c r="G68" s="29">
        <f t="shared" ref="G68:G100" si="7">(F68*D68)+(E68*F68)</f>
        <v>0</v>
      </c>
      <c r="H68" s="11"/>
      <c r="I68" s="10"/>
      <c r="J68" s="29">
        <f t="shared" ref="J68:J100" si="8">H68*I68</f>
        <v>0</v>
      </c>
      <c r="K68" s="29"/>
      <c r="L68" s="223">
        <f t="shared" si="2"/>
        <v>0</v>
      </c>
      <c r="M68" s="12"/>
      <c r="N68" s="218" t="str">
        <f t="shared" si="5"/>
        <v xml:space="preserve"> </v>
      </c>
      <c r="O68" s="189"/>
      <c r="P68" s="189"/>
      <c r="Q68" s="189"/>
      <c r="R68" s="189" t="str">
        <f t="shared" si="6"/>
        <v xml:space="preserve"> </v>
      </c>
      <c r="S68" s="189"/>
      <c r="T68" s="253"/>
      <c r="U68" s="13"/>
      <c r="V68" s="253"/>
      <c r="W68" s="253"/>
      <c r="X68" s="16"/>
    </row>
    <row r="69" spans="1:24" ht="15" customHeight="1" x14ac:dyDescent="0.35">
      <c r="A69" s="245"/>
      <c r="B69" s="246"/>
      <c r="C69" s="211"/>
      <c r="D69" s="15"/>
      <c r="E69" s="15"/>
      <c r="F69" s="9">
        <v>900</v>
      </c>
      <c r="G69" s="29">
        <f t="shared" si="7"/>
        <v>0</v>
      </c>
      <c r="H69" s="11"/>
      <c r="I69" s="10"/>
      <c r="J69" s="29">
        <f t="shared" si="8"/>
        <v>0</v>
      </c>
      <c r="K69" s="29"/>
      <c r="L69" s="223">
        <f t="shared" ref="L69:L100" si="9">(J69+G69)-K69</f>
        <v>0</v>
      </c>
      <c r="M69" s="12"/>
      <c r="N69" s="218" t="str">
        <f t="shared" si="5"/>
        <v xml:space="preserve"> </v>
      </c>
      <c r="O69" s="189"/>
      <c r="P69" s="189"/>
      <c r="Q69" s="189"/>
      <c r="R69" s="189" t="str">
        <f t="shared" si="6"/>
        <v xml:space="preserve"> </v>
      </c>
      <c r="S69" s="189"/>
      <c r="T69" s="253"/>
      <c r="U69" s="13"/>
      <c r="V69" s="253"/>
      <c r="W69" s="253"/>
      <c r="X69" s="16"/>
    </row>
    <row r="70" spans="1:24" ht="15" customHeight="1" x14ac:dyDescent="0.35">
      <c r="A70" s="245"/>
      <c r="B70" s="246"/>
      <c r="C70" s="212"/>
      <c r="D70" s="15"/>
      <c r="E70" s="15"/>
      <c r="F70" s="9">
        <v>880</v>
      </c>
      <c r="G70" s="29">
        <f t="shared" si="7"/>
        <v>0</v>
      </c>
      <c r="H70" s="11"/>
      <c r="I70" s="10"/>
      <c r="J70" s="29">
        <f t="shared" si="8"/>
        <v>0</v>
      </c>
      <c r="K70" s="29"/>
      <c r="L70" s="223">
        <f t="shared" si="9"/>
        <v>0</v>
      </c>
      <c r="M70" s="12"/>
      <c r="N70" s="218" t="str">
        <f t="shared" si="5"/>
        <v xml:space="preserve"> </v>
      </c>
      <c r="O70" s="189"/>
      <c r="P70" s="189"/>
      <c r="Q70" s="189"/>
      <c r="R70" s="189" t="str">
        <f t="shared" si="6"/>
        <v xml:space="preserve"> </v>
      </c>
      <c r="S70" s="189"/>
      <c r="T70" s="253"/>
      <c r="U70" s="13"/>
      <c r="V70" s="253"/>
      <c r="W70" s="253"/>
      <c r="X70" s="16"/>
    </row>
    <row r="71" spans="1:24" ht="15" customHeight="1" x14ac:dyDescent="0.35">
      <c r="A71" s="245"/>
      <c r="B71" s="246"/>
      <c r="C71" s="211"/>
      <c r="D71" s="15"/>
      <c r="E71" s="15"/>
      <c r="F71" s="9">
        <v>800</v>
      </c>
      <c r="G71" s="29">
        <f t="shared" si="7"/>
        <v>0</v>
      </c>
      <c r="H71" s="11"/>
      <c r="I71" s="10"/>
      <c r="J71" s="29">
        <f t="shared" si="8"/>
        <v>0</v>
      </c>
      <c r="K71" s="29"/>
      <c r="L71" s="223">
        <f t="shared" si="9"/>
        <v>0</v>
      </c>
      <c r="M71" s="12"/>
      <c r="N71" s="218" t="str">
        <f t="shared" si="5"/>
        <v xml:space="preserve"> </v>
      </c>
      <c r="O71" s="189"/>
      <c r="P71" s="189"/>
      <c r="Q71" s="189"/>
      <c r="R71" s="189" t="str">
        <f t="shared" si="6"/>
        <v xml:space="preserve"> </v>
      </c>
      <c r="S71" s="189"/>
      <c r="T71" s="253"/>
      <c r="U71" s="13"/>
      <c r="V71" s="253"/>
      <c r="W71" s="253"/>
      <c r="X71" s="16"/>
    </row>
    <row r="72" spans="1:24" ht="15" customHeight="1" x14ac:dyDescent="0.35">
      <c r="A72" s="245"/>
      <c r="B72" s="246"/>
      <c r="C72" s="212"/>
      <c r="D72" s="15"/>
      <c r="E72" s="15"/>
      <c r="F72" s="9">
        <v>880</v>
      </c>
      <c r="G72" s="29">
        <f t="shared" si="7"/>
        <v>0</v>
      </c>
      <c r="H72" s="11"/>
      <c r="I72" s="10"/>
      <c r="J72" s="29">
        <f t="shared" si="8"/>
        <v>0</v>
      </c>
      <c r="K72" s="29"/>
      <c r="L72" s="223">
        <f t="shared" si="9"/>
        <v>0</v>
      </c>
      <c r="M72" s="12"/>
      <c r="N72" s="218" t="str">
        <f t="shared" si="5"/>
        <v xml:space="preserve"> </v>
      </c>
      <c r="O72" s="189"/>
      <c r="P72" s="189"/>
      <c r="Q72" s="189"/>
      <c r="R72" s="189" t="str">
        <f t="shared" si="6"/>
        <v xml:space="preserve"> </v>
      </c>
      <c r="S72" s="189"/>
      <c r="T72" s="253"/>
      <c r="U72" s="13"/>
      <c r="V72" s="253"/>
      <c r="W72" s="253"/>
      <c r="X72" s="16"/>
    </row>
    <row r="73" spans="1:24" ht="15" customHeight="1" x14ac:dyDescent="0.35">
      <c r="A73" s="245"/>
      <c r="B73" s="246"/>
      <c r="C73" s="211"/>
      <c r="D73" s="15"/>
      <c r="E73" s="15"/>
      <c r="F73" s="9">
        <v>850</v>
      </c>
      <c r="G73" s="29">
        <f t="shared" si="7"/>
        <v>0</v>
      </c>
      <c r="H73" s="11"/>
      <c r="I73" s="10"/>
      <c r="J73" s="29">
        <f t="shared" si="8"/>
        <v>0</v>
      </c>
      <c r="K73" s="29"/>
      <c r="L73" s="223">
        <f t="shared" si="9"/>
        <v>0</v>
      </c>
      <c r="M73" s="12"/>
      <c r="N73" s="218" t="str">
        <f t="shared" si="5"/>
        <v xml:space="preserve"> </v>
      </c>
      <c r="O73" s="189"/>
      <c r="P73" s="189"/>
      <c r="Q73" s="189"/>
      <c r="R73" s="189" t="str">
        <f t="shared" si="6"/>
        <v xml:space="preserve"> </v>
      </c>
      <c r="S73" s="189"/>
      <c r="T73" s="253"/>
      <c r="U73" s="13"/>
      <c r="V73" s="253"/>
      <c r="W73" s="253"/>
      <c r="X73" s="16"/>
    </row>
    <row r="74" spans="1:24" ht="15" customHeight="1" x14ac:dyDescent="0.35">
      <c r="A74" s="245"/>
      <c r="B74" s="246"/>
      <c r="C74" s="211"/>
      <c r="D74" s="15"/>
      <c r="E74" s="15"/>
      <c r="F74" s="9">
        <v>800</v>
      </c>
      <c r="G74" s="29">
        <f t="shared" si="7"/>
        <v>0</v>
      </c>
      <c r="H74" s="11"/>
      <c r="I74" s="10"/>
      <c r="J74" s="29">
        <f t="shared" si="8"/>
        <v>0</v>
      </c>
      <c r="K74" s="29"/>
      <c r="L74" s="223">
        <f t="shared" si="9"/>
        <v>0</v>
      </c>
      <c r="M74" s="12"/>
      <c r="N74" s="218" t="str">
        <f t="shared" si="5"/>
        <v xml:space="preserve"> </v>
      </c>
      <c r="O74" s="189"/>
      <c r="P74" s="189"/>
      <c r="Q74" s="189"/>
      <c r="R74" s="189" t="str">
        <f t="shared" si="6"/>
        <v xml:space="preserve"> </v>
      </c>
      <c r="S74" s="189"/>
      <c r="T74" s="253"/>
      <c r="U74" s="13"/>
      <c r="V74" s="253"/>
      <c r="W74" s="253"/>
      <c r="X74" s="16"/>
    </row>
    <row r="75" spans="1:24" ht="15" customHeight="1" x14ac:dyDescent="0.35">
      <c r="A75" s="245"/>
      <c r="B75" s="246"/>
      <c r="C75" s="211"/>
      <c r="D75" s="15"/>
      <c r="E75" s="15"/>
      <c r="F75" s="9">
        <v>800</v>
      </c>
      <c r="G75" s="29">
        <f t="shared" si="7"/>
        <v>0</v>
      </c>
      <c r="H75" s="11"/>
      <c r="I75" s="10"/>
      <c r="J75" s="29">
        <f t="shared" si="8"/>
        <v>0</v>
      </c>
      <c r="K75" s="29"/>
      <c r="L75" s="223">
        <f t="shared" si="9"/>
        <v>0</v>
      </c>
      <c r="M75" s="12"/>
      <c r="N75" s="218" t="str">
        <f t="shared" si="5"/>
        <v xml:space="preserve"> </v>
      </c>
      <c r="O75" s="189"/>
      <c r="P75" s="189"/>
      <c r="Q75" s="189"/>
      <c r="R75" s="189" t="str">
        <f t="shared" si="6"/>
        <v xml:space="preserve"> </v>
      </c>
      <c r="S75" s="189"/>
      <c r="T75" s="253"/>
      <c r="U75" s="13"/>
      <c r="V75" s="253"/>
      <c r="W75" s="253"/>
      <c r="X75" s="16"/>
    </row>
    <row r="76" spans="1:24" ht="15" customHeight="1" x14ac:dyDescent="0.35">
      <c r="A76" s="245"/>
      <c r="B76" s="246"/>
      <c r="C76" s="211"/>
      <c r="D76" s="15"/>
      <c r="E76" s="15"/>
      <c r="F76" s="9">
        <v>800</v>
      </c>
      <c r="G76" s="29">
        <f t="shared" si="7"/>
        <v>0</v>
      </c>
      <c r="H76" s="11"/>
      <c r="I76" s="10"/>
      <c r="J76" s="29">
        <f t="shared" si="8"/>
        <v>0</v>
      </c>
      <c r="K76" s="29"/>
      <c r="L76" s="223">
        <f t="shared" si="9"/>
        <v>0</v>
      </c>
      <c r="M76" s="12"/>
      <c r="N76" s="218" t="str">
        <f t="shared" si="5"/>
        <v xml:space="preserve"> </v>
      </c>
      <c r="O76" s="189"/>
      <c r="P76" s="189"/>
      <c r="Q76" s="189"/>
      <c r="R76" s="189" t="str">
        <f t="shared" si="6"/>
        <v xml:space="preserve"> </v>
      </c>
      <c r="S76" s="189"/>
      <c r="T76" s="253"/>
      <c r="U76" s="13"/>
      <c r="V76" s="253"/>
      <c r="W76" s="253"/>
      <c r="X76" s="16"/>
    </row>
    <row r="77" spans="1:24" ht="15" customHeight="1" x14ac:dyDescent="0.35">
      <c r="A77" s="245"/>
      <c r="B77" s="246"/>
      <c r="C77" s="211"/>
      <c r="D77" s="15"/>
      <c r="E77" s="15"/>
      <c r="F77" s="9">
        <v>800</v>
      </c>
      <c r="G77" s="29">
        <f t="shared" si="7"/>
        <v>0</v>
      </c>
      <c r="H77" s="11"/>
      <c r="I77" s="10"/>
      <c r="J77" s="29">
        <f t="shared" si="8"/>
        <v>0</v>
      </c>
      <c r="K77" s="29"/>
      <c r="L77" s="223">
        <f t="shared" si="9"/>
        <v>0</v>
      </c>
      <c r="M77" s="12"/>
      <c r="N77" s="218" t="str">
        <f t="shared" si="5"/>
        <v xml:space="preserve"> </v>
      </c>
      <c r="O77" s="189"/>
      <c r="P77" s="189"/>
      <c r="Q77" s="189"/>
      <c r="R77" s="189" t="str">
        <f t="shared" si="6"/>
        <v xml:space="preserve"> </v>
      </c>
      <c r="S77" s="189"/>
      <c r="T77" s="253"/>
      <c r="U77" s="13"/>
      <c r="V77" s="253"/>
      <c r="W77" s="253"/>
      <c r="X77" s="16"/>
    </row>
    <row r="78" spans="1:24" ht="15" customHeight="1" x14ac:dyDescent="0.35">
      <c r="A78" s="245"/>
      <c r="B78" s="246"/>
      <c r="C78" s="211"/>
      <c r="D78" s="15"/>
      <c r="E78" s="15"/>
      <c r="F78" s="9">
        <v>800</v>
      </c>
      <c r="G78" s="29">
        <f t="shared" si="7"/>
        <v>0</v>
      </c>
      <c r="H78" s="11"/>
      <c r="I78" s="10"/>
      <c r="J78" s="29">
        <f t="shared" si="8"/>
        <v>0</v>
      </c>
      <c r="K78" s="29"/>
      <c r="L78" s="223">
        <f t="shared" si="9"/>
        <v>0</v>
      </c>
      <c r="M78" s="12"/>
      <c r="N78" s="239" t="str">
        <f t="shared" si="5"/>
        <v xml:space="preserve"> </v>
      </c>
      <c r="O78" s="189"/>
      <c r="P78" s="189"/>
      <c r="Q78" s="189"/>
      <c r="R78" s="189" t="str">
        <f t="shared" si="6"/>
        <v xml:space="preserve"> </v>
      </c>
      <c r="S78" s="189"/>
      <c r="T78" s="253"/>
      <c r="U78" s="13"/>
      <c r="V78" s="253"/>
      <c r="W78" s="253"/>
      <c r="X78" s="16"/>
    </row>
    <row r="79" spans="1:24" ht="15" customHeight="1" x14ac:dyDescent="0.35">
      <c r="A79" s="245"/>
      <c r="B79" s="246"/>
      <c r="C79" s="211"/>
      <c r="D79" s="15"/>
      <c r="E79" s="15"/>
      <c r="F79" s="9">
        <v>800</v>
      </c>
      <c r="G79" s="29">
        <f t="shared" si="7"/>
        <v>0</v>
      </c>
      <c r="H79" s="11"/>
      <c r="I79" s="10"/>
      <c r="J79" s="29">
        <f t="shared" si="8"/>
        <v>0</v>
      </c>
      <c r="K79" s="29"/>
      <c r="L79" s="223">
        <f t="shared" si="9"/>
        <v>0</v>
      </c>
      <c r="M79" s="12"/>
      <c r="N79" s="218" t="str">
        <f t="shared" si="5"/>
        <v xml:space="preserve"> </v>
      </c>
      <c r="O79" s="189"/>
      <c r="P79" s="189"/>
      <c r="Q79" s="189"/>
      <c r="R79" s="189" t="str">
        <f t="shared" si="6"/>
        <v xml:space="preserve"> </v>
      </c>
      <c r="S79" s="189"/>
      <c r="T79" s="253"/>
      <c r="U79" s="13"/>
      <c r="V79" s="253"/>
      <c r="W79" s="253"/>
      <c r="X79" s="16"/>
    </row>
    <row r="80" spans="1:24" ht="15" customHeight="1" x14ac:dyDescent="0.35">
      <c r="A80" s="23"/>
      <c r="B80" s="24"/>
      <c r="C80" s="211"/>
      <c r="D80" s="15"/>
      <c r="E80" s="15"/>
      <c r="F80" s="9">
        <v>800</v>
      </c>
      <c r="G80" s="29">
        <f t="shared" si="7"/>
        <v>0</v>
      </c>
      <c r="H80" s="11"/>
      <c r="I80" s="10"/>
      <c r="J80" s="29">
        <f t="shared" si="8"/>
        <v>0</v>
      </c>
      <c r="K80" s="29"/>
      <c r="L80" s="223">
        <f t="shared" si="9"/>
        <v>0</v>
      </c>
      <c r="M80" s="12"/>
      <c r="N80" s="218" t="str">
        <f t="shared" ref="N80:N88" si="10">IF(M80&gt;0,SUM(L80-M80)," ")</f>
        <v xml:space="preserve"> </v>
      </c>
      <c r="O80" s="189"/>
      <c r="P80" s="189"/>
      <c r="Q80" s="189"/>
      <c r="R80" s="189" t="str">
        <f t="shared" si="6"/>
        <v xml:space="preserve"> </v>
      </c>
      <c r="S80" s="189"/>
      <c r="T80" s="253"/>
      <c r="U80" s="13"/>
      <c r="V80" s="253"/>
      <c r="W80" s="253"/>
      <c r="X80" s="16"/>
    </row>
    <row r="81" spans="1:24" ht="15" customHeight="1" x14ac:dyDescent="0.35">
      <c r="A81" s="227"/>
      <c r="B81" s="24"/>
      <c r="C81" s="211"/>
      <c r="D81" s="15"/>
      <c r="E81" s="15"/>
      <c r="F81" s="9">
        <v>800</v>
      </c>
      <c r="G81" s="29">
        <f t="shared" si="7"/>
        <v>0</v>
      </c>
      <c r="H81" s="11"/>
      <c r="I81" s="10"/>
      <c r="J81" s="29">
        <f t="shared" si="8"/>
        <v>0</v>
      </c>
      <c r="K81" s="29"/>
      <c r="L81" s="223">
        <f t="shared" si="9"/>
        <v>0</v>
      </c>
      <c r="M81" s="12"/>
      <c r="N81" s="218" t="str">
        <f t="shared" si="10"/>
        <v xml:space="preserve"> </v>
      </c>
      <c r="O81" s="189"/>
      <c r="P81" s="189"/>
      <c r="Q81" s="189"/>
      <c r="R81" s="189" t="str">
        <f t="shared" si="6"/>
        <v xml:space="preserve"> </v>
      </c>
      <c r="S81" s="189"/>
      <c r="T81" s="253"/>
      <c r="U81" s="13"/>
      <c r="V81" s="253"/>
      <c r="W81" s="253"/>
      <c r="X81" s="16"/>
    </row>
    <row r="82" spans="1:24" ht="15" customHeight="1" x14ac:dyDescent="0.35">
      <c r="A82" s="227"/>
      <c r="B82" s="24"/>
      <c r="C82" s="211"/>
      <c r="D82" s="15"/>
      <c r="E82" s="15"/>
      <c r="F82" s="9">
        <v>800</v>
      </c>
      <c r="G82" s="29">
        <f t="shared" si="7"/>
        <v>0</v>
      </c>
      <c r="H82" s="11"/>
      <c r="I82" s="10"/>
      <c r="J82" s="29">
        <f t="shared" si="8"/>
        <v>0</v>
      </c>
      <c r="K82" s="29"/>
      <c r="L82" s="223">
        <f t="shared" si="9"/>
        <v>0</v>
      </c>
      <c r="M82" s="12"/>
      <c r="N82" s="218" t="str">
        <f t="shared" si="10"/>
        <v xml:space="preserve"> </v>
      </c>
      <c r="O82" s="189"/>
      <c r="P82" s="189"/>
      <c r="Q82" s="189"/>
      <c r="R82" s="189" t="str">
        <f t="shared" si="6"/>
        <v xml:space="preserve"> </v>
      </c>
      <c r="S82" s="189"/>
      <c r="T82" s="253"/>
      <c r="U82" s="13"/>
      <c r="V82" s="253"/>
      <c r="W82" s="253"/>
      <c r="X82" s="16"/>
    </row>
    <row r="83" spans="1:24" ht="15" customHeight="1" x14ac:dyDescent="0.35">
      <c r="A83" s="23"/>
      <c r="B83" s="23"/>
      <c r="C83" s="188"/>
      <c r="D83" s="15"/>
      <c r="E83" s="15"/>
      <c r="F83" s="9">
        <v>800</v>
      </c>
      <c r="G83" s="29">
        <f t="shared" si="7"/>
        <v>0</v>
      </c>
      <c r="H83" s="11"/>
      <c r="I83" s="10"/>
      <c r="J83" s="29">
        <f t="shared" si="8"/>
        <v>0</v>
      </c>
      <c r="K83" s="29"/>
      <c r="L83" s="223">
        <f t="shared" si="9"/>
        <v>0</v>
      </c>
      <c r="M83" s="12"/>
      <c r="N83" s="218" t="str">
        <f t="shared" si="10"/>
        <v xml:space="preserve"> </v>
      </c>
      <c r="O83" s="189"/>
      <c r="P83" s="189"/>
      <c r="Q83" s="189"/>
      <c r="R83" s="189" t="str">
        <f t="shared" si="6"/>
        <v xml:space="preserve"> </v>
      </c>
      <c r="S83" s="189"/>
      <c r="T83" s="253"/>
      <c r="U83" s="13"/>
      <c r="V83" s="253"/>
      <c r="W83" s="253"/>
      <c r="X83" s="16"/>
    </row>
    <row r="84" spans="1:24" ht="15" customHeight="1" x14ac:dyDescent="0.35">
      <c r="A84" s="23"/>
      <c r="B84" s="23"/>
      <c r="C84" s="211"/>
      <c r="D84" s="15"/>
      <c r="E84" s="15"/>
      <c r="F84" s="9">
        <v>800</v>
      </c>
      <c r="G84" s="29">
        <f t="shared" si="7"/>
        <v>0</v>
      </c>
      <c r="H84" s="11"/>
      <c r="I84" s="10"/>
      <c r="J84" s="29">
        <f t="shared" si="8"/>
        <v>0</v>
      </c>
      <c r="K84" s="29"/>
      <c r="L84" s="223">
        <f t="shared" si="9"/>
        <v>0</v>
      </c>
      <c r="M84" s="12"/>
      <c r="N84" s="218" t="str">
        <f t="shared" si="10"/>
        <v xml:space="preserve"> </v>
      </c>
      <c r="O84" s="189"/>
      <c r="P84" s="189"/>
      <c r="Q84" s="189"/>
      <c r="R84" s="189" t="str">
        <f t="shared" si="6"/>
        <v xml:space="preserve"> </v>
      </c>
      <c r="S84" s="189"/>
      <c r="T84" s="253"/>
      <c r="U84" s="13"/>
      <c r="V84" s="253"/>
      <c r="W84" s="253"/>
      <c r="X84" s="16"/>
    </row>
    <row r="85" spans="1:24" ht="15" customHeight="1" x14ac:dyDescent="0.35">
      <c r="A85" s="23"/>
      <c r="B85" s="24"/>
      <c r="C85" s="211"/>
      <c r="D85" s="15"/>
      <c r="E85" s="15"/>
      <c r="F85" s="9">
        <v>800</v>
      </c>
      <c r="G85" s="29">
        <f t="shared" si="7"/>
        <v>0</v>
      </c>
      <c r="H85" s="11"/>
      <c r="I85" s="10"/>
      <c r="J85" s="29">
        <f t="shared" si="8"/>
        <v>0</v>
      </c>
      <c r="K85" s="29"/>
      <c r="L85" s="223">
        <f t="shared" si="9"/>
        <v>0</v>
      </c>
      <c r="M85" s="12"/>
      <c r="N85" s="218" t="str">
        <f t="shared" si="10"/>
        <v xml:space="preserve"> </v>
      </c>
      <c r="O85" s="189"/>
      <c r="P85" s="189"/>
      <c r="Q85" s="189"/>
      <c r="R85" s="189" t="str">
        <f t="shared" si="6"/>
        <v xml:space="preserve"> </v>
      </c>
      <c r="S85" s="189"/>
      <c r="T85" s="253"/>
      <c r="U85" s="13"/>
      <c r="V85" s="253"/>
      <c r="W85" s="253"/>
      <c r="X85" s="16"/>
    </row>
    <row r="86" spans="1:24" ht="15" customHeight="1" x14ac:dyDescent="0.35">
      <c r="A86" s="23"/>
      <c r="B86" s="24"/>
      <c r="C86" s="211"/>
      <c r="D86" s="15"/>
      <c r="E86" s="15"/>
      <c r="F86" s="9">
        <v>800</v>
      </c>
      <c r="G86" s="29">
        <f t="shared" si="7"/>
        <v>0</v>
      </c>
      <c r="H86" s="11"/>
      <c r="I86" s="10"/>
      <c r="J86" s="29">
        <f t="shared" si="8"/>
        <v>0</v>
      </c>
      <c r="K86" s="29"/>
      <c r="L86" s="223">
        <f t="shared" si="9"/>
        <v>0</v>
      </c>
      <c r="M86" s="12"/>
      <c r="N86" s="218" t="str">
        <f t="shared" si="10"/>
        <v xml:space="preserve"> </v>
      </c>
      <c r="O86" s="189"/>
      <c r="P86" s="189"/>
      <c r="Q86" s="189"/>
      <c r="R86" s="189" t="str">
        <f t="shared" si="6"/>
        <v xml:space="preserve"> </v>
      </c>
      <c r="S86" s="189"/>
      <c r="T86" s="253"/>
      <c r="U86" s="13"/>
      <c r="V86" s="253"/>
      <c r="W86" s="253"/>
      <c r="X86" s="16"/>
    </row>
    <row r="87" spans="1:24" ht="15" customHeight="1" x14ac:dyDescent="0.35">
      <c r="A87" s="227"/>
      <c r="B87" s="23"/>
      <c r="C87" s="212"/>
      <c r="D87" s="15"/>
      <c r="E87" s="15"/>
      <c r="F87" s="9">
        <v>800</v>
      </c>
      <c r="G87" s="29">
        <f t="shared" si="7"/>
        <v>0</v>
      </c>
      <c r="H87" s="11"/>
      <c r="I87" s="10"/>
      <c r="J87" s="29">
        <f t="shared" si="8"/>
        <v>0</v>
      </c>
      <c r="K87" s="29"/>
      <c r="L87" s="223">
        <f t="shared" si="9"/>
        <v>0</v>
      </c>
      <c r="M87" s="12"/>
      <c r="N87" s="218" t="str">
        <f t="shared" si="10"/>
        <v xml:space="preserve"> </v>
      </c>
      <c r="O87" s="189"/>
      <c r="P87" s="189"/>
      <c r="Q87" s="189"/>
      <c r="R87" s="189" t="str">
        <f t="shared" si="6"/>
        <v xml:space="preserve"> </v>
      </c>
      <c r="S87" s="189"/>
      <c r="T87" s="253"/>
      <c r="U87" s="13"/>
      <c r="V87" s="253"/>
      <c r="W87" s="253"/>
      <c r="X87" s="16"/>
    </row>
    <row r="88" spans="1:24" ht="15" customHeight="1" x14ac:dyDescent="0.35">
      <c r="A88" s="23"/>
      <c r="B88" s="24"/>
      <c r="C88" s="211"/>
      <c r="D88" s="15"/>
      <c r="E88" s="15"/>
      <c r="F88" s="9">
        <v>800</v>
      </c>
      <c r="G88" s="29">
        <f t="shared" si="7"/>
        <v>0</v>
      </c>
      <c r="H88" s="11"/>
      <c r="I88" s="10"/>
      <c r="J88" s="29">
        <f t="shared" si="8"/>
        <v>0</v>
      </c>
      <c r="K88" s="29"/>
      <c r="L88" s="223">
        <f t="shared" si="9"/>
        <v>0</v>
      </c>
      <c r="M88" s="12"/>
      <c r="N88" s="218" t="str">
        <f t="shared" si="10"/>
        <v xml:space="preserve"> </v>
      </c>
      <c r="O88" s="189"/>
      <c r="P88" s="189"/>
      <c r="Q88" s="189"/>
      <c r="R88" s="189" t="str">
        <f t="shared" si="6"/>
        <v xml:space="preserve"> </v>
      </c>
      <c r="S88" s="189"/>
      <c r="T88" s="253"/>
      <c r="U88" s="13"/>
      <c r="V88" s="253"/>
      <c r="W88" s="253"/>
      <c r="X88" s="16"/>
    </row>
    <row r="89" spans="1:24" ht="15" customHeight="1" x14ac:dyDescent="0.35">
      <c r="A89" s="23"/>
      <c r="B89" s="24"/>
      <c r="C89" s="211"/>
      <c r="D89" s="15"/>
      <c r="E89" s="15"/>
      <c r="F89" s="9">
        <v>800</v>
      </c>
      <c r="G89" s="29">
        <f t="shared" si="7"/>
        <v>0</v>
      </c>
      <c r="H89" s="11"/>
      <c r="I89" s="10"/>
      <c r="J89" s="29">
        <f t="shared" si="8"/>
        <v>0</v>
      </c>
      <c r="K89" s="29"/>
      <c r="L89" s="223">
        <f t="shared" si="9"/>
        <v>0</v>
      </c>
      <c r="M89" s="12"/>
      <c r="N89" s="218" t="str">
        <f t="shared" si="5"/>
        <v xml:space="preserve"> </v>
      </c>
      <c r="O89" s="189"/>
      <c r="P89" s="189"/>
      <c r="Q89" s="189"/>
      <c r="R89" s="189" t="str">
        <f t="shared" si="6"/>
        <v xml:space="preserve"> </v>
      </c>
      <c r="S89" s="189"/>
      <c r="T89" s="253"/>
      <c r="U89" s="13"/>
      <c r="V89" s="253"/>
      <c r="W89" s="253"/>
      <c r="X89" s="16"/>
    </row>
    <row r="90" spans="1:24" ht="15" customHeight="1" x14ac:dyDescent="0.35">
      <c r="A90" s="23"/>
      <c r="B90" s="24"/>
      <c r="C90" s="211"/>
      <c r="D90" s="15"/>
      <c r="E90" s="15"/>
      <c r="F90" s="9">
        <v>800</v>
      </c>
      <c r="G90" s="29">
        <f t="shared" si="7"/>
        <v>0</v>
      </c>
      <c r="H90" s="11"/>
      <c r="I90" s="10"/>
      <c r="J90" s="29">
        <f t="shared" si="8"/>
        <v>0</v>
      </c>
      <c r="K90" s="29"/>
      <c r="L90" s="223">
        <f t="shared" si="9"/>
        <v>0</v>
      </c>
      <c r="M90" s="12"/>
      <c r="N90" s="218" t="str">
        <f t="shared" si="5"/>
        <v xml:space="preserve"> </v>
      </c>
      <c r="O90" s="189"/>
      <c r="P90" s="189"/>
      <c r="Q90" s="189"/>
      <c r="R90" s="189" t="str">
        <f t="shared" si="6"/>
        <v xml:space="preserve"> </v>
      </c>
      <c r="S90" s="189"/>
      <c r="T90" s="253"/>
      <c r="U90" s="13"/>
      <c r="V90" s="253"/>
      <c r="W90" s="253"/>
      <c r="X90" s="16"/>
    </row>
    <row r="91" spans="1:24" ht="15" customHeight="1" x14ac:dyDescent="0.35">
      <c r="A91" s="227"/>
      <c r="B91" s="23"/>
      <c r="C91" s="212"/>
      <c r="D91" s="15"/>
      <c r="E91" s="15"/>
      <c r="F91" s="9">
        <v>800</v>
      </c>
      <c r="G91" s="29">
        <f t="shared" si="7"/>
        <v>0</v>
      </c>
      <c r="H91" s="11"/>
      <c r="I91" s="10"/>
      <c r="J91" s="29">
        <f t="shared" si="8"/>
        <v>0</v>
      </c>
      <c r="K91" s="29"/>
      <c r="L91" s="223">
        <f t="shared" si="9"/>
        <v>0</v>
      </c>
      <c r="M91" s="12"/>
      <c r="N91" s="218" t="str">
        <f t="shared" si="5"/>
        <v xml:space="preserve"> </v>
      </c>
      <c r="O91" s="189"/>
      <c r="P91" s="189"/>
      <c r="Q91" s="189"/>
      <c r="R91" s="189" t="str">
        <f t="shared" si="6"/>
        <v xml:space="preserve"> </v>
      </c>
      <c r="S91" s="189"/>
      <c r="T91" s="253"/>
      <c r="U91" s="13"/>
      <c r="V91" s="253"/>
      <c r="W91" s="253"/>
      <c r="X91" s="16"/>
    </row>
    <row r="92" spans="1:24" ht="15" customHeight="1" x14ac:dyDescent="0.35">
      <c r="A92" s="23"/>
      <c r="B92" s="24"/>
      <c r="C92" s="211"/>
      <c r="D92" s="15"/>
      <c r="E92" s="15"/>
      <c r="F92" s="9">
        <v>800</v>
      </c>
      <c r="G92" s="29">
        <f t="shared" si="7"/>
        <v>0</v>
      </c>
      <c r="H92" s="11"/>
      <c r="I92" s="10"/>
      <c r="J92" s="29">
        <f t="shared" si="8"/>
        <v>0</v>
      </c>
      <c r="K92" s="29"/>
      <c r="L92" s="223">
        <f t="shared" si="9"/>
        <v>0</v>
      </c>
      <c r="M92" s="12"/>
      <c r="N92" s="218" t="str">
        <f t="shared" si="5"/>
        <v xml:space="preserve"> </v>
      </c>
      <c r="O92" s="189"/>
      <c r="P92" s="189"/>
      <c r="Q92" s="189"/>
      <c r="R92" s="189" t="str">
        <f t="shared" si="6"/>
        <v xml:space="preserve"> </v>
      </c>
      <c r="S92" s="189"/>
      <c r="T92" s="253"/>
      <c r="U92" s="13"/>
      <c r="V92" s="253"/>
      <c r="W92" s="253"/>
      <c r="X92" s="16"/>
    </row>
    <row r="93" spans="1:24" ht="15" customHeight="1" x14ac:dyDescent="0.35">
      <c r="A93" s="227"/>
      <c r="B93" s="24"/>
      <c r="C93" s="211"/>
      <c r="D93" s="15"/>
      <c r="E93" s="15"/>
      <c r="F93" s="9">
        <v>800</v>
      </c>
      <c r="G93" s="29">
        <f t="shared" si="7"/>
        <v>0</v>
      </c>
      <c r="H93" s="11"/>
      <c r="I93" s="10"/>
      <c r="J93" s="29">
        <f t="shared" si="8"/>
        <v>0</v>
      </c>
      <c r="K93" s="29"/>
      <c r="L93" s="223">
        <f t="shared" si="9"/>
        <v>0</v>
      </c>
      <c r="M93" s="12"/>
      <c r="N93" s="218" t="str">
        <f t="shared" si="5"/>
        <v xml:space="preserve"> </v>
      </c>
      <c r="O93" s="189"/>
      <c r="P93" s="189"/>
      <c r="Q93" s="189"/>
      <c r="R93" s="189" t="str">
        <f t="shared" si="6"/>
        <v xml:space="preserve"> </v>
      </c>
      <c r="S93" s="189"/>
      <c r="T93" s="253"/>
      <c r="U93" s="13"/>
      <c r="V93" s="253"/>
      <c r="W93" s="253"/>
      <c r="X93" s="16"/>
    </row>
    <row r="94" spans="1:24" ht="15" customHeight="1" x14ac:dyDescent="0.35">
      <c r="A94" s="227"/>
      <c r="B94" s="24"/>
      <c r="C94" s="212"/>
      <c r="D94" s="15"/>
      <c r="E94" s="15"/>
      <c r="F94" s="9">
        <v>800</v>
      </c>
      <c r="G94" s="29">
        <f t="shared" si="7"/>
        <v>0</v>
      </c>
      <c r="H94" s="11"/>
      <c r="I94" s="10"/>
      <c r="J94" s="29">
        <f t="shared" si="8"/>
        <v>0</v>
      </c>
      <c r="K94" s="29"/>
      <c r="L94" s="223">
        <f t="shared" si="9"/>
        <v>0</v>
      </c>
      <c r="M94" s="12"/>
      <c r="N94" s="218" t="str">
        <f t="shared" si="5"/>
        <v xml:space="preserve"> </v>
      </c>
      <c r="O94" s="189"/>
      <c r="P94" s="189"/>
      <c r="Q94" s="189"/>
      <c r="R94" s="189" t="str">
        <f t="shared" si="6"/>
        <v xml:space="preserve"> </v>
      </c>
      <c r="S94" s="189"/>
      <c r="T94" s="253"/>
      <c r="U94" s="13"/>
      <c r="V94" s="253"/>
      <c r="W94" s="253"/>
      <c r="X94" s="16"/>
    </row>
    <row r="95" spans="1:24" ht="15" customHeight="1" x14ac:dyDescent="0.35">
      <c r="A95" s="227"/>
      <c r="B95" s="24"/>
      <c r="C95" s="211"/>
      <c r="D95" s="15"/>
      <c r="E95" s="15"/>
      <c r="F95" s="9">
        <v>800</v>
      </c>
      <c r="G95" s="29">
        <f t="shared" si="7"/>
        <v>0</v>
      </c>
      <c r="H95" s="11"/>
      <c r="I95" s="10"/>
      <c r="J95" s="29">
        <f t="shared" si="8"/>
        <v>0</v>
      </c>
      <c r="K95" s="29"/>
      <c r="L95" s="223">
        <f t="shared" si="9"/>
        <v>0</v>
      </c>
      <c r="M95" s="12"/>
      <c r="N95" s="218" t="str">
        <f t="shared" si="5"/>
        <v xml:space="preserve"> </v>
      </c>
      <c r="O95" s="189"/>
      <c r="P95" s="189"/>
      <c r="Q95" s="189"/>
      <c r="R95" s="189" t="str">
        <f t="shared" si="6"/>
        <v xml:space="preserve"> </v>
      </c>
      <c r="S95" s="189"/>
      <c r="T95" s="253"/>
      <c r="U95" s="13"/>
      <c r="V95" s="253"/>
      <c r="W95" s="253"/>
      <c r="X95" s="16"/>
    </row>
    <row r="96" spans="1:24" ht="15" customHeight="1" x14ac:dyDescent="0.35">
      <c r="A96" s="227"/>
      <c r="B96" s="24"/>
      <c r="C96" s="212"/>
      <c r="D96" s="15"/>
      <c r="E96" s="15"/>
      <c r="F96" s="9">
        <v>800</v>
      </c>
      <c r="G96" s="29">
        <f t="shared" si="7"/>
        <v>0</v>
      </c>
      <c r="H96" s="11"/>
      <c r="I96" s="10"/>
      <c r="J96" s="29">
        <f t="shared" si="8"/>
        <v>0</v>
      </c>
      <c r="K96" s="29"/>
      <c r="L96" s="223">
        <f t="shared" si="9"/>
        <v>0</v>
      </c>
      <c r="M96" s="12"/>
      <c r="N96" s="218" t="str">
        <f>IF(M96&gt;0,SUM(L96-M96)," ")</f>
        <v xml:space="preserve"> </v>
      </c>
      <c r="O96" s="189"/>
      <c r="P96" s="189"/>
      <c r="Q96" s="189"/>
      <c r="R96" s="189" t="str">
        <f t="shared" si="6"/>
        <v xml:space="preserve"> </v>
      </c>
      <c r="S96" s="189"/>
      <c r="T96" s="253"/>
      <c r="U96" s="13"/>
      <c r="V96" s="253"/>
      <c r="W96" s="253"/>
      <c r="X96" s="16"/>
    </row>
    <row r="97" spans="1:24" ht="15" customHeight="1" x14ac:dyDescent="0.35">
      <c r="A97" s="227"/>
      <c r="B97" s="24"/>
      <c r="C97" s="211"/>
      <c r="D97" s="15"/>
      <c r="E97" s="15"/>
      <c r="F97" s="9">
        <v>800</v>
      </c>
      <c r="G97" s="29">
        <f t="shared" si="7"/>
        <v>0</v>
      </c>
      <c r="H97" s="11"/>
      <c r="I97" s="10"/>
      <c r="J97" s="29">
        <f t="shared" si="8"/>
        <v>0</v>
      </c>
      <c r="K97" s="29"/>
      <c r="L97" s="223">
        <f t="shared" si="9"/>
        <v>0</v>
      </c>
      <c r="M97" s="12"/>
      <c r="N97" s="218" t="str">
        <f>IF(M97&gt;0,SUM(L97-M97)," ")</f>
        <v xml:space="preserve"> </v>
      </c>
      <c r="O97" s="189"/>
      <c r="P97" s="189"/>
      <c r="Q97" s="189"/>
      <c r="R97" s="189" t="str">
        <f t="shared" si="6"/>
        <v xml:space="preserve"> </v>
      </c>
      <c r="S97" s="189"/>
      <c r="T97" s="253"/>
      <c r="U97" s="13"/>
      <c r="V97" s="253"/>
      <c r="W97" s="253"/>
      <c r="X97" s="16"/>
    </row>
    <row r="98" spans="1:24" ht="15" customHeight="1" x14ac:dyDescent="0.35">
      <c r="A98" s="227"/>
      <c r="B98" s="24"/>
      <c r="C98" s="206"/>
      <c r="D98" s="15"/>
      <c r="E98" s="15"/>
      <c r="F98" s="9">
        <v>800</v>
      </c>
      <c r="G98" s="29">
        <f t="shared" si="7"/>
        <v>0</v>
      </c>
      <c r="H98" s="11"/>
      <c r="I98" s="10"/>
      <c r="J98" s="29">
        <f t="shared" si="8"/>
        <v>0</v>
      </c>
      <c r="K98" s="29"/>
      <c r="L98" s="223">
        <f t="shared" si="9"/>
        <v>0</v>
      </c>
      <c r="M98" s="12"/>
      <c r="N98" s="218" t="str">
        <f t="shared" si="5"/>
        <v xml:space="preserve"> </v>
      </c>
      <c r="O98" s="189"/>
      <c r="P98" s="189"/>
      <c r="Q98" s="189"/>
      <c r="R98" s="189" t="str">
        <f t="shared" si="4"/>
        <v xml:space="preserve"> </v>
      </c>
      <c r="S98" s="189"/>
      <c r="T98" s="253"/>
      <c r="U98" s="13"/>
      <c r="V98" s="253"/>
      <c r="W98" s="253"/>
      <c r="X98" s="16"/>
    </row>
    <row r="99" spans="1:24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7"/>
        <v>0</v>
      </c>
      <c r="H99" s="11"/>
      <c r="I99" s="10"/>
      <c r="J99" s="29">
        <f t="shared" si="8"/>
        <v>0</v>
      </c>
      <c r="K99" s="29"/>
      <c r="L99" s="223">
        <f t="shared" si="9"/>
        <v>0</v>
      </c>
      <c r="M99" s="12"/>
      <c r="N99" s="218" t="str">
        <f t="shared" si="5"/>
        <v xml:space="preserve"> </v>
      </c>
      <c r="O99" s="189"/>
      <c r="P99" s="189"/>
      <c r="Q99" s="189"/>
      <c r="R99" s="189" t="str">
        <f t="shared" si="4"/>
        <v xml:space="preserve"> </v>
      </c>
      <c r="S99" s="189"/>
      <c r="T99" s="253"/>
      <c r="U99" s="13"/>
      <c r="V99" s="253"/>
      <c r="W99" s="253"/>
      <c r="X99" s="16"/>
    </row>
    <row r="100" spans="1:24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7"/>
        <v>0</v>
      </c>
      <c r="H100" s="11"/>
      <c r="I100" s="10"/>
      <c r="J100" s="29">
        <f t="shared" si="8"/>
        <v>0</v>
      </c>
      <c r="K100" s="29"/>
      <c r="L100" s="223">
        <f t="shared" si="9"/>
        <v>0</v>
      </c>
      <c r="M100" s="12"/>
      <c r="N100" s="218" t="str">
        <f t="shared" si="5"/>
        <v xml:space="preserve"> </v>
      </c>
      <c r="O100" s="189"/>
      <c r="P100" s="189"/>
      <c r="Q100" s="189"/>
      <c r="R100" s="189" t="str">
        <f t="shared" si="4"/>
        <v xml:space="preserve"> </v>
      </c>
      <c r="S100" s="189"/>
      <c r="T100" s="253"/>
      <c r="U100" s="13"/>
      <c r="V100" s="253"/>
      <c r="W100" s="253"/>
      <c r="X100" s="16"/>
    </row>
    <row r="101" spans="1:24" ht="16" x14ac:dyDescent="0.5">
      <c r="D101" s="21">
        <f>SUM(D4:D100)</f>
        <v>67</v>
      </c>
      <c r="E101" s="21">
        <f>SUM(E4:E100)</f>
        <v>83</v>
      </c>
      <c r="G101" s="198">
        <f>SUM(G4:G100)</f>
        <v>123550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123550</v>
      </c>
      <c r="M101" s="198"/>
      <c r="N101" s="218" t="str">
        <f t="shared" si="5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-4720</v>
      </c>
      <c r="S101" s="199">
        <f>SUM(S4:S100)</f>
        <v>0</v>
      </c>
    </row>
    <row r="102" spans="1:24" x14ac:dyDescent="0.35">
      <c r="D102" s="290">
        <f>D101+E101</f>
        <v>150</v>
      </c>
      <c r="E102" s="291"/>
      <c r="G102" s="22"/>
      <c r="I102" s="5"/>
      <c r="J102" s="22"/>
      <c r="K102" s="22"/>
    </row>
    <row r="103" spans="1:24" x14ac:dyDescent="0.35">
      <c r="I103" s="5"/>
      <c r="J103" s="6"/>
      <c r="K103" s="6"/>
    </row>
    <row r="108" spans="1:24" x14ac:dyDescent="0.35">
      <c r="C108" s="211" t="s">
        <v>82</v>
      </c>
    </row>
    <row r="109" spans="1:24" x14ac:dyDescent="0.35">
      <c r="C109" s="211" t="s">
        <v>103</v>
      </c>
    </row>
    <row r="110" spans="1:24" x14ac:dyDescent="0.35">
      <c r="C110" s="211" t="s">
        <v>82</v>
      </c>
    </row>
    <row r="111" spans="1:24" x14ac:dyDescent="0.35">
      <c r="C111" s="211" t="s">
        <v>15</v>
      </c>
    </row>
    <row r="112" spans="1:24" x14ac:dyDescent="0.35">
      <c r="C112" s="212" t="s">
        <v>100</v>
      </c>
    </row>
    <row r="113" spans="3:3" x14ac:dyDescent="0.35">
      <c r="C113" s="211" t="s">
        <v>81</v>
      </c>
    </row>
    <row r="114" spans="3:3" x14ac:dyDescent="0.35">
      <c r="C114" s="211" t="s">
        <v>82</v>
      </c>
    </row>
    <row r="115" spans="3:3" x14ac:dyDescent="0.35">
      <c r="C115" s="211" t="s">
        <v>82</v>
      </c>
    </row>
    <row r="116" spans="3:3" x14ac:dyDescent="0.35">
      <c r="C116" s="211" t="s">
        <v>82</v>
      </c>
    </row>
    <row r="117" spans="3:3" x14ac:dyDescent="0.35">
      <c r="C117" s="211" t="s">
        <v>103</v>
      </c>
    </row>
    <row r="118" spans="3:3" x14ac:dyDescent="0.35">
      <c r="C118" s="212"/>
    </row>
    <row r="119" spans="3:3" x14ac:dyDescent="0.35">
      <c r="C119" s="211"/>
    </row>
    <row r="120" spans="3:3" x14ac:dyDescent="0.35">
      <c r="C120" s="212" t="s">
        <v>112</v>
      </c>
    </row>
    <row r="121" spans="3:3" x14ac:dyDescent="0.35">
      <c r="C121" s="211" t="s">
        <v>102</v>
      </c>
    </row>
    <row r="122" spans="3:3" x14ac:dyDescent="0.35">
      <c r="C122" s="211" t="s">
        <v>15</v>
      </c>
    </row>
    <row r="123" spans="3:3" x14ac:dyDescent="0.35">
      <c r="C123" s="211"/>
    </row>
    <row r="124" spans="3:3" x14ac:dyDescent="0.35">
      <c r="C124" s="211"/>
    </row>
    <row r="125" spans="3:3" x14ac:dyDescent="0.35">
      <c r="C125" s="211" t="s">
        <v>82</v>
      </c>
    </row>
    <row r="126" spans="3:3" x14ac:dyDescent="0.35">
      <c r="C126" s="212" t="s">
        <v>100</v>
      </c>
    </row>
    <row r="127" spans="3:3" x14ac:dyDescent="0.35">
      <c r="C127" s="211" t="s">
        <v>82</v>
      </c>
    </row>
    <row r="128" spans="3:3" x14ac:dyDescent="0.35">
      <c r="C128" s="211" t="s">
        <v>81</v>
      </c>
    </row>
    <row r="129" spans="3:3" x14ac:dyDescent="0.35">
      <c r="C129" s="211" t="s">
        <v>115</v>
      </c>
    </row>
    <row r="130" spans="3:3" x14ac:dyDescent="0.35">
      <c r="C130" s="212" t="s">
        <v>101</v>
      </c>
    </row>
    <row r="131" spans="3:3" x14ac:dyDescent="0.35">
      <c r="C131" s="211" t="s">
        <v>82</v>
      </c>
    </row>
    <row r="132" spans="3:3" x14ac:dyDescent="0.35">
      <c r="C132" s="211" t="s">
        <v>111</v>
      </c>
    </row>
    <row r="133" spans="3:3" x14ac:dyDescent="0.35">
      <c r="C133" s="206"/>
    </row>
    <row r="134" spans="3:3" x14ac:dyDescent="0.35">
      <c r="C134" s="212"/>
    </row>
    <row r="135" spans="3:3" x14ac:dyDescent="0.35">
      <c r="C135" s="212" t="s">
        <v>101</v>
      </c>
    </row>
    <row r="136" spans="3:3" x14ac:dyDescent="0.35">
      <c r="C136" s="212" t="s">
        <v>15</v>
      </c>
    </row>
    <row r="137" spans="3:3" x14ac:dyDescent="0.35">
      <c r="C137" s="211" t="s">
        <v>81</v>
      </c>
    </row>
    <row r="138" spans="3:3" x14ac:dyDescent="0.35">
      <c r="C138" s="211"/>
    </row>
    <row r="1048434" spans="15:21" x14ac:dyDescent="0.35">
      <c r="O1048434" s="189"/>
      <c r="P1048434" s="189"/>
      <c r="Q1048434" s="189"/>
      <c r="R1048434" s="189"/>
      <c r="S1048434" s="189"/>
      <c r="U1048434" s="13"/>
    </row>
  </sheetData>
  <autoFilter ref="B3:AA102" xr:uid="{00000000-0009-0000-0000-00000F000000}"/>
  <mergeCells count="15">
    <mergeCell ref="A2:A3"/>
    <mergeCell ref="B2:B3"/>
    <mergeCell ref="C2:C3"/>
    <mergeCell ref="D2:G2"/>
    <mergeCell ref="H2:J2"/>
    <mergeCell ref="K2:K3"/>
    <mergeCell ref="V2:V3"/>
    <mergeCell ref="X2:X3"/>
    <mergeCell ref="O3:O4"/>
    <mergeCell ref="L2:L3"/>
    <mergeCell ref="M2:M3"/>
    <mergeCell ref="N2:N3"/>
    <mergeCell ref="O2:S2"/>
    <mergeCell ref="T2:T3"/>
    <mergeCell ref="U2:U3"/>
  </mergeCells>
  <conditionalFormatting sqref="B2 B100:B1048576 A65 A93:A94 A82:A91 A75:A76 A78:A80 A67 A38:A43 A69 A27:A30 A20:A23 A49:A60">
    <cfRule type="containsText" dxfId="853" priority="310" operator="containsText" text="OK">
      <formula>NOT(ISERROR(SEARCH("OK",A2)))</formula>
    </cfRule>
  </conditionalFormatting>
  <conditionalFormatting sqref="B2 B100:B1048576 A65 A93:A94 A82:A91 A75:A76 A78:A80 A67 A38:A43 A69 A27:A30 A20:A23 A49:A60">
    <cfRule type="containsText" dxfId="852" priority="309" operator="containsText" text="ok">
      <formula>NOT(ISERROR(SEARCH("ok",A2)))</formula>
    </cfRule>
  </conditionalFormatting>
  <conditionalFormatting sqref="B54:B65 B67">
    <cfRule type="containsText" dxfId="851" priority="308" operator="containsText" text="OK">
      <formula>NOT(ISERROR(SEARCH("OK",B54)))</formula>
    </cfRule>
  </conditionalFormatting>
  <conditionalFormatting sqref="B54:B65 B67">
    <cfRule type="containsText" dxfId="850" priority="307" operator="containsText" text="ok">
      <formula>NOT(ISERROR(SEARCH("ok",B54)))</formula>
    </cfRule>
  </conditionalFormatting>
  <conditionalFormatting sqref="B91">
    <cfRule type="containsText" dxfId="849" priority="306" operator="containsText" text="OK">
      <formula>NOT(ISERROR(SEARCH("OK",B91)))</formula>
    </cfRule>
  </conditionalFormatting>
  <conditionalFormatting sqref="B91">
    <cfRule type="containsText" dxfId="848" priority="305" operator="containsText" text="ok">
      <formula>NOT(ISERROR(SEARCH("ok",B91)))</formula>
    </cfRule>
  </conditionalFormatting>
  <conditionalFormatting sqref="A2 A100:A1048576">
    <cfRule type="containsText" dxfId="847" priority="304" operator="containsText" text="OK">
      <formula>NOT(ISERROR(SEARCH("OK",A2)))</formula>
    </cfRule>
  </conditionalFormatting>
  <conditionalFormatting sqref="A2 A100:A1048576">
    <cfRule type="containsText" dxfId="846" priority="303" operator="containsText" text="ok">
      <formula>NOT(ISERROR(SEARCH("ok",A2)))</formula>
    </cfRule>
  </conditionalFormatting>
  <conditionalFormatting sqref="A95">
    <cfRule type="containsText" dxfId="845" priority="302" operator="containsText" text="OK">
      <formula>NOT(ISERROR(SEARCH("OK",A95)))</formula>
    </cfRule>
  </conditionalFormatting>
  <conditionalFormatting sqref="A95">
    <cfRule type="containsText" dxfId="844" priority="301" operator="containsText" text="ok">
      <formula>NOT(ISERROR(SEARCH("ok",A95)))</formula>
    </cfRule>
  </conditionalFormatting>
  <conditionalFormatting sqref="A96">
    <cfRule type="containsText" dxfId="843" priority="300" operator="containsText" text="OK">
      <formula>NOT(ISERROR(SEARCH("OK",A96)))</formula>
    </cfRule>
  </conditionalFormatting>
  <conditionalFormatting sqref="A96">
    <cfRule type="containsText" dxfId="842" priority="299" operator="containsText" text="ok">
      <formula>NOT(ISERROR(SEARCH("ok",A96)))</formula>
    </cfRule>
  </conditionalFormatting>
  <conditionalFormatting sqref="A97">
    <cfRule type="containsText" dxfId="841" priority="298" operator="containsText" text="OK">
      <formula>NOT(ISERROR(SEARCH("OK",A97)))</formula>
    </cfRule>
  </conditionalFormatting>
  <conditionalFormatting sqref="A97">
    <cfRule type="containsText" dxfId="840" priority="297" operator="containsText" text="ok">
      <formula>NOT(ISERROR(SEARCH("ok",A97)))</formula>
    </cfRule>
  </conditionalFormatting>
  <conditionalFormatting sqref="A98">
    <cfRule type="containsText" dxfId="839" priority="296" operator="containsText" text="OK">
      <formula>NOT(ISERROR(SEARCH("OK",A98)))</formula>
    </cfRule>
  </conditionalFormatting>
  <conditionalFormatting sqref="A98">
    <cfRule type="containsText" dxfId="838" priority="295" operator="containsText" text="ok">
      <formula>NOT(ISERROR(SEARCH("ok",A98)))</formula>
    </cfRule>
  </conditionalFormatting>
  <conditionalFormatting sqref="A99">
    <cfRule type="containsText" dxfId="837" priority="294" operator="containsText" text="OK">
      <formula>NOT(ISERROR(SEARCH("OK",A99)))</formula>
    </cfRule>
  </conditionalFormatting>
  <conditionalFormatting sqref="A99">
    <cfRule type="containsText" dxfId="836" priority="293" operator="containsText" text="ok">
      <formula>NOT(ISERROR(SEARCH("ok",A99)))</formula>
    </cfRule>
  </conditionalFormatting>
  <conditionalFormatting sqref="B87">
    <cfRule type="containsText" dxfId="835" priority="292" operator="containsText" text="OK">
      <formula>NOT(ISERROR(SEARCH("OK",B87)))</formula>
    </cfRule>
  </conditionalFormatting>
  <conditionalFormatting sqref="B87">
    <cfRule type="containsText" dxfId="834" priority="291" operator="containsText" text="ok">
      <formula>NOT(ISERROR(SEARCH("ok",B87)))</formula>
    </cfRule>
  </conditionalFormatting>
  <conditionalFormatting sqref="B82">
    <cfRule type="containsText" dxfId="833" priority="290" operator="containsText" text="OK">
      <formula>NOT(ISERROR(SEARCH("OK",B82)))</formula>
    </cfRule>
  </conditionalFormatting>
  <conditionalFormatting sqref="B82">
    <cfRule type="containsText" dxfId="832" priority="289" operator="containsText" text="ok">
      <formula>NOT(ISERROR(SEARCH("ok",B82)))</formula>
    </cfRule>
  </conditionalFormatting>
  <conditionalFormatting sqref="B83">
    <cfRule type="containsText" dxfId="831" priority="288" operator="containsText" text="OK">
      <formula>NOT(ISERROR(SEARCH("OK",B83)))</formula>
    </cfRule>
  </conditionalFormatting>
  <conditionalFormatting sqref="B83">
    <cfRule type="containsText" dxfId="830" priority="287" operator="containsText" text="ok">
      <formula>NOT(ISERROR(SEARCH("ok",B83)))</formula>
    </cfRule>
  </conditionalFormatting>
  <conditionalFormatting sqref="B84">
    <cfRule type="containsText" dxfId="829" priority="286" operator="containsText" text="OK">
      <formula>NOT(ISERROR(SEARCH("OK",B84)))</formula>
    </cfRule>
  </conditionalFormatting>
  <conditionalFormatting sqref="B84">
    <cfRule type="containsText" dxfId="828" priority="285" operator="containsText" text="ok">
      <formula>NOT(ISERROR(SEARCH("ok",B84)))</formula>
    </cfRule>
  </conditionalFormatting>
  <conditionalFormatting sqref="B85">
    <cfRule type="containsText" dxfId="827" priority="284" operator="containsText" text="OK">
      <formula>NOT(ISERROR(SEARCH("OK",B85)))</formula>
    </cfRule>
  </conditionalFormatting>
  <conditionalFormatting sqref="B85">
    <cfRule type="containsText" dxfId="826" priority="283" operator="containsText" text="ok">
      <formula>NOT(ISERROR(SEARCH("ok",B85)))</formula>
    </cfRule>
  </conditionalFormatting>
  <conditionalFormatting sqref="B86">
    <cfRule type="containsText" dxfId="825" priority="282" operator="containsText" text="OK">
      <formula>NOT(ISERROR(SEARCH("OK",B86)))</formula>
    </cfRule>
  </conditionalFormatting>
  <conditionalFormatting sqref="B86">
    <cfRule type="containsText" dxfId="824" priority="281" operator="containsText" text="ok">
      <formula>NOT(ISERROR(SEARCH("ok",B86)))</formula>
    </cfRule>
  </conditionalFormatting>
  <conditionalFormatting sqref="A45">
    <cfRule type="containsText" dxfId="823" priority="280" operator="containsText" text="OK">
      <formula>NOT(ISERROR(SEARCH("OK",A45)))</formula>
    </cfRule>
  </conditionalFormatting>
  <conditionalFormatting sqref="A45">
    <cfRule type="containsText" dxfId="822" priority="279" operator="containsText" text="ok">
      <formula>NOT(ISERROR(SEARCH("ok",A45)))</formula>
    </cfRule>
  </conditionalFormatting>
  <conditionalFormatting sqref="B69">
    <cfRule type="containsText" dxfId="821" priority="278" operator="containsText" text="OK">
      <formula>NOT(ISERROR(SEARCH("OK",B69)))</formula>
    </cfRule>
  </conditionalFormatting>
  <conditionalFormatting sqref="B69">
    <cfRule type="containsText" dxfId="820" priority="277" operator="containsText" text="ok">
      <formula>NOT(ISERROR(SEARCH("ok",B69)))</formula>
    </cfRule>
  </conditionalFormatting>
  <conditionalFormatting sqref="B88">
    <cfRule type="containsText" dxfId="819" priority="276" operator="containsText" text="OK">
      <formula>NOT(ISERROR(SEARCH("OK",B88)))</formula>
    </cfRule>
  </conditionalFormatting>
  <conditionalFormatting sqref="B88">
    <cfRule type="containsText" dxfId="818" priority="275" operator="containsText" text="ok">
      <formula>NOT(ISERROR(SEARCH("ok",B88)))</formula>
    </cfRule>
  </conditionalFormatting>
  <conditionalFormatting sqref="A92">
    <cfRule type="containsText" dxfId="817" priority="274" operator="containsText" text="OK">
      <formula>NOT(ISERROR(SEARCH("OK",A92)))</formula>
    </cfRule>
  </conditionalFormatting>
  <conditionalFormatting sqref="A92">
    <cfRule type="containsText" dxfId="816" priority="273" operator="containsText" text="ok">
      <formula>NOT(ISERROR(SEARCH("ok",A92)))</formula>
    </cfRule>
  </conditionalFormatting>
  <conditionalFormatting sqref="B87">
    <cfRule type="containsText" dxfId="815" priority="272" operator="containsText" text="OK">
      <formula>NOT(ISERROR(SEARCH("OK",B87)))</formula>
    </cfRule>
  </conditionalFormatting>
  <conditionalFormatting sqref="B87">
    <cfRule type="containsText" dxfId="814" priority="271" operator="containsText" text="ok">
      <formula>NOT(ISERROR(SEARCH("ok",B87)))</formula>
    </cfRule>
  </conditionalFormatting>
  <conditionalFormatting sqref="B83">
    <cfRule type="containsText" dxfId="813" priority="270" operator="containsText" text="OK">
      <formula>NOT(ISERROR(SEARCH("OK",B83)))</formula>
    </cfRule>
  </conditionalFormatting>
  <conditionalFormatting sqref="B83">
    <cfRule type="containsText" dxfId="812" priority="269" operator="containsText" text="ok">
      <formula>NOT(ISERROR(SEARCH("ok",B83)))</formula>
    </cfRule>
  </conditionalFormatting>
  <conditionalFormatting sqref="B84">
    <cfRule type="containsText" dxfId="811" priority="268" operator="containsText" text="OK">
      <formula>NOT(ISERROR(SEARCH("OK",B84)))</formula>
    </cfRule>
  </conditionalFormatting>
  <conditionalFormatting sqref="B84">
    <cfRule type="containsText" dxfId="810" priority="267" operator="containsText" text="ok">
      <formula>NOT(ISERROR(SEARCH("ok",B84)))</formula>
    </cfRule>
  </conditionalFormatting>
  <conditionalFormatting sqref="A88">
    <cfRule type="containsText" dxfId="809" priority="266" operator="containsText" text="OK">
      <formula>NOT(ISERROR(SEARCH("OK",A88)))</formula>
    </cfRule>
  </conditionalFormatting>
  <conditionalFormatting sqref="A88">
    <cfRule type="containsText" dxfId="808" priority="265" operator="containsText" text="ok">
      <formula>NOT(ISERROR(SEARCH("ok",A88)))</formula>
    </cfRule>
  </conditionalFormatting>
  <conditionalFormatting sqref="A81">
    <cfRule type="containsText" dxfId="807" priority="264" operator="containsText" text="OK">
      <formula>NOT(ISERROR(SEARCH("OK",A81)))</formula>
    </cfRule>
  </conditionalFormatting>
  <conditionalFormatting sqref="A81">
    <cfRule type="containsText" dxfId="806" priority="263" operator="containsText" text="ok">
      <formula>NOT(ISERROR(SEARCH("ok",A81)))</formula>
    </cfRule>
  </conditionalFormatting>
  <conditionalFormatting sqref="B81">
    <cfRule type="containsText" dxfId="805" priority="262" operator="containsText" text="OK">
      <formula>NOT(ISERROR(SEARCH("OK",B81)))</formula>
    </cfRule>
  </conditionalFormatting>
  <conditionalFormatting sqref="B81">
    <cfRule type="containsText" dxfId="804" priority="261" operator="containsText" text="ok">
      <formula>NOT(ISERROR(SEARCH("ok",B81)))</formula>
    </cfRule>
  </conditionalFormatting>
  <conditionalFormatting sqref="B66">
    <cfRule type="containsText" dxfId="803" priority="256" operator="containsText" text="OK">
      <formula>NOT(ISERROR(SEARCH("OK",B66)))</formula>
    </cfRule>
  </conditionalFormatting>
  <conditionalFormatting sqref="B66">
    <cfRule type="containsText" dxfId="802" priority="255" operator="containsText" text="ok">
      <formula>NOT(ISERROR(SEARCH("ok",B66)))</formula>
    </cfRule>
  </conditionalFormatting>
  <conditionalFormatting sqref="B75">
    <cfRule type="containsText" dxfId="801" priority="252" operator="containsText" text="OK">
      <formula>NOT(ISERROR(SEARCH("OK",B75)))</formula>
    </cfRule>
  </conditionalFormatting>
  <conditionalFormatting sqref="B75">
    <cfRule type="containsText" dxfId="800" priority="251" operator="containsText" text="ok">
      <formula>NOT(ISERROR(SEARCH("ok",B75)))</formula>
    </cfRule>
  </conditionalFormatting>
  <conditionalFormatting sqref="B74">
    <cfRule type="containsText" dxfId="799" priority="254" operator="containsText" text="OK">
      <formula>NOT(ISERROR(SEARCH("OK",B74)))</formula>
    </cfRule>
  </conditionalFormatting>
  <conditionalFormatting sqref="B74">
    <cfRule type="containsText" dxfId="798" priority="253" operator="containsText" text="ok">
      <formula>NOT(ISERROR(SEARCH("ok",B74)))</formula>
    </cfRule>
  </conditionalFormatting>
  <conditionalFormatting sqref="B76">
    <cfRule type="containsText" dxfId="797" priority="250" operator="containsText" text="OK">
      <formula>NOT(ISERROR(SEARCH("OK",B76)))</formula>
    </cfRule>
  </conditionalFormatting>
  <conditionalFormatting sqref="B76">
    <cfRule type="containsText" dxfId="796" priority="249" operator="containsText" text="ok">
      <formula>NOT(ISERROR(SEARCH("ok",B76)))</formula>
    </cfRule>
  </conditionalFormatting>
  <conditionalFormatting sqref="B77">
    <cfRule type="containsText" dxfId="795" priority="248" operator="containsText" text="OK">
      <formula>NOT(ISERROR(SEARCH("OK",B77)))</formula>
    </cfRule>
  </conditionalFormatting>
  <conditionalFormatting sqref="B77">
    <cfRule type="containsText" dxfId="794" priority="247" operator="containsText" text="ok">
      <formula>NOT(ISERROR(SEARCH("ok",B77)))</formula>
    </cfRule>
  </conditionalFormatting>
  <conditionalFormatting sqref="B78">
    <cfRule type="containsText" dxfId="793" priority="246" operator="containsText" text="OK">
      <formula>NOT(ISERROR(SEARCH("OK",B78)))</formula>
    </cfRule>
  </conditionalFormatting>
  <conditionalFormatting sqref="B78">
    <cfRule type="containsText" dxfId="792" priority="245" operator="containsText" text="ok">
      <formula>NOT(ISERROR(SEARCH("ok",B78)))</formula>
    </cfRule>
  </conditionalFormatting>
  <conditionalFormatting sqref="A77">
    <cfRule type="containsText" dxfId="791" priority="244" operator="containsText" text="OK">
      <formula>NOT(ISERROR(SEARCH("OK",A77)))</formula>
    </cfRule>
  </conditionalFormatting>
  <conditionalFormatting sqref="A77">
    <cfRule type="containsText" dxfId="790" priority="243" operator="containsText" text="ok">
      <formula>NOT(ISERROR(SEARCH("ok",A77)))</formula>
    </cfRule>
  </conditionalFormatting>
  <conditionalFormatting sqref="A48">
    <cfRule type="containsText" dxfId="789" priority="242" operator="containsText" text="OK">
      <formula>NOT(ISERROR(SEARCH("OK",A48)))</formula>
    </cfRule>
  </conditionalFormatting>
  <conditionalFormatting sqref="A48">
    <cfRule type="containsText" dxfId="788" priority="241" operator="containsText" text="ok">
      <formula>NOT(ISERROR(SEARCH("ok",A48)))</formula>
    </cfRule>
  </conditionalFormatting>
  <conditionalFormatting sqref="A74">
    <cfRule type="containsText" dxfId="787" priority="240" operator="containsText" text="OK">
      <formula>NOT(ISERROR(SEARCH("OK",A74)))</formula>
    </cfRule>
  </conditionalFormatting>
  <conditionalFormatting sqref="A74">
    <cfRule type="containsText" dxfId="786" priority="239" operator="containsText" text="ok">
      <formula>NOT(ISERROR(SEARCH("ok",A74)))</formula>
    </cfRule>
  </conditionalFormatting>
  <conditionalFormatting sqref="A44">
    <cfRule type="containsText" dxfId="785" priority="238" operator="containsText" text="OK">
      <formula>NOT(ISERROR(SEARCH("OK",A44)))</formula>
    </cfRule>
  </conditionalFormatting>
  <conditionalFormatting sqref="A44">
    <cfRule type="containsText" dxfId="784" priority="237" operator="containsText" text="ok">
      <formula>NOT(ISERROR(SEARCH("ok",A44)))</formula>
    </cfRule>
  </conditionalFormatting>
  <conditionalFormatting sqref="A64">
    <cfRule type="containsText" dxfId="783" priority="236" operator="containsText" text="OK">
      <formula>NOT(ISERROR(SEARCH("OK",A64)))</formula>
    </cfRule>
  </conditionalFormatting>
  <conditionalFormatting sqref="A64">
    <cfRule type="containsText" dxfId="782" priority="235" operator="containsText" text="ok">
      <formula>NOT(ISERROR(SEARCH("ok",A64)))</formula>
    </cfRule>
  </conditionalFormatting>
  <conditionalFormatting sqref="A38">
    <cfRule type="containsText" dxfId="781" priority="234" operator="containsText" text="OK">
      <formula>NOT(ISERROR(SEARCH("OK",A38)))</formula>
    </cfRule>
  </conditionalFormatting>
  <conditionalFormatting sqref="A38">
    <cfRule type="containsText" dxfId="780" priority="233" operator="containsText" text="ok">
      <formula>NOT(ISERROR(SEARCH("ok",A38)))</formula>
    </cfRule>
  </conditionalFormatting>
  <conditionalFormatting sqref="A46">
    <cfRule type="containsText" dxfId="779" priority="232" operator="containsText" text="OK">
      <formula>NOT(ISERROR(SEARCH("OK",A46)))</formula>
    </cfRule>
  </conditionalFormatting>
  <conditionalFormatting sqref="A46">
    <cfRule type="containsText" dxfId="778" priority="231" operator="containsText" text="ok">
      <formula>NOT(ISERROR(SEARCH("ok",A46)))</formula>
    </cfRule>
  </conditionalFormatting>
  <conditionalFormatting sqref="A47">
    <cfRule type="containsText" dxfId="777" priority="230" operator="containsText" text="OK">
      <formula>NOT(ISERROR(SEARCH("OK",A47)))</formula>
    </cfRule>
  </conditionalFormatting>
  <conditionalFormatting sqref="A47">
    <cfRule type="containsText" dxfId="776" priority="229" operator="containsText" text="ok">
      <formula>NOT(ISERROR(SEARCH("ok",A47)))</formula>
    </cfRule>
  </conditionalFormatting>
  <conditionalFormatting sqref="A68">
    <cfRule type="containsText" dxfId="775" priority="228" operator="containsText" text="OK">
      <formula>NOT(ISERROR(SEARCH("OK",A68)))</formula>
    </cfRule>
  </conditionalFormatting>
  <conditionalFormatting sqref="A68">
    <cfRule type="containsText" dxfId="774" priority="227" operator="containsText" text="ok">
      <formula>NOT(ISERROR(SEARCH("ok",A68)))</formula>
    </cfRule>
  </conditionalFormatting>
  <conditionalFormatting sqref="B68">
    <cfRule type="containsText" dxfId="773" priority="226" operator="containsText" text="OK">
      <formula>NOT(ISERROR(SEARCH("OK",B68)))</formula>
    </cfRule>
  </conditionalFormatting>
  <conditionalFormatting sqref="B68">
    <cfRule type="containsText" dxfId="772" priority="225" operator="containsText" text="ok">
      <formula>NOT(ISERROR(SEARCH("ok",B68)))</formula>
    </cfRule>
  </conditionalFormatting>
  <conditionalFormatting sqref="B66">
    <cfRule type="containsText" dxfId="771" priority="222" operator="containsText" text="OK">
      <formula>NOT(ISERROR(SEARCH("OK",B66)))</formula>
    </cfRule>
  </conditionalFormatting>
  <conditionalFormatting sqref="B66">
    <cfRule type="containsText" dxfId="770" priority="221" operator="containsText" text="ok">
      <formula>NOT(ISERROR(SEARCH("ok",B66)))</formula>
    </cfRule>
  </conditionalFormatting>
  <conditionalFormatting sqref="B65">
    <cfRule type="containsText" dxfId="769" priority="218" operator="containsText" text="OK">
      <formula>NOT(ISERROR(SEARCH("OK",B65)))</formula>
    </cfRule>
  </conditionalFormatting>
  <conditionalFormatting sqref="B65">
    <cfRule type="containsText" dxfId="768" priority="217" operator="containsText" text="ok">
      <formula>NOT(ISERROR(SEARCH("ok",B65)))</formula>
    </cfRule>
  </conditionalFormatting>
  <conditionalFormatting sqref="A65">
    <cfRule type="containsText" dxfId="767" priority="220" operator="containsText" text="OK">
      <formula>NOT(ISERROR(SEARCH("OK",A65)))</formula>
    </cfRule>
  </conditionalFormatting>
  <conditionalFormatting sqref="A65">
    <cfRule type="containsText" dxfId="766" priority="219" operator="containsText" text="ok">
      <formula>NOT(ISERROR(SEARCH("ok",A65)))</formula>
    </cfRule>
  </conditionalFormatting>
  <conditionalFormatting sqref="A67">
    <cfRule type="containsText" dxfId="765" priority="216" operator="containsText" text="OK">
      <formula>NOT(ISERROR(SEARCH("OK",A67)))</formula>
    </cfRule>
  </conditionalFormatting>
  <conditionalFormatting sqref="A67">
    <cfRule type="containsText" dxfId="764" priority="215" operator="containsText" text="ok">
      <formula>NOT(ISERROR(SEARCH("ok",A67)))</formula>
    </cfRule>
  </conditionalFormatting>
  <conditionalFormatting sqref="B67">
    <cfRule type="containsText" dxfId="763" priority="214" operator="containsText" text="OK">
      <formula>NOT(ISERROR(SEARCH("OK",B67)))</formula>
    </cfRule>
  </conditionalFormatting>
  <conditionalFormatting sqref="B67">
    <cfRule type="containsText" dxfId="762" priority="213" operator="containsText" text="ok">
      <formula>NOT(ISERROR(SEARCH("ok",B67)))</formula>
    </cfRule>
  </conditionalFormatting>
  <conditionalFormatting sqref="B70">
    <cfRule type="containsText" dxfId="761" priority="212" operator="containsText" text="OK">
      <formula>NOT(ISERROR(SEARCH("OK",B70)))</formula>
    </cfRule>
  </conditionalFormatting>
  <conditionalFormatting sqref="B70">
    <cfRule type="containsText" dxfId="760" priority="211" operator="containsText" text="ok">
      <formula>NOT(ISERROR(SEARCH("ok",B70)))</formula>
    </cfRule>
  </conditionalFormatting>
  <conditionalFormatting sqref="A70">
    <cfRule type="containsText" dxfId="759" priority="210" operator="containsText" text="OK">
      <formula>NOT(ISERROR(SEARCH("OK",A70)))</formula>
    </cfRule>
  </conditionalFormatting>
  <conditionalFormatting sqref="A70">
    <cfRule type="containsText" dxfId="758" priority="209" operator="containsText" text="ok">
      <formula>NOT(ISERROR(SEARCH("ok",A70)))</formula>
    </cfRule>
  </conditionalFormatting>
  <conditionalFormatting sqref="A71">
    <cfRule type="containsText" dxfId="757" priority="208" operator="containsText" text="OK">
      <formula>NOT(ISERROR(SEARCH("OK",A71)))</formula>
    </cfRule>
  </conditionalFormatting>
  <conditionalFormatting sqref="A71">
    <cfRule type="containsText" dxfId="756" priority="207" operator="containsText" text="ok">
      <formula>NOT(ISERROR(SEARCH("ok",A71)))</formula>
    </cfRule>
  </conditionalFormatting>
  <conditionalFormatting sqref="B71">
    <cfRule type="containsText" dxfId="755" priority="206" operator="containsText" text="OK">
      <formula>NOT(ISERROR(SEARCH("OK",B71)))</formula>
    </cfRule>
  </conditionalFormatting>
  <conditionalFormatting sqref="B71">
    <cfRule type="containsText" dxfId="754" priority="205" operator="containsText" text="ok">
      <formula>NOT(ISERROR(SEARCH("ok",B71)))</formula>
    </cfRule>
  </conditionalFormatting>
  <conditionalFormatting sqref="A71">
    <cfRule type="containsText" dxfId="753" priority="204" operator="containsText" text="OK">
      <formula>NOT(ISERROR(SEARCH("OK",A71)))</formula>
    </cfRule>
  </conditionalFormatting>
  <conditionalFormatting sqref="A71">
    <cfRule type="containsText" dxfId="752" priority="203" operator="containsText" text="ok">
      <formula>NOT(ISERROR(SEARCH("ok",A71)))</formula>
    </cfRule>
  </conditionalFormatting>
  <conditionalFormatting sqref="B71">
    <cfRule type="containsText" dxfId="751" priority="202" operator="containsText" text="OK">
      <formula>NOT(ISERROR(SEARCH("OK",B71)))</formula>
    </cfRule>
  </conditionalFormatting>
  <conditionalFormatting sqref="B71">
    <cfRule type="containsText" dxfId="750" priority="201" operator="containsText" text="ok">
      <formula>NOT(ISERROR(SEARCH("ok",B71)))</formula>
    </cfRule>
  </conditionalFormatting>
  <conditionalFormatting sqref="A72">
    <cfRule type="containsText" dxfId="749" priority="200" operator="containsText" text="OK">
      <formula>NOT(ISERROR(SEARCH("OK",A72)))</formula>
    </cfRule>
  </conditionalFormatting>
  <conditionalFormatting sqref="A72">
    <cfRule type="containsText" dxfId="748" priority="199" operator="containsText" text="ok">
      <formula>NOT(ISERROR(SEARCH("ok",A72)))</formula>
    </cfRule>
  </conditionalFormatting>
  <conditionalFormatting sqref="B72">
    <cfRule type="containsText" dxfId="747" priority="198" operator="containsText" text="OK">
      <formula>NOT(ISERROR(SEARCH("OK",B72)))</formula>
    </cfRule>
  </conditionalFormatting>
  <conditionalFormatting sqref="B72">
    <cfRule type="containsText" dxfId="746" priority="197" operator="containsText" text="ok">
      <formula>NOT(ISERROR(SEARCH("ok",B72)))</formula>
    </cfRule>
  </conditionalFormatting>
  <conditionalFormatting sqref="B73">
    <cfRule type="containsText" dxfId="745" priority="194" operator="containsText" text="OK">
      <formula>NOT(ISERROR(SEARCH("OK",B73)))</formula>
    </cfRule>
  </conditionalFormatting>
  <conditionalFormatting sqref="B73">
    <cfRule type="containsText" dxfId="744" priority="193" operator="containsText" text="ok">
      <formula>NOT(ISERROR(SEARCH("ok",B73)))</formula>
    </cfRule>
  </conditionalFormatting>
  <conditionalFormatting sqref="A73">
    <cfRule type="containsText" dxfId="743" priority="196" operator="containsText" text="OK">
      <formula>NOT(ISERROR(SEARCH("OK",A73)))</formula>
    </cfRule>
  </conditionalFormatting>
  <conditionalFormatting sqref="A73">
    <cfRule type="containsText" dxfId="742" priority="195" operator="containsText" text="ok">
      <formula>NOT(ISERROR(SEARCH("ok",A73)))</formula>
    </cfRule>
  </conditionalFormatting>
  <conditionalFormatting sqref="A73">
    <cfRule type="containsText" dxfId="741" priority="192" operator="containsText" text="OK">
      <formula>NOT(ISERROR(SEARCH("OK",A73)))</formula>
    </cfRule>
  </conditionalFormatting>
  <conditionalFormatting sqref="A73">
    <cfRule type="containsText" dxfId="740" priority="191" operator="containsText" text="ok">
      <formula>NOT(ISERROR(SEARCH("ok",A73)))</formula>
    </cfRule>
  </conditionalFormatting>
  <conditionalFormatting sqref="B73">
    <cfRule type="containsText" dxfId="739" priority="190" operator="containsText" text="OK">
      <formula>NOT(ISERROR(SEARCH("OK",B73)))</formula>
    </cfRule>
  </conditionalFormatting>
  <conditionalFormatting sqref="B73">
    <cfRule type="containsText" dxfId="738" priority="189" operator="containsText" text="ok">
      <formula>NOT(ISERROR(SEARCH("ok",B73)))</formula>
    </cfRule>
  </conditionalFormatting>
  <conditionalFormatting sqref="B72">
    <cfRule type="containsText" dxfId="737" priority="186" operator="containsText" text="OK">
      <formula>NOT(ISERROR(SEARCH("OK",B72)))</formula>
    </cfRule>
  </conditionalFormatting>
  <conditionalFormatting sqref="B72">
    <cfRule type="containsText" dxfId="736" priority="185" operator="containsText" text="ok">
      <formula>NOT(ISERROR(SEARCH("ok",B72)))</formula>
    </cfRule>
  </conditionalFormatting>
  <conditionalFormatting sqref="A72">
    <cfRule type="containsText" dxfId="735" priority="188" operator="containsText" text="OK">
      <formula>NOT(ISERROR(SEARCH("OK",A72)))</formula>
    </cfRule>
  </conditionalFormatting>
  <conditionalFormatting sqref="A72">
    <cfRule type="containsText" dxfId="734" priority="187" operator="containsText" text="ok">
      <formula>NOT(ISERROR(SEARCH("ok",A72)))</formula>
    </cfRule>
  </conditionalFormatting>
  <conditionalFormatting sqref="A32">
    <cfRule type="containsText" dxfId="733" priority="162" operator="containsText" text="OK">
      <formula>NOT(ISERROR(SEARCH("OK",A32)))</formula>
    </cfRule>
  </conditionalFormatting>
  <conditionalFormatting sqref="A32">
    <cfRule type="containsText" dxfId="732" priority="161" operator="containsText" text="ok">
      <formula>NOT(ISERROR(SEARCH("ok",A32)))</formula>
    </cfRule>
  </conditionalFormatting>
  <conditionalFormatting sqref="A33">
    <cfRule type="containsText" dxfId="731" priority="160" operator="containsText" text="OK">
      <formula>NOT(ISERROR(SEARCH("OK",A33)))</formula>
    </cfRule>
  </conditionalFormatting>
  <conditionalFormatting sqref="A33">
    <cfRule type="containsText" dxfId="730" priority="159" operator="containsText" text="ok">
      <formula>NOT(ISERROR(SEARCH("ok",A33)))</formula>
    </cfRule>
  </conditionalFormatting>
  <conditionalFormatting sqref="A34">
    <cfRule type="containsText" dxfId="729" priority="158" operator="containsText" text="OK">
      <formula>NOT(ISERROR(SEARCH("OK",A34)))</formula>
    </cfRule>
  </conditionalFormatting>
  <conditionalFormatting sqref="A34">
    <cfRule type="containsText" dxfId="728" priority="157" operator="containsText" text="ok">
      <formula>NOT(ISERROR(SEARCH("ok",A34)))</formula>
    </cfRule>
  </conditionalFormatting>
  <conditionalFormatting sqref="A35">
    <cfRule type="containsText" dxfId="727" priority="156" operator="containsText" text="OK">
      <formula>NOT(ISERROR(SEARCH("OK",A35)))</formula>
    </cfRule>
  </conditionalFormatting>
  <conditionalFormatting sqref="A35">
    <cfRule type="containsText" dxfId="726" priority="155" operator="containsText" text="ok">
      <formula>NOT(ISERROR(SEARCH("ok",A35)))</formula>
    </cfRule>
  </conditionalFormatting>
  <conditionalFormatting sqref="A36">
    <cfRule type="containsText" dxfId="725" priority="154" operator="containsText" text="OK">
      <formula>NOT(ISERROR(SEARCH("OK",A36)))</formula>
    </cfRule>
  </conditionalFormatting>
  <conditionalFormatting sqref="A36">
    <cfRule type="containsText" dxfId="724" priority="153" operator="containsText" text="ok">
      <formula>NOT(ISERROR(SEARCH("ok",A36)))</formula>
    </cfRule>
  </conditionalFormatting>
  <conditionalFormatting sqref="A37">
    <cfRule type="containsText" dxfId="723" priority="152" operator="containsText" text="OK">
      <formula>NOT(ISERROR(SEARCH("OK",A37)))</formula>
    </cfRule>
  </conditionalFormatting>
  <conditionalFormatting sqref="A37">
    <cfRule type="containsText" dxfId="722" priority="151" operator="containsText" text="ok">
      <formula>NOT(ISERROR(SEARCH("ok",A37)))</formula>
    </cfRule>
  </conditionalFormatting>
  <conditionalFormatting sqref="A31">
    <cfRule type="containsText" dxfId="721" priority="114" operator="containsText" text="OK">
      <formula>NOT(ISERROR(SEARCH("OK",A31)))</formula>
    </cfRule>
  </conditionalFormatting>
  <conditionalFormatting sqref="A31">
    <cfRule type="containsText" dxfId="720" priority="113" operator="containsText" text="ok">
      <formula>NOT(ISERROR(SEARCH("ok",A31)))</formula>
    </cfRule>
  </conditionalFormatting>
  <conditionalFormatting sqref="A30">
    <cfRule type="containsText" dxfId="719" priority="112" operator="containsText" text="OK">
      <formula>NOT(ISERROR(SEARCH("OK",A30)))</formula>
    </cfRule>
  </conditionalFormatting>
  <conditionalFormatting sqref="A30">
    <cfRule type="containsText" dxfId="718" priority="111" operator="containsText" text="ok">
      <formula>NOT(ISERROR(SEARCH("ok",A30)))</formula>
    </cfRule>
  </conditionalFormatting>
  <conditionalFormatting sqref="A31">
    <cfRule type="containsText" dxfId="717" priority="110" operator="containsText" text="OK">
      <formula>NOT(ISERROR(SEARCH("OK",A31)))</formula>
    </cfRule>
  </conditionalFormatting>
  <conditionalFormatting sqref="A31">
    <cfRule type="containsText" dxfId="716" priority="109" operator="containsText" text="ok">
      <formula>NOT(ISERROR(SEARCH("ok",A31)))</formula>
    </cfRule>
  </conditionalFormatting>
  <conditionalFormatting sqref="A32">
    <cfRule type="containsText" dxfId="715" priority="108" operator="containsText" text="OK">
      <formula>NOT(ISERROR(SEARCH("OK",A32)))</formula>
    </cfRule>
  </conditionalFormatting>
  <conditionalFormatting sqref="A32">
    <cfRule type="containsText" dxfId="714" priority="107" operator="containsText" text="ok">
      <formula>NOT(ISERROR(SEARCH("ok",A32)))</formula>
    </cfRule>
  </conditionalFormatting>
  <conditionalFormatting sqref="A29">
    <cfRule type="containsText" dxfId="713" priority="106" operator="containsText" text="OK">
      <formula>NOT(ISERROR(SEARCH("OK",A29)))</formula>
    </cfRule>
  </conditionalFormatting>
  <conditionalFormatting sqref="A29">
    <cfRule type="containsText" dxfId="712" priority="105" operator="containsText" text="ok">
      <formula>NOT(ISERROR(SEARCH("ok",A29)))</formula>
    </cfRule>
  </conditionalFormatting>
  <conditionalFormatting sqref="A31">
    <cfRule type="containsText" dxfId="711" priority="104" operator="containsText" text="OK">
      <formula>NOT(ISERROR(SEARCH("OK",A31)))</formula>
    </cfRule>
  </conditionalFormatting>
  <conditionalFormatting sqref="A31">
    <cfRule type="containsText" dxfId="710" priority="103" operator="containsText" text="ok">
      <formula>NOT(ISERROR(SEARCH("ok",A31)))</formula>
    </cfRule>
  </conditionalFormatting>
  <conditionalFormatting sqref="A33">
    <cfRule type="containsText" dxfId="709" priority="102" operator="containsText" text="OK">
      <formula>NOT(ISERROR(SEARCH("OK",A33)))</formula>
    </cfRule>
  </conditionalFormatting>
  <conditionalFormatting sqref="A33">
    <cfRule type="containsText" dxfId="708" priority="101" operator="containsText" text="ok">
      <formula>NOT(ISERROR(SEARCH("ok",A33)))</formula>
    </cfRule>
  </conditionalFormatting>
  <conditionalFormatting sqref="A34">
    <cfRule type="containsText" dxfId="707" priority="100" operator="containsText" text="OK">
      <formula>NOT(ISERROR(SEARCH("OK",A34)))</formula>
    </cfRule>
  </conditionalFormatting>
  <conditionalFormatting sqref="A34">
    <cfRule type="containsText" dxfId="706" priority="99" operator="containsText" text="ok">
      <formula>NOT(ISERROR(SEARCH("ok",A34)))</formula>
    </cfRule>
  </conditionalFormatting>
  <conditionalFormatting sqref="A32">
    <cfRule type="containsText" dxfId="705" priority="98" operator="containsText" text="OK">
      <formula>NOT(ISERROR(SEARCH("OK",A32)))</formula>
    </cfRule>
  </conditionalFormatting>
  <conditionalFormatting sqref="A32">
    <cfRule type="containsText" dxfId="704" priority="97" operator="containsText" text="ok">
      <formula>NOT(ISERROR(SEARCH("ok",A32)))</formula>
    </cfRule>
  </conditionalFormatting>
  <conditionalFormatting sqref="A31">
    <cfRule type="containsText" dxfId="703" priority="96" operator="containsText" text="OK">
      <formula>NOT(ISERROR(SEARCH("OK",A31)))</formula>
    </cfRule>
  </conditionalFormatting>
  <conditionalFormatting sqref="A31">
    <cfRule type="containsText" dxfId="702" priority="95" operator="containsText" text="ok">
      <formula>NOT(ISERROR(SEARCH("ok",A31)))</formula>
    </cfRule>
  </conditionalFormatting>
  <conditionalFormatting sqref="A32">
    <cfRule type="containsText" dxfId="701" priority="94" operator="containsText" text="OK">
      <formula>NOT(ISERROR(SEARCH("OK",A32)))</formula>
    </cfRule>
  </conditionalFormatting>
  <conditionalFormatting sqref="A32">
    <cfRule type="containsText" dxfId="700" priority="93" operator="containsText" text="ok">
      <formula>NOT(ISERROR(SEARCH("ok",A32)))</formula>
    </cfRule>
  </conditionalFormatting>
  <conditionalFormatting sqref="A33">
    <cfRule type="containsText" dxfId="699" priority="92" operator="containsText" text="OK">
      <formula>NOT(ISERROR(SEARCH("OK",A33)))</formula>
    </cfRule>
  </conditionalFormatting>
  <conditionalFormatting sqref="A33">
    <cfRule type="containsText" dxfId="698" priority="91" operator="containsText" text="ok">
      <formula>NOT(ISERROR(SEARCH("ok",A33)))</formula>
    </cfRule>
  </conditionalFormatting>
  <conditionalFormatting sqref="A61">
    <cfRule type="containsText" dxfId="697" priority="90" operator="containsText" text="OK">
      <formula>NOT(ISERROR(SEARCH("OK",A61)))</formula>
    </cfRule>
  </conditionalFormatting>
  <conditionalFormatting sqref="A61">
    <cfRule type="containsText" dxfId="696" priority="89" operator="containsText" text="ok">
      <formula>NOT(ISERROR(SEARCH("ok",A61)))</formula>
    </cfRule>
  </conditionalFormatting>
  <conditionalFormatting sqref="A62">
    <cfRule type="containsText" dxfId="695" priority="88" operator="containsText" text="OK">
      <formula>NOT(ISERROR(SEARCH("OK",A62)))</formula>
    </cfRule>
  </conditionalFormatting>
  <conditionalFormatting sqref="A62">
    <cfRule type="containsText" dxfId="694" priority="87" operator="containsText" text="ok">
      <formula>NOT(ISERROR(SEARCH("ok",A62)))</formula>
    </cfRule>
  </conditionalFormatting>
  <conditionalFormatting sqref="A63">
    <cfRule type="containsText" dxfId="693" priority="86" operator="containsText" text="OK">
      <formula>NOT(ISERROR(SEARCH("OK",A63)))</formula>
    </cfRule>
  </conditionalFormatting>
  <conditionalFormatting sqref="A63">
    <cfRule type="containsText" dxfId="692" priority="85" operator="containsText" text="ok">
      <formula>NOT(ISERROR(SEARCH("ok",A63)))</formula>
    </cfRule>
  </conditionalFormatting>
  <conditionalFormatting sqref="A66">
    <cfRule type="containsText" dxfId="691" priority="84" operator="containsText" text="OK">
      <formula>NOT(ISERROR(SEARCH("OK",A66)))</formula>
    </cfRule>
  </conditionalFormatting>
  <conditionalFormatting sqref="A66">
    <cfRule type="containsText" dxfId="690" priority="83" operator="containsText" text="ok">
      <formula>NOT(ISERROR(SEARCH("ok",A66)))</formula>
    </cfRule>
  </conditionalFormatting>
  <conditionalFormatting sqref="A66">
    <cfRule type="containsText" dxfId="689" priority="82" operator="containsText" text="OK">
      <formula>NOT(ISERROR(SEARCH("OK",A66)))</formula>
    </cfRule>
  </conditionalFormatting>
  <conditionalFormatting sqref="A66">
    <cfRule type="containsText" dxfId="688" priority="81" operator="containsText" text="ok">
      <formula>NOT(ISERROR(SEARCH("ok",A66)))</formula>
    </cfRule>
  </conditionalFormatting>
  <conditionalFormatting sqref="A15:A20 A4:A8">
    <cfRule type="containsText" dxfId="687" priority="78" operator="containsText" text="OK">
      <formula>NOT(ISERROR(SEARCH("OK",A4)))</formula>
    </cfRule>
  </conditionalFormatting>
  <conditionalFormatting sqref="A15:A20 A4:A8">
    <cfRule type="containsText" dxfId="686" priority="77" operator="containsText" text="ok">
      <formula>NOT(ISERROR(SEARCH("ok",A4)))</formula>
    </cfRule>
  </conditionalFormatting>
  <conditionalFormatting sqref="A15">
    <cfRule type="containsText" dxfId="685" priority="76" operator="containsText" text="OK">
      <formula>NOT(ISERROR(SEARCH("OK",A15)))</formula>
    </cfRule>
  </conditionalFormatting>
  <conditionalFormatting sqref="A15">
    <cfRule type="containsText" dxfId="684" priority="75" operator="containsText" text="ok">
      <formula>NOT(ISERROR(SEARCH("ok",A15)))</formula>
    </cfRule>
  </conditionalFormatting>
  <conditionalFormatting sqref="A9">
    <cfRule type="containsText" dxfId="683" priority="74" operator="containsText" text="OK">
      <formula>NOT(ISERROR(SEARCH("OK",A9)))</formula>
    </cfRule>
  </conditionalFormatting>
  <conditionalFormatting sqref="A9">
    <cfRule type="containsText" dxfId="682" priority="73" operator="containsText" text="ok">
      <formula>NOT(ISERROR(SEARCH("ok",A9)))</formula>
    </cfRule>
  </conditionalFormatting>
  <conditionalFormatting sqref="A10">
    <cfRule type="containsText" dxfId="681" priority="72" operator="containsText" text="OK">
      <formula>NOT(ISERROR(SEARCH("OK",A10)))</formula>
    </cfRule>
  </conditionalFormatting>
  <conditionalFormatting sqref="A10">
    <cfRule type="containsText" dxfId="680" priority="71" operator="containsText" text="ok">
      <formula>NOT(ISERROR(SEARCH("ok",A10)))</formula>
    </cfRule>
  </conditionalFormatting>
  <conditionalFormatting sqref="A11">
    <cfRule type="containsText" dxfId="679" priority="70" operator="containsText" text="OK">
      <formula>NOT(ISERROR(SEARCH("OK",A11)))</formula>
    </cfRule>
  </conditionalFormatting>
  <conditionalFormatting sqref="A11">
    <cfRule type="containsText" dxfId="678" priority="69" operator="containsText" text="ok">
      <formula>NOT(ISERROR(SEARCH("ok",A11)))</formula>
    </cfRule>
  </conditionalFormatting>
  <conditionalFormatting sqref="A12">
    <cfRule type="containsText" dxfId="677" priority="68" operator="containsText" text="OK">
      <formula>NOT(ISERROR(SEARCH("OK",A12)))</formula>
    </cfRule>
  </conditionalFormatting>
  <conditionalFormatting sqref="A12">
    <cfRule type="containsText" dxfId="676" priority="67" operator="containsText" text="ok">
      <formula>NOT(ISERROR(SEARCH("ok",A12)))</formula>
    </cfRule>
  </conditionalFormatting>
  <conditionalFormatting sqref="A13">
    <cfRule type="containsText" dxfId="675" priority="66" operator="containsText" text="OK">
      <formula>NOT(ISERROR(SEARCH("OK",A13)))</formula>
    </cfRule>
  </conditionalFormatting>
  <conditionalFormatting sqref="A13">
    <cfRule type="containsText" dxfId="674" priority="65" operator="containsText" text="ok">
      <formula>NOT(ISERROR(SEARCH("ok",A13)))</formula>
    </cfRule>
  </conditionalFormatting>
  <conditionalFormatting sqref="A14">
    <cfRule type="containsText" dxfId="673" priority="64" operator="containsText" text="OK">
      <formula>NOT(ISERROR(SEARCH("OK",A14)))</formula>
    </cfRule>
  </conditionalFormatting>
  <conditionalFormatting sqref="A14">
    <cfRule type="containsText" dxfId="672" priority="63" operator="containsText" text="ok">
      <formula>NOT(ISERROR(SEARCH("ok",A14)))</formula>
    </cfRule>
  </conditionalFormatting>
  <conditionalFormatting sqref="A8">
    <cfRule type="containsText" dxfId="671" priority="62" operator="containsText" text="OK">
      <formula>NOT(ISERROR(SEARCH("OK",A8)))</formula>
    </cfRule>
  </conditionalFormatting>
  <conditionalFormatting sqref="A8">
    <cfRule type="containsText" dxfId="670" priority="61" operator="containsText" text="ok">
      <formula>NOT(ISERROR(SEARCH("ok",A8)))</formula>
    </cfRule>
  </conditionalFormatting>
  <conditionalFormatting sqref="A7">
    <cfRule type="containsText" dxfId="669" priority="60" operator="containsText" text="OK">
      <formula>NOT(ISERROR(SEARCH("OK",A7)))</formula>
    </cfRule>
  </conditionalFormatting>
  <conditionalFormatting sqref="A7">
    <cfRule type="containsText" dxfId="668" priority="59" operator="containsText" text="ok">
      <formula>NOT(ISERROR(SEARCH("ok",A7)))</formula>
    </cfRule>
  </conditionalFormatting>
  <conditionalFormatting sqref="A8">
    <cfRule type="containsText" dxfId="667" priority="58" operator="containsText" text="OK">
      <formula>NOT(ISERROR(SEARCH("OK",A8)))</formula>
    </cfRule>
  </conditionalFormatting>
  <conditionalFormatting sqref="A8">
    <cfRule type="containsText" dxfId="666" priority="57" operator="containsText" text="ok">
      <formula>NOT(ISERROR(SEARCH("ok",A8)))</formula>
    </cfRule>
  </conditionalFormatting>
  <conditionalFormatting sqref="A9">
    <cfRule type="containsText" dxfId="665" priority="56" operator="containsText" text="OK">
      <formula>NOT(ISERROR(SEARCH("OK",A9)))</formula>
    </cfRule>
  </conditionalFormatting>
  <conditionalFormatting sqref="A9">
    <cfRule type="containsText" dxfId="664" priority="55" operator="containsText" text="ok">
      <formula>NOT(ISERROR(SEARCH("ok",A9)))</formula>
    </cfRule>
  </conditionalFormatting>
  <conditionalFormatting sqref="A6">
    <cfRule type="containsText" dxfId="663" priority="54" operator="containsText" text="OK">
      <formula>NOT(ISERROR(SEARCH("OK",A6)))</formula>
    </cfRule>
  </conditionalFormatting>
  <conditionalFormatting sqref="A6">
    <cfRule type="containsText" dxfId="662" priority="53" operator="containsText" text="ok">
      <formula>NOT(ISERROR(SEARCH("ok",A6)))</formula>
    </cfRule>
  </conditionalFormatting>
  <conditionalFormatting sqref="A8">
    <cfRule type="containsText" dxfId="661" priority="52" operator="containsText" text="OK">
      <formula>NOT(ISERROR(SEARCH("OK",A8)))</formula>
    </cfRule>
  </conditionalFormatting>
  <conditionalFormatting sqref="A8">
    <cfRule type="containsText" dxfId="660" priority="51" operator="containsText" text="ok">
      <formula>NOT(ISERROR(SEARCH("ok",A8)))</formula>
    </cfRule>
  </conditionalFormatting>
  <conditionalFormatting sqref="A10">
    <cfRule type="containsText" dxfId="659" priority="50" operator="containsText" text="OK">
      <formula>NOT(ISERROR(SEARCH("OK",A10)))</formula>
    </cfRule>
  </conditionalFormatting>
  <conditionalFormatting sqref="A10">
    <cfRule type="containsText" dxfId="658" priority="49" operator="containsText" text="ok">
      <formula>NOT(ISERROR(SEARCH("ok",A10)))</formula>
    </cfRule>
  </conditionalFormatting>
  <conditionalFormatting sqref="A11">
    <cfRule type="containsText" dxfId="657" priority="48" operator="containsText" text="OK">
      <formula>NOT(ISERROR(SEARCH("OK",A11)))</formula>
    </cfRule>
  </conditionalFormatting>
  <conditionalFormatting sqref="A11">
    <cfRule type="containsText" dxfId="656" priority="47" operator="containsText" text="ok">
      <formula>NOT(ISERROR(SEARCH("ok",A11)))</formula>
    </cfRule>
  </conditionalFormatting>
  <conditionalFormatting sqref="A9">
    <cfRule type="containsText" dxfId="655" priority="46" operator="containsText" text="OK">
      <formula>NOT(ISERROR(SEARCH("OK",A9)))</formula>
    </cfRule>
  </conditionalFormatting>
  <conditionalFormatting sqref="A9">
    <cfRule type="containsText" dxfId="654" priority="45" operator="containsText" text="ok">
      <formula>NOT(ISERROR(SEARCH("ok",A9)))</formula>
    </cfRule>
  </conditionalFormatting>
  <conditionalFormatting sqref="A8">
    <cfRule type="containsText" dxfId="653" priority="44" operator="containsText" text="OK">
      <formula>NOT(ISERROR(SEARCH("OK",A8)))</formula>
    </cfRule>
  </conditionalFormatting>
  <conditionalFormatting sqref="A8">
    <cfRule type="containsText" dxfId="652" priority="43" operator="containsText" text="ok">
      <formula>NOT(ISERROR(SEARCH("ok",A8)))</formula>
    </cfRule>
  </conditionalFormatting>
  <conditionalFormatting sqref="A9">
    <cfRule type="containsText" dxfId="651" priority="42" operator="containsText" text="OK">
      <formula>NOT(ISERROR(SEARCH("OK",A9)))</formula>
    </cfRule>
  </conditionalFormatting>
  <conditionalFormatting sqref="A9">
    <cfRule type="containsText" dxfId="650" priority="41" operator="containsText" text="ok">
      <formula>NOT(ISERROR(SEARCH("ok",A9)))</formula>
    </cfRule>
  </conditionalFormatting>
  <conditionalFormatting sqref="A10">
    <cfRule type="containsText" dxfId="649" priority="40" operator="containsText" text="OK">
      <formula>NOT(ISERROR(SEARCH("OK",A10)))</formula>
    </cfRule>
  </conditionalFormatting>
  <conditionalFormatting sqref="A10">
    <cfRule type="containsText" dxfId="648" priority="39" operator="containsText" text="ok">
      <formula>NOT(ISERROR(SEARCH("ok",A10)))</formula>
    </cfRule>
  </conditionalFormatting>
  <conditionalFormatting sqref="A16">
    <cfRule type="containsText" dxfId="647" priority="38" operator="containsText" text="OK">
      <formula>NOT(ISERROR(SEARCH("OK",A16)))</formula>
    </cfRule>
  </conditionalFormatting>
  <conditionalFormatting sqref="A16">
    <cfRule type="containsText" dxfId="646" priority="37" operator="containsText" text="ok">
      <formula>NOT(ISERROR(SEARCH("ok",A16)))</formula>
    </cfRule>
  </conditionalFormatting>
  <conditionalFormatting sqref="A10">
    <cfRule type="containsText" dxfId="645" priority="36" operator="containsText" text="OK">
      <formula>NOT(ISERROR(SEARCH("OK",A10)))</formula>
    </cfRule>
  </conditionalFormatting>
  <conditionalFormatting sqref="A10">
    <cfRule type="containsText" dxfId="644" priority="35" operator="containsText" text="ok">
      <formula>NOT(ISERROR(SEARCH("ok",A10)))</formula>
    </cfRule>
  </conditionalFormatting>
  <conditionalFormatting sqref="A11">
    <cfRule type="containsText" dxfId="643" priority="34" operator="containsText" text="OK">
      <formula>NOT(ISERROR(SEARCH("OK",A11)))</formula>
    </cfRule>
  </conditionalFormatting>
  <conditionalFormatting sqref="A11">
    <cfRule type="containsText" dxfId="642" priority="33" operator="containsText" text="ok">
      <formula>NOT(ISERROR(SEARCH("ok",A11)))</formula>
    </cfRule>
  </conditionalFormatting>
  <conditionalFormatting sqref="A12">
    <cfRule type="containsText" dxfId="641" priority="32" operator="containsText" text="OK">
      <formula>NOT(ISERROR(SEARCH("OK",A12)))</formula>
    </cfRule>
  </conditionalFormatting>
  <conditionalFormatting sqref="A12">
    <cfRule type="containsText" dxfId="640" priority="31" operator="containsText" text="ok">
      <formula>NOT(ISERROR(SEARCH("ok",A12)))</formula>
    </cfRule>
  </conditionalFormatting>
  <conditionalFormatting sqref="A13">
    <cfRule type="containsText" dxfId="639" priority="30" operator="containsText" text="OK">
      <formula>NOT(ISERROR(SEARCH("OK",A13)))</formula>
    </cfRule>
  </conditionalFormatting>
  <conditionalFormatting sqref="A13">
    <cfRule type="containsText" dxfId="638" priority="29" operator="containsText" text="ok">
      <formula>NOT(ISERROR(SEARCH("ok",A13)))</formula>
    </cfRule>
  </conditionalFormatting>
  <conditionalFormatting sqref="A14">
    <cfRule type="containsText" dxfId="637" priority="28" operator="containsText" text="OK">
      <formula>NOT(ISERROR(SEARCH("OK",A14)))</formula>
    </cfRule>
  </conditionalFormatting>
  <conditionalFormatting sqref="A14">
    <cfRule type="containsText" dxfId="636" priority="27" operator="containsText" text="ok">
      <formula>NOT(ISERROR(SEARCH("ok",A14)))</formula>
    </cfRule>
  </conditionalFormatting>
  <conditionalFormatting sqref="A15">
    <cfRule type="containsText" dxfId="635" priority="26" operator="containsText" text="OK">
      <formula>NOT(ISERROR(SEARCH("OK",A15)))</formula>
    </cfRule>
  </conditionalFormatting>
  <conditionalFormatting sqref="A15">
    <cfRule type="containsText" dxfId="634" priority="25" operator="containsText" text="ok">
      <formula>NOT(ISERROR(SEARCH("ok",A15)))</formula>
    </cfRule>
  </conditionalFormatting>
  <conditionalFormatting sqref="A9">
    <cfRule type="containsText" dxfId="633" priority="24" operator="containsText" text="OK">
      <formula>NOT(ISERROR(SEARCH("OK",A9)))</formula>
    </cfRule>
  </conditionalFormatting>
  <conditionalFormatting sqref="A9">
    <cfRule type="containsText" dxfId="632" priority="23" operator="containsText" text="ok">
      <formula>NOT(ISERROR(SEARCH("ok",A9)))</formula>
    </cfRule>
  </conditionalFormatting>
  <conditionalFormatting sqref="A8">
    <cfRule type="containsText" dxfId="631" priority="22" operator="containsText" text="OK">
      <formula>NOT(ISERROR(SEARCH("OK",A8)))</formula>
    </cfRule>
  </conditionalFormatting>
  <conditionalFormatting sqref="A8">
    <cfRule type="containsText" dxfId="630" priority="21" operator="containsText" text="ok">
      <formula>NOT(ISERROR(SEARCH("ok",A8)))</formula>
    </cfRule>
  </conditionalFormatting>
  <conditionalFormatting sqref="A9">
    <cfRule type="containsText" dxfId="629" priority="20" operator="containsText" text="OK">
      <formula>NOT(ISERROR(SEARCH("OK",A9)))</formula>
    </cfRule>
  </conditionalFormatting>
  <conditionalFormatting sqref="A9">
    <cfRule type="containsText" dxfId="628" priority="19" operator="containsText" text="ok">
      <formula>NOT(ISERROR(SEARCH("ok",A9)))</formula>
    </cfRule>
  </conditionalFormatting>
  <conditionalFormatting sqref="A10">
    <cfRule type="containsText" dxfId="627" priority="18" operator="containsText" text="OK">
      <formula>NOT(ISERROR(SEARCH("OK",A10)))</formula>
    </cfRule>
  </conditionalFormatting>
  <conditionalFormatting sqref="A10">
    <cfRule type="containsText" dxfId="626" priority="17" operator="containsText" text="ok">
      <formula>NOT(ISERROR(SEARCH("ok",A10)))</formula>
    </cfRule>
  </conditionalFormatting>
  <conditionalFormatting sqref="A7">
    <cfRule type="containsText" dxfId="625" priority="16" operator="containsText" text="OK">
      <formula>NOT(ISERROR(SEARCH("OK",A7)))</formula>
    </cfRule>
  </conditionalFormatting>
  <conditionalFormatting sqref="A7">
    <cfRule type="containsText" dxfId="624" priority="15" operator="containsText" text="ok">
      <formula>NOT(ISERROR(SEARCH("ok",A7)))</formula>
    </cfRule>
  </conditionalFormatting>
  <conditionalFormatting sqref="A9">
    <cfRule type="containsText" dxfId="623" priority="14" operator="containsText" text="OK">
      <formula>NOT(ISERROR(SEARCH("OK",A9)))</formula>
    </cfRule>
  </conditionalFormatting>
  <conditionalFormatting sqref="A9">
    <cfRule type="containsText" dxfId="622" priority="13" operator="containsText" text="ok">
      <formula>NOT(ISERROR(SEARCH("ok",A9)))</formula>
    </cfRule>
  </conditionalFormatting>
  <conditionalFormatting sqref="A11">
    <cfRule type="containsText" dxfId="621" priority="12" operator="containsText" text="OK">
      <formula>NOT(ISERROR(SEARCH("OK",A11)))</formula>
    </cfRule>
  </conditionalFormatting>
  <conditionalFormatting sqref="A11">
    <cfRule type="containsText" dxfId="620" priority="11" operator="containsText" text="ok">
      <formula>NOT(ISERROR(SEARCH("ok",A11)))</formula>
    </cfRule>
  </conditionalFormatting>
  <conditionalFormatting sqref="A12">
    <cfRule type="containsText" dxfId="619" priority="10" operator="containsText" text="OK">
      <formula>NOT(ISERROR(SEARCH("OK",A12)))</formula>
    </cfRule>
  </conditionalFormatting>
  <conditionalFormatting sqref="A12">
    <cfRule type="containsText" dxfId="618" priority="9" operator="containsText" text="ok">
      <formula>NOT(ISERROR(SEARCH("ok",A12)))</formula>
    </cfRule>
  </conditionalFormatting>
  <conditionalFormatting sqref="A10">
    <cfRule type="containsText" dxfId="617" priority="8" operator="containsText" text="OK">
      <formula>NOT(ISERROR(SEARCH("OK",A10)))</formula>
    </cfRule>
  </conditionalFormatting>
  <conditionalFormatting sqref="A10">
    <cfRule type="containsText" dxfId="616" priority="7" operator="containsText" text="ok">
      <formula>NOT(ISERROR(SEARCH("ok",A10)))</formula>
    </cfRule>
  </conditionalFormatting>
  <conditionalFormatting sqref="A9">
    <cfRule type="containsText" dxfId="615" priority="6" operator="containsText" text="OK">
      <formula>NOT(ISERROR(SEARCH("OK",A9)))</formula>
    </cfRule>
  </conditionalFormatting>
  <conditionalFormatting sqref="A9">
    <cfRule type="containsText" dxfId="614" priority="5" operator="containsText" text="ok">
      <formula>NOT(ISERROR(SEARCH("ok",A9)))</formula>
    </cfRule>
  </conditionalFormatting>
  <conditionalFormatting sqref="A10">
    <cfRule type="containsText" dxfId="613" priority="4" operator="containsText" text="OK">
      <formula>NOT(ISERROR(SEARCH("OK",A10)))</formula>
    </cfRule>
  </conditionalFormatting>
  <conditionalFormatting sqref="A10">
    <cfRule type="containsText" dxfId="612" priority="3" operator="containsText" text="ok">
      <formula>NOT(ISERROR(SEARCH("ok",A10)))</formula>
    </cfRule>
  </conditionalFormatting>
  <conditionalFormatting sqref="A11">
    <cfRule type="containsText" dxfId="611" priority="2" operator="containsText" text="OK">
      <formula>NOT(ISERROR(SEARCH("OK",A11)))</formula>
    </cfRule>
  </conditionalFormatting>
  <conditionalFormatting sqref="A11">
    <cfRule type="containsText" dxfId="610" priority="1" operator="containsText" text="ok">
      <formula>NOT(ISERROR(SEARCH("ok",A11)))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33" max="16383" man="1"/>
  </rowBreaks>
  <colBreaks count="1" manualBreakCount="1">
    <brk id="1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48576"/>
  <sheetViews>
    <sheetView zoomScale="86" zoomScaleNormal="86" workbookViewId="0">
      <pane xSplit="3" ySplit="3" topLeftCell="D46" activePane="bottomRight" state="frozen"/>
      <selection activeCell="C83" sqref="C83"/>
      <selection pane="topRight" activeCell="C83" sqref="C83"/>
      <selection pane="bottomLeft" activeCell="C83" sqref="C83"/>
      <selection pane="bottomRight" activeCell="C60" sqref="C60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187" customWidth="1"/>
    <col min="4" max="4" width="14.54296875" style="187" bestFit="1" customWidth="1"/>
    <col min="5" max="5" width="13.1796875" style="187" bestFit="1" customWidth="1"/>
    <col min="6" max="6" width="15.7265625" style="5" bestFit="1" customWidth="1"/>
    <col min="7" max="7" width="15.7265625" style="6" bestFit="1" customWidth="1"/>
    <col min="8" max="8" width="8.81640625" style="187" hidden="1" customWidth="1"/>
    <col min="9" max="9" width="13.26953125" style="187" hidden="1" customWidth="1"/>
    <col min="10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187" hidden="1" customWidth="1"/>
    <col min="21" max="21" width="10.26953125" style="7" hidden="1" customWidth="1"/>
    <col min="22" max="22" width="9.81640625" style="187" hidden="1" customWidth="1"/>
    <col min="23" max="23" width="18.81640625" style="187" hidden="1" customWidth="1"/>
    <col min="24" max="24" width="30.26953125" style="187" customWidth="1"/>
    <col min="25" max="25" width="14.7265625" style="187" bestFit="1" customWidth="1"/>
    <col min="26" max="26" width="5" style="187" bestFit="1" customWidth="1"/>
    <col min="27" max="27" width="14.26953125" style="187" customWidth="1"/>
    <col min="28" max="28" width="14" style="187" bestFit="1" customWidth="1"/>
    <col min="29" max="16384" width="9.1796875" style="187"/>
  </cols>
  <sheetData>
    <row r="1" spans="1:27" x14ac:dyDescent="0.35">
      <c r="A1" s="226" t="s">
        <v>2</v>
      </c>
      <c r="B1" s="192" t="s">
        <v>2</v>
      </c>
      <c r="C1" s="193">
        <v>70</v>
      </c>
      <c r="D1" s="316">
        <f>D102</f>
        <v>190</v>
      </c>
      <c r="E1" s="317"/>
      <c r="F1" s="318">
        <f>AA13</f>
        <v>156160</v>
      </c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30" t="s">
        <v>3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2" t="s">
        <v>16</v>
      </c>
      <c r="X2" s="718" t="s">
        <v>16</v>
      </c>
    </row>
    <row r="3" spans="1:27" ht="29.5" thickBot="1" x14ac:dyDescent="0.4">
      <c r="A3" s="717"/>
      <c r="B3" s="719"/>
      <c r="C3" s="730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2"/>
      <c r="X3" s="718"/>
      <c r="Y3" s="8"/>
    </row>
    <row r="4" spans="1:27" ht="15" customHeight="1" x14ac:dyDescent="0.35">
      <c r="A4" s="245">
        <v>45201</v>
      </c>
      <c r="B4" s="246"/>
      <c r="C4" s="212" t="s">
        <v>349</v>
      </c>
      <c r="D4" s="15"/>
      <c r="E4" s="15">
        <v>3</v>
      </c>
      <c r="F4" s="9">
        <v>820</v>
      </c>
      <c r="G4" s="29">
        <f t="shared" ref="G4:G67" si="0">(F4*D4)+(E4*F4)</f>
        <v>2460</v>
      </c>
      <c r="H4" s="11"/>
      <c r="I4" s="10"/>
      <c r="J4" s="29">
        <f t="shared" ref="J4:J67" si="1">H4*I4</f>
        <v>0</v>
      </c>
      <c r="K4" s="29"/>
      <c r="L4" s="223">
        <f>(J4+G4)-K4</f>
        <v>2460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>IF(O4&gt;0,SUM(O4-(L4+P4))," ")</f>
        <v xml:space="preserve"> </v>
      </c>
      <c r="S4" s="189"/>
      <c r="T4" s="253" t="s">
        <v>1</v>
      </c>
      <c r="U4" s="13">
        <v>0</v>
      </c>
      <c r="V4" s="253" t="s">
        <v>10</v>
      </c>
      <c r="W4" s="253"/>
      <c r="X4" s="14"/>
    </row>
    <row r="5" spans="1:27" ht="15" customHeight="1" x14ac:dyDescent="0.35">
      <c r="A5" s="245">
        <v>45202</v>
      </c>
      <c r="B5" s="246"/>
      <c r="C5" s="212" t="s">
        <v>447</v>
      </c>
      <c r="D5" s="15">
        <v>2</v>
      </c>
      <c r="E5" s="15"/>
      <c r="F5" s="9">
        <v>850</v>
      </c>
      <c r="G5" s="29">
        <f t="shared" si="0"/>
        <v>1700</v>
      </c>
      <c r="H5" s="11"/>
      <c r="I5" s="10"/>
      <c r="J5" s="29">
        <f t="shared" si="1"/>
        <v>0</v>
      </c>
      <c r="K5" s="29"/>
      <c r="L5" s="223">
        <f t="shared" ref="L5:L68" si="2">(J5+G5)-K5</f>
        <v>1700</v>
      </c>
      <c r="M5" s="12"/>
      <c r="N5" s="218" t="str">
        <f t="shared" ref="N5:N61" si="3">IF(M5&gt;0,SUM(L5-M5)," ")</f>
        <v xml:space="preserve"> </v>
      </c>
      <c r="O5" s="189"/>
      <c r="P5" s="189"/>
      <c r="Q5" s="189"/>
      <c r="R5" s="189" t="str">
        <f t="shared" ref="R5:R100" si="4">IF(O5&gt;0,SUM(O5-(L5+P5))," ")</f>
        <v xml:space="preserve"> </v>
      </c>
      <c r="S5" s="189"/>
      <c r="T5" s="253" t="s">
        <v>1</v>
      </c>
      <c r="U5" s="13">
        <v>0</v>
      </c>
      <c r="V5" s="253" t="s">
        <v>10</v>
      </c>
      <c r="W5" s="253"/>
      <c r="X5" s="14"/>
    </row>
    <row r="6" spans="1:27" ht="15" customHeight="1" x14ac:dyDescent="0.35">
      <c r="A6" s="245">
        <v>45202</v>
      </c>
      <c r="B6" s="246"/>
      <c r="C6" s="211" t="s">
        <v>279</v>
      </c>
      <c r="D6" s="15">
        <v>6</v>
      </c>
      <c r="E6" s="15"/>
      <c r="F6" s="9">
        <v>780</v>
      </c>
      <c r="G6" s="29">
        <f t="shared" si="0"/>
        <v>4680</v>
      </c>
      <c r="H6" s="11"/>
      <c r="I6" s="10"/>
      <c r="J6" s="29">
        <f t="shared" si="1"/>
        <v>0</v>
      </c>
      <c r="K6" s="29"/>
      <c r="L6" s="223">
        <f t="shared" si="2"/>
        <v>4680</v>
      </c>
      <c r="M6" s="213"/>
      <c r="N6" s="218" t="str">
        <f t="shared" si="3"/>
        <v xml:space="preserve"> </v>
      </c>
      <c r="O6" s="189"/>
      <c r="P6" s="189"/>
      <c r="Q6" s="189"/>
      <c r="R6" s="189" t="str">
        <f t="shared" si="4"/>
        <v xml:space="preserve"> </v>
      </c>
      <c r="S6" s="189"/>
      <c r="T6" s="253" t="s">
        <v>1</v>
      </c>
      <c r="U6" s="13">
        <v>0</v>
      </c>
      <c r="V6" s="253" t="s">
        <v>10</v>
      </c>
      <c r="W6" s="253"/>
      <c r="X6" s="17"/>
    </row>
    <row r="7" spans="1:27" ht="15" customHeight="1" x14ac:dyDescent="0.35">
      <c r="A7" s="245">
        <v>45203</v>
      </c>
      <c r="B7" s="245"/>
      <c r="C7" s="211" t="s">
        <v>323</v>
      </c>
      <c r="D7" s="15">
        <v>1</v>
      </c>
      <c r="E7" s="15"/>
      <c r="F7" s="9">
        <v>850</v>
      </c>
      <c r="G7" s="29">
        <f t="shared" si="0"/>
        <v>850</v>
      </c>
      <c r="H7" s="11"/>
      <c r="I7" s="10"/>
      <c r="J7" s="29">
        <f t="shared" si="1"/>
        <v>0</v>
      </c>
      <c r="K7" s="29"/>
      <c r="L7" s="223">
        <f t="shared" si="2"/>
        <v>850</v>
      </c>
      <c r="M7" s="12"/>
      <c r="N7" s="218" t="str">
        <f t="shared" si="3"/>
        <v xml:space="preserve"> </v>
      </c>
      <c r="O7" s="189"/>
      <c r="P7" s="189"/>
      <c r="Q7" s="189"/>
      <c r="R7" s="189" t="str">
        <f t="shared" si="4"/>
        <v xml:space="preserve"> </v>
      </c>
      <c r="S7" s="189"/>
      <c r="T7" s="253" t="s">
        <v>1</v>
      </c>
      <c r="U7" s="13">
        <v>0</v>
      </c>
      <c r="V7" s="253" t="s">
        <v>10</v>
      </c>
      <c r="W7" s="253"/>
      <c r="X7" s="16"/>
    </row>
    <row r="8" spans="1:27" ht="15" customHeight="1" x14ac:dyDescent="0.35">
      <c r="A8" s="245">
        <v>45203</v>
      </c>
      <c r="B8" s="245"/>
      <c r="C8" s="211" t="s">
        <v>153</v>
      </c>
      <c r="D8" s="15">
        <v>1</v>
      </c>
      <c r="E8" s="15"/>
      <c r="F8" s="9">
        <v>850</v>
      </c>
      <c r="G8" s="29">
        <f t="shared" si="0"/>
        <v>850</v>
      </c>
      <c r="H8" s="11"/>
      <c r="I8" s="10"/>
      <c r="J8" s="29">
        <f t="shared" si="1"/>
        <v>0</v>
      </c>
      <c r="K8" s="29"/>
      <c r="L8" s="223">
        <f t="shared" si="2"/>
        <v>850</v>
      </c>
      <c r="M8" s="12"/>
      <c r="N8" s="218" t="str">
        <f t="shared" si="3"/>
        <v xml:space="preserve"> </v>
      </c>
      <c r="O8" s="189">
        <v>1400</v>
      </c>
      <c r="P8" s="189"/>
      <c r="Q8" s="189"/>
      <c r="R8" s="189">
        <f t="shared" si="4"/>
        <v>550</v>
      </c>
      <c r="S8" s="189"/>
      <c r="T8" s="253" t="s">
        <v>83</v>
      </c>
      <c r="U8" s="13">
        <v>0</v>
      </c>
      <c r="V8" s="253" t="s">
        <v>10</v>
      </c>
      <c r="W8" s="253" t="s">
        <v>84</v>
      </c>
      <c r="X8" s="16"/>
      <c r="Y8" s="187" t="s">
        <v>0</v>
      </c>
      <c r="Z8" s="187" t="s">
        <v>8</v>
      </c>
      <c r="AA8" s="249">
        <f>G101</f>
        <v>156160</v>
      </c>
    </row>
    <row r="9" spans="1:27" ht="15" customHeight="1" x14ac:dyDescent="0.35">
      <c r="A9" s="245">
        <v>45203</v>
      </c>
      <c r="B9" s="245"/>
      <c r="C9" s="211" t="s">
        <v>321</v>
      </c>
      <c r="D9" s="15">
        <v>3</v>
      </c>
      <c r="E9" s="15"/>
      <c r="F9" s="9">
        <v>850</v>
      </c>
      <c r="G9" s="29">
        <f t="shared" si="0"/>
        <v>2550</v>
      </c>
      <c r="H9" s="11"/>
      <c r="I9" s="10"/>
      <c r="J9" s="29">
        <f t="shared" si="1"/>
        <v>0</v>
      </c>
      <c r="K9" s="29"/>
      <c r="L9" s="223">
        <f t="shared" si="2"/>
        <v>2550</v>
      </c>
      <c r="M9" s="12"/>
      <c r="N9" s="218" t="str">
        <f t="shared" si="3"/>
        <v xml:space="preserve"> </v>
      </c>
      <c r="O9" s="189"/>
      <c r="P9" s="189"/>
      <c r="Q9" s="189"/>
      <c r="R9" s="189" t="str">
        <f t="shared" si="4"/>
        <v xml:space="preserve"> </v>
      </c>
      <c r="S9" s="189"/>
      <c r="T9" s="18" t="s">
        <v>1</v>
      </c>
      <c r="U9" s="13">
        <v>0</v>
      </c>
      <c r="V9" s="253" t="s">
        <v>10</v>
      </c>
      <c r="W9" s="253"/>
      <c r="X9" s="16"/>
      <c r="Y9" s="187">
        <v>720</v>
      </c>
      <c r="AA9" s="191">
        <f>Y9*Z9</f>
        <v>0</v>
      </c>
    </row>
    <row r="10" spans="1:27" ht="15" customHeight="1" x14ac:dyDescent="0.35">
      <c r="A10" s="245">
        <v>45203</v>
      </c>
      <c r="B10" s="245"/>
      <c r="C10" s="212" t="s">
        <v>296</v>
      </c>
      <c r="D10" s="15"/>
      <c r="E10" s="15">
        <v>4</v>
      </c>
      <c r="F10" s="9">
        <v>840</v>
      </c>
      <c r="G10" s="29">
        <f t="shared" si="0"/>
        <v>3360</v>
      </c>
      <c r="H10" s="11"/>
      <c r="I10" s="10"/>
      <c r="J10" s="29">
        <f t="shared" si="1"/>
        <v>0</v>
      </c>
      <c r="K10" s="29"/>
      <c r="L10" s="223">
        <f t="shared" si="2"/>
        <v>3360</v>
      </c>
      <c r="M10" s="12"/>
      <c r="N10" s="218" t="str">
        <f t="shared" si="3"/>
        <v xml:space="preserve"> </v>
      </c>
      <c r="O10" s="189"/>
      <c r="P10" s="189"/>
      <c r="Q10" s="189"/>
      <c r="R10" s="189" t="str">
        <f t="shared" si="4"/>
        <v xml:space="preserve"> </v>
      </c>
      <c r="S10" s="189"/>
      <c r="T10" s="18" t="s">
        <v>1</v>
      </c>
      <c r="U10" s="13">
        <v>0</v>
      </c>
      <c r="V10" s="253" t="s">
        <v>10</v>
      </c>
      <c r="W10" s="253"/>
      <c r="X10" s="16"/>
      <c r="Y10" s="187">
        <v>750</v>
      </c>
      <c r="AA10" s="191">
        <f>Y10*Z10</f>
        <v>0</v>
      </c>
    </row>
    <row r="11" spans="1:27" ht="15" customHeight="1" x14ac:dyDescent="0.35">
      <c r="A11" s="246">
        <v>45204</v>
      </c>
      <c r="B11" s="245"/>
      <c r="C11" s="212" t="s">
        <v>322</v>
      </c>
      <c r="D11" s="15">
        <v>1</v>
      </c>
      <c r="E11" s="15"/>
      <c r="F11" s="9">
        <v>850</v>
      </c>
      <c r="G11" s="29">
        <f t="shared" si="0"/>
        <v>850</v>
      </c>
      <c r="H11" s="11"/>
      <c r="I11" s="10"/>
      <c r="J11" s="29">
        <f t="shared" si="1"/>
        <v>0</v>
      </c>
      <c r="K11" s="29"/>
      <c r="L11" s="223">
        <f t="shared" si="2"/>
        <v>850</v>
      </c>
      <c r="M11" s="213"/>
      <c r="N11" s="218" t="str">
        <f t="shared" si="3"/>
        <v xml:space="preserve"> </v>
      </c>
      <c r="O11" s="189"/>
      <c r="P11" s="189"/>
      <c r="Q11" s="189"/>
      <c r="R11" s="189" t="str">
        <f t="shared" si="4"/>
        <v xml:space="preserve"> </v>
      </c>
      <c r="S11" s="189"/>
      <c r="T11" s="18" t="s">
        <v>1</v>
      </c>
      <c r="U11" s="13">
        <v>0</v>
      </c>
      <c r="V11" s="253" t="s">
        <v>10</v>
      </c>
      <c r="W11" s="253"/>
      <c r="X11" s="16"/>
      <c r="Y11" s="187">
        <v>780</v>
      </c>
      <c r="AA11" s="191">
        <f>Y11*Z11</f>
        <v>0</v>
      </c>
    </row>
    <row r="12" spans="1:27" ht="15" customHeight="1" x14ac:dyDescent="0.35">
      <c r="A12" s="246">
        <v>45204</v>
      </c>
      <c r="B12" s="245"/>
      <c r="C12" s="212" t="s">
        <v>349</v>
      </c>
      <c r="D12" s="15"/>
      <c r="E12" s="15">
        <v>1</v>
      </c>
      <c r="F12" s="9">
        <v>820</v>
      </c>
      <c r="G12" s="29">
        <f t="shared" si="0"/>
        <v>820</v>
      </c>
      <c r="H12" s="11"/>
      <c r="I12" s="10"/>
      <c r="J12" s="29">
        <f t="shared" si="1"/>
        <v>0</v>
      </c>
      <c r="K12" s="29"/>
      <c r="L12" s="223">
        <f t="shared" si="2"/>
        <v>820</v>
      </c>
      <c r="M12" s="12"/>
      <c r="N12" s="218" t="str">
        <f t="shared" si="3"/>
        <v xml:space="preserve"> </v>
      </c>
      <c r="O12" s="189"/>
      <c r="P12" s="189"/>
      <c r="Q12" s="189"/>
      <c r="R12" s="189" t="str">
        <f t="shared" si="4"/>
        <v xml:space="preserve"> </v>
      </c>
      <c r="S12" s="189"/>
      <c r="T12" s="253" t="s">
        <v>1</v>
      </c>
      <c r="U12" s="13">
        <v>0</v>
      </c>
      <c r="V12" s="253" t="s">
        <v>10</v>
      </c>
      <c r="W12" s="253"/>
      <c r="X12" s="17"/>
      <c r="Y12" s="187">
        <v>800</v>
      </c>
      <c r="AA12" s="191">
        <f>Y12*Z12</f>
        <v>0</v>
      </c>
    </row>
    <row r="13" spans="1:27" ht="15" customHeight="1" x14ac:dyDescent="0.35">
      <c r="A13" s="246">
        <v>45204</v>
      </c>
      <c r="B13" s="245"/>
      <c r="C13" s="212" t="s">
        <v>349</v>
      </c>
      <c r="D13" s="15"/>
      <c r="E13" s="15">
        <v>4</v>
      </c>
      <c r="F13" s="9">
        <v>820</v>
      </c>
      <c r="G13" s="29">
        <f t="shared" si="0"/>
        <v>3280</v>
      </c>
      <c r="H13" s="11"/>
      <c r="I13" s="10"/>
      <c r="J13" s="29">
        <f t="shared" si="1"/>
        <v>0</v>
      </c>
      <c r="K13" s="29"/>
      <c r="L13" s="223">
        <f t="shared" si="2"/>
        <v>3280</v>
      </c>
      <c r="M13" s="213"/>
      <c r="N13" s="218" t="str">
        <f t="shared" si="3"/>
        <v xml:space="preserve"> </v>
      </c>
      <c r="O13" s="189">
        <v>440</v>
      </c>
      <c r="P13" s="189"/>
      <c r="Q13" s="189"/>
      <c r="R13" s="189">
        <f t="shared" si="4"/>
        <v>-2840</v>
      </c>
      <c r="S13" s="189">
        <f>P13-Q13</f>
        <v>0</v>
      </c>
      <c r="T13" s="253" t="s">
        <v>1</v>
      </c>
      <c r="U13" s="13">
        <v>30</v>
      </c>
      <c r="V13" s="253" t="s">
        <v>10</v>
      </c>
      <c r="W13" s="253" t="s">
        <v>92</v>
      </c>
      <c r="X13" s="16"/>
      <c r="AA13" s="251">
        <f>AA8-(SUM(AA9:AA12))</f>
        <v>156160</v>
      </c>
    </row>
    <row r="14" spans="1:27" ht="15" customHeight="1" x14ac:dyDescent="0.35">
      <c r="A14" s="246">
        <v>45204</v>
      </c>
      <c r="B14" s="245"/>
      <c r="C14" s="212" t="s">
        <v>330</v>
      </c>
      <c r="D14" s="15"/>
      <c r="E14" s="15">
        <v>10</v>
      </c>
      <c r="F14" s="9">
        <v>820</v>
      </c>
      <c r="G14" s="29">
        <f t="shared" si="0"/>
        <v>8200</v>
      </c>
      <c r="H14" s="11"/>
      <c r="I14" s="10"/>
      <c r="J14" s="29">
        <f t="shared" si="1"/>
        <v>0</v>
      </c>
      <c r="K14" s="29"/>
      <c r="L14" s="223">
        <f t="shared" si="2"/>
        <v>8200</v>
      </c>
      <c r="M14" s="12"/>
      <c r="N14" s="218" t="str">
        <f t="shared" si="3"/>
        <v xml:space="preserve"> </v>
      </c>
      <c r="O14" s="190"/>
      <c r="P14" s="190"/>
      <c r="Q14" s="190"/>
      <c r="R14" s="189" t="str">
        <f t="shared" si="4"/>
        <v xml:space="preserve"> </v>
      </c>
      <c r="S14" s="190"/>
      <c r="T14" s="253"/>
      <c r="U14" s="19"/>
      <c r="V14" s="253"/>
      <c r="W14" s="253"/>
      <c r="X14" s="16"/>
    </row>
    <row r="15" spans="1:27" ht="15" customHeight="1" x14ac:dyDescent="0.35">
      <c r="A15" s="246">
        <v>45205</v>
      </c>
      <c r="B15" s="245"/>
      <c r="C15" s="212" t="s">
        <v>112</v>
      </c>
      <c r="D15" s="15">
        <v>10</v>
      </c>
      <c r="E15" s="15"/>
      <c r="F15" s="9">
        <v>820</v>
      </c>
      <c r="G15" s="29">
        <f t="shared" si="0"/>
        <v>8200</v>
      </c>
      <c r="H15" s="11"/>
      <c r="I15" s="10"/>
      <c r="J15" s="29">
        <f t="shared" si="1"/>
        <v>0</v>
      </c>
      <c r="K15" s="29"/>
      <c r="L15" s="223">
        <f t="shared" si="2"/>
        <v>8200</v>
      </c>
      <c r="M15" s="12"/>
      <c r="N15" s="218" t="str">
        <f t="shared" si="3"/>
        <v xml:space="preserve"> </v>
      </c>
      <c r="O15" s="190"/>
      <c r="P15" s="190"/>
      <c r="Q15" s="190"/>
      <c r="R15" s="189" t="str">
        <f t="shared" si="4"/>
        <v xml:space="preserve"> </v>
      </c>
      <c r="S15" s="190"/>
      <c r="T15" s="253"/>
      <c r="U15" s="19"/>
      <c r="V15" s="253"/>
      <c r="W15" s="253"/>
      <c r="X15" s="16"/>
    </row>
    <row r="16" spans="1:27" ht="15" customHeight="1" x14ac:dyDescent="0.35">
      <c r="A16" s="246">
        <v>45205</v>
      </c>
      <c r="B16" s="245"/>
      <c r="C16" s="212" t="s">
        <v>325</v>
      </c>
      <c r="D16" s="15">
        <v>1</v>
      </c>
      <c r="E16" s="15"/>
      <c r="F16" s="9">
        <v>850</v>
      </c>
      <c r="G16" s="29">
        <f t="shared" si="0"/>
        <v>850</v>
      </c>
      <c r="H16" s="11"/>
      <c r="I16" s="10"/>
      <c r="J16" s="29">
        <f t="shared" si="1"/>
        <v>0</v>
      </c>
      <c r="K16" s="29"/>
      <c r="L16" s="223">
        <f t="shared" si="2"/>
        <v>850</v>
      </c>
      <c r="M16" s="12"/>
      <c r="N16" s="218" t="str">
        <f t="shared" si="3"/>
        <v xml:space="preserve"> </v>
      </c>
      <c r="O16" s="189"/>
      <c r="P16" s="189"/>
      <c r="Q16" s="189"/>
      <c r="R16" s="189" t="str">
        <f t="shared" si="4"/>
        <v xml:space="preserve"> </v>
      </c>
      <c r="S16" s="189"/>
      <c r="T16" s="253"/>
      <c r="U16" s="13"/>
      <c r="V16" s="253"/>
      <c r="W16" s="253"/>
      <c r="X16" s="16"/>
    </row>
    <row r="17" spans="1:24" ht="15" customHeight="1" x14ac:dyDescent="0.35">
      <c r="A17" s="246">
        <v>45208</v>
      </c>
      <c r="B17" s="245"/>
      <c r="C17" s="212" t="s">
        <v>428</v>
      </c>
      <c r="D17" s="15">
        <v>3</v>
      </c>
      <c r="E17" s="15"/>
      <c r="F17" s="9">
        <v>800</v>
      </c>
      <c r="G17" s="29">
        <f t="shared" si="0"/>
        <v>2400</v>
      </c>
      <c r="H17" s="11"/>
      <c r="I17" s="10"/>
      <c r="J17" s="29">
        <f t="shared" si="1"/>
        <v>0</v>
      </c>
      <c r="K17" s="29"/>
      <c r="L17" s="223">
        <f t="shared" si="2"/>
        <v>2400</v>
      </c>
      <c r="M17" s="223"/>
      <c r="N17" s="218" t="str">
        <f t="shared" si="3"/>
        <v xml:space="preserve"> </v>
      </c>
      <c r="O17" s="189"/>
      <c r="P17" s="189"/>
      <c r="Q17" s="189"/>
      <c r="R17" s="189" t="str">
        <f t="shared" si="4"/>
        <v xml:space="preserve"> </v>
      </c>
      <c r="S17" s="189"/>
      <c r="T17" s="253"/>
      <c r="U17" s="13"/>
      <c r="V17" s="253"/>
      <c r="W17" s="253"/>
      <c r="X17" s="16"/>
    </row>
    <row r="18" spans="1:24" ht="15" customHeight="1" x14ac:dyDescent="0.35">
      <c r="A18" s="245">
        <v>45208</v>
      </c>
      <c r="B18" s="245"/>
      <c r="C18" s="212" t="s">
        <v>322</v>
      </c>
      <c r="D18" s="15">
        <v>2</v>
      </c>
      <c r="E18" s="15"/>
      <c r="F18" s="9">
        <v>850</v>
      </c>
      <c r="G18" s="29">
        <f t="shared" si="0"/>
        <v>1700</v>
      </c>
      <c r="H18" s="11"/>
      <c r="I18" s="10"/>
      <c r="J18" s="29">
        <f t="shared" si="1"/>
        <v>0</v>
      </c>
      <c r="K18" s="29"/>
      <c r="L18" s="223">
        <f t="shared" si="2"/>
        <v>1700</v>
      </c>
      <c r="M18" s="213"/>
      <c r="N18" s="218" t="str">
        <f t="shared" si="3"/>
        <v xml:space="preserve"> </v>
      </c>
      <c r="O18" s="189"/>
      <c r="P18" s="189"/>
      <c r="Q18" s="189"/>
      <c r="R18" s="189" t="str">
        <f t="shared" si="4"/>
        <v xml:space="preserve"> </v>
      </c>
      <c r="S18" s="189"/>
      <c r="T18" s="253"/>
      <c r="U18" s="13"/>
      <c r="V18" s="253"/>
      <c r="W18" s="253"/>
      <c r="X18" s="16"/>
    </row>
    <row r="19" spans="1:24" ht="15" customHeight="1" x14ac:dyDescent="0.35">
      <c r="A19" s="245">
        <v>45208</v>
      </c>
      <c r="B19" s="245"/>
      <c r="C19" s="212" t="s">
        <v>279</v>
      </c>
      <c r="D19" s="15"/>
      <c r="E19" s="15">
        <v>6</v>
      </c>
      <c r="F19" s="9">
        <v>780</v>
      </c>
      <c r="G19" s="29">
        <f t="shared" si="0"/>
        <v>4680</v>
      </c>
      <c r="H19" s="11"/>
      <c r="I19" s="10"/>
      <c r="J19" s="29">
        <f t="shared" si="1"/>
        <v>0</v>
      </c>
      <c r="K19" s="29"/>
      <c r="L19" s="223">
        <f t="shared" si="2"/>
        <v>4680</v>
      </c>
      <c r="M19" s="223"/>
      <c r="N19" s="218" t="str">
        <f t="shared" si="3"/>
        <v xml:space="preserve"> </v>
      </c>
      <c r="O19" s="189"/>
      <c r="P19" s="189"/>
      <c r="Q19" s="189"/>
      <c r="R19" s="189" t="str">
        <f t="shared" si="4"/>
        <v xml:space="preserve"> </v>
      </c>
      <c r="S19" s="189"/>
      <c r="T19" s="253"/>
      <c r="U19" s="13"/>
      <c r="V19" s="253"/>
      <c r="W19" s="253"/>
      <c r="X19" s="16"/>
    </row>
    <row r="20" spans="1:24" ht="15" customHeight="1" x14ac:dyDescent="0.35">
      <c r="A20" s="245">
        <v>45208</v>
      </c>
      <c r="B20" s="245"/>
      <c r="C20" s="212" t="s">
        <v>296</v>
      </c>
      <c r="D20" s="15"/>
      <c r="E20" s="15">
        <v>4</v>
      </c>
      <c r="F20" s="9">
        <v>840</v>
      </c>
      <c r="G20" s="29">
        <f t="shared" si="0"/>
        <v>3360</v>
      </c>
      <c r="H20" s="11"/>
      <c r="I20" s="10"/>
      <c r="J20" s="29">
        <f t="shared" si="1"/>
        <v>0</v>
      </c>
      <c r="K20" s="29"/>
      <c r="L20" s="223">
        <f t="shared" si="2"/>
        <v>3360</v>
      </c>
      <c r="M20" s="12"/>
      <c r="N20" s="218" t="str">
        <f t="shared" si="3"/>
        <v xml:space="preserve"> </v>
      </c>
      <c r="O20" s="189"/>
      <c r="P20" s="189"/>
      <c r="Q20" s="189"/>
      <c r="R20" s="189" t="str">
        <f t="shared" si="4"/>
        <v xml:space="preserve"> </v>
      </c>
      <c r="S20" s="189"/>
      <c r="T20" s="253"/>
      <c r="U20" s="13"/>
      <c r="V20" s="253"/>
      <c r="W20" s="253"/>
      <c r="X20" s="16"/>
    </row>
    <row r="21" spans="1:24" ht="15" customHeight="1" x14ac:dyDescent="0.35">
      <c r="A21" s="245">
        <v>45209</v>
      </c>
      <c r="B21" s="245"/>
      <c r="C21" s="212" t="s">
        <v>346</v>
      </c>
      <c r="D21" s="15">
        <v>1</v>
      </c>
      <c r="E21" s="15"/>
      <c r="F21" s="9">
        <v>850</v>
      </c>
      <c r="G21" s="29">
        <f t="shared" si="0"/>
        <v>850</v>
      </c>
      <c r="H21" s="11"/>
      <c r="I21" s="10"/>
      <c r="J21" s="29">
        <f t="shared" si="1"/>
        <v>0</v>
      </c>
      <c r="K21" s="29"/>
      <c r="L21" s="223">
        <f t="shared" si="2"/>
        <v>850</v>
      </c>
      <c r="M21" s="12"/>
      <c r="N21" s="218" t="str">
        <f t="shared" si="3"/>
        <v xml:space="preserve"> </v>
      </c>
      <c r="O21" s="189"/>
      <c r="P21" s="189"/>
      <c r="Q21" s="189"/>
      <c r="R21" s="189" t="str">
        <f t="shared" si="4"/>
        <v xml:space="preserve"> </v>
      </c>
      <c r="S21" s="189"/>
      <c r="T21" s="253"/>
      <c r="U21" s="13"/>
      <c r="V21" s="253"/>
      <c r="W21" s="253"/>
      <c r="X21" s="16"/>
    </row>
    <row r="22" spans="1:24" ht="15" customHeight="1" x14ac:dyDescent="0.35">
      <c r="A22" s="245">
        <v>45209</v>
      </c>
      <c r="B22" s="245"/>
      <c r="C22" s="212" t="s">
        <v>338</v>
      </c>
      <c r="D22" s="15">
        <v>1</v>
      </c>
      <c r="E22" s="15"/>
      <c r="F22" s="9">
        <v>820</v>
      </c>
      <c r="G22" s="29">
        <f t="shared" si="0"/>
        <v>820</v>
      </c>
      <c r="H22" s="11"/>
      <c r="I22" s="10"/>
      <c r="J22" s="29">
        <f t="shared" si="1"/>
        <v>0</v>
      </c>
      <c r="K22" s="29"/>
      <c r="L22" s="223">
        <f t="shared" si="2"/>
        <v>820</v>
      </c>
      <c r="M22" s="12"/>
      <c r="N22" s="218" t="str">
        <f t="shared" si="3"/>
        <v xml:space="preserve"> </v>
      </c>
      <c r="O22" s="189"/>
      <c r="P22" s="189"/>
      <c r="Q22" s="189"/>
      <c r="R22" s="189" t="str">
        <f t="shared" si="4"/>
        <v xml:space="preserve"> </v>
      </c>
      <c r="S22" s="189"/>
      <c r="T22" s="253"/>
      <c r="U22" s="13"/>
      <c r="V22" s="253"/>
      <c r="W22" s="253"/>
      <c r="X22" s="16"/>
    </row>
    <row r="23" spans="1:24" ht="15" customHeight="1" x14ac:dyDescent="0.35">
      <c r="A23" s="245">
        <v>45209</v>
      </c>
      <c r="B23" s="245"/>
      <c r="C23" s="212" t="s">
        <v>442</v>
      </c>
      <c r="D23" s="15">
        <v>1</v>
      </c>
      <c r="E23" s="15"/>
      <c r="F23" s="9">
        <v>850</v>
      </c>
      <c r="G23" s="29">
        <f t="shared" si="0"/>
        <v>850</v>
      </c>
      <c r="H23" s="11"/>
      <c r="I23" s="10"/>
      <c r="J23" s="29">
        <f t="shared" si="1"/>
        <v>0</v>
      </c>
      <c r="K23" s="29"/>
      <c r="L23" s="223">
        <f t="shared" si="2"/>
        <v>850</v>
      </c>
      <c r="M23" s="12"/>
      <c r="N23" s="218" t="str">
        <f t="shared" si="3"/>
        <v xml:space="preserve"> </v>
      </c>
      <c r="O23" s="189"/>
      <c r="P23" s="189"/>
      <c r="Q23" s="189"/>
      <c r="R23" s="189" t="str">
        <f t="shared" si="4"/>
        <v xml:space="preserve"> </v>
      </c>
      <c r="S23" s="189"/>
      <c r="T23" s="253"/>
      <c r="U23" s="13"/>
      <c r="V23" s="253"/>
      <c r="W23" s="253"/>
      <c r="X23" s="16"/>
    </row>
    <row r="24" spans="1:24" ht="15" customHeight="1" x14ac:dyDescent="0.35">
      <c r="A24" s="245">
        <v>45209</v>
      </c>
      <c r="B24" s="250"/>
      <c r="C24" s="212" t="s">
        <v>323</v>
      </c>
      <c r="D24" s="15">
        <v>1</v>
      </c>
      <c r="E24" s="15"/>
      <c r="F24" s="9">
        <v>850</v>
      </c>
      <c r="G24" s="29">
        <f t="shared" si="0"/>
        <v>850</v>
      </c>
      <c r="H24" s="11"/>
      <c r="I24" s="10"/>
      <c r="J24" s="29">
        <f t="shared" si="1"/>
        <v>0</v>
      </c>
      <c r="K24" s="29"/>
      <c r="L24" s="223">
        <f t="shared" si="2"/>
        <v>850</v>
      </c>
      <c r="M24" s="12"/>
      <c r="N24" s="218" t="str">
        <f t="shared" si="3"/>
        <v xml:space="preserve"> </v>
      </c>
      <c r="O24" s="189"/>
      <c r="P24" s="189"/>
      <c r="Q24" s="189"/>
      <c r="R24" s="189" t="str">
        <f t="shared" si="4"/>
        <v xml:space="preserve"> </v>
      </c>
      <c r="S24" s="189"/>
      <c r="T24" s="253"/>
      <c r="U24" s="13"/>
      <c r="V24" s="253"/>
      <c r="W24" s="253"/>
      <c r="X24" s="16"/>
    </row>
    <row r="25" spans="1:24" ht="15" customHeight="1" x14ac:dyDescent="0.35">
      <c r="A25" s="245">
        <v>45210</v>
      </c>
      <c r="B25" s="245"/>
      <c r="C25" s="211" t="s">
        <v>447</v>
      </c>
      <c r="D25" s="15">
        <v>1</v>
      </c>
      <c r="E25" s="15"/>
      <c r="F25" s="9">
        <v>850</v>
      </c>
      <c r="G25" s="29">
        <f t="shared" si="0"/>
        <v>850</v>
      </c>
      <c r="H25" s="11"/>
      <c r="I25" s="10"/>
      <c r="J25" s="29">
        <f t="shared" si="1"/>
        <v>0</v>
      </c>
      <c r="K25" s="29"/>
      <c r="L25" s="223">
        <f t="shared" si="2"/>
        <v>850</v>
      </c>
      <c r="M25" s="12"/>
      <c r="N25" s="218" t="str">
        <f t="shared" si="3"/>
        <v xml:space="preserve"> </v>
      </c>
      <c r="O25" s="189"/>
      <c r="P25" s="189"/>
      <c r="Q25" s="189"/>
      <c r="R25" s="189" t="str">
        <f t="shared" si="4"/>
        <v xml:space="preserve"> </v>
      </c>
      <c r="S25" s="189"/>
      <c r="T25" s="253"/>
      <c r="U25" s="13"/>
      <c r="V25" s="253"/>
      <c r="W25" s="253"/>
      <c r="X25" s="16"/>
    </row>
    <row r="26" spans="1:24" ht="15" customHeight="1" x14ac:dyDescent="0.35">
      <c r="A26" s="245">
        <v>45210</v>
      </c>
      <c r="B26" s="245"/>
      <c r="C26" s="211" t="s">
        <v>321</v>
      </c>
      <c r="D26" s="15">
        <v>3</v>
      </c>
      <c r="E26" s="15"/>
      <c r="F26" s="9">
        <v>850</v>
      </c>
      <c r="G26" s="29">
        <f t="shared" si="0"/>
        <v>2550</v>
      </c>
      <c r="H26" s="11"/>
      <c r="I26" s="10"/>
      <c r="J26" s="29">
        <f t="shared" si="1"/>
        <v>0</v>
      </c>
      <c r="K26" s="29"/>
      <c r="L26" s="223">
        <f t="shared" si="2"/>
        <v>2550</v>
      </c>
      <c r="M26" s="12"/>
      <c r="N26" s="218" t="str">
        <f t="shared" si="3"/>
        <v xml:space="preserve"> </v>
      </c>
      <c r="O26" s="189"/>
      <c r="P26" s="189"/>
      <c r="Q26" s="189"/>
      <c r="R26" s="189" t="str">
        <f t="shared" si="4"/>
        <v xml:space="preserve"> </v>
      </c>
      <c r="S26" s="189"/>
      <c r="T26" s="253"/>
      <c r="U26" s="13"/>
      <c r="V26" s="253"/>
      <c r="W26" s="253"/>
      <c r="X26" s="16"/>
    </row>
    <row r="27" spans="1:24" ht="15" customHeight="1" x14ac:dyDescent="0.35">
      <c r="A27" s="245">
        <v>45210</v>
      </c>
      <c r="B27" s="245"/>
      <c r="C27" s="212" t="s">
        <v>152</v>
      </c>
      <c r="D27" s="15">
        <v>8</v>
      </c>
      <c r="E27" s="15"/>
      <c r="F27" s="9">
        <v>830</v>
      </c>
      <c r="G27" s="29">
        <f t="shared" si="0"/>
        <v>6640</v>
      </c>
      <c r="H27" s="11"/>
      <c r="I27" s="10"/>
      <c r="J27" s="29">
        <f t="shared" si="1"/>
        <v>0</v>
      </c>
      <c r="K27" s="29"/>
      <c r="L27" s="223">
        <f t="shared" si="2"/>
        <v>6640</v>
      </c>
      <c r="M27" s="12"/>
      <c r="N27" s="218" t="str">
        <f t="shared" si="3"/>
        <v xml:space="preserve"> </v>
      </c>
      <c r="O27" s="189"/>
      <c r="P27" s="189"/>
      <c r="Q27" s="189"/>
      <c r="R27" s="189" t="str">
        <f t="shared" si="4"/>
        <v xml:space="preserve"> </v>
      </c>
      <c r="S27" s="189"/>
      <c r="T27" s="253"/>
      <c r="U27" s="13"/>
      <c r="V27" s="253"/>
      <c r="W27" s="253"/>
      <c r="X27" s="16"/>
    </row>
    <row r="28" spans="1:24" ht="15" customHeight="1" x14ac:dyDescent="0.35">
      <c r="A28" s="245">
        <v>45210</v>
      </c>
      <c r="B28" s="245"/>
      <c r="C28" s="212" t="s">
        <v>296</v>
      </c>
      <c r="D28" s="15"/>
      <c r="E28" s="15">
        <v>4</v>
      </c>
      <c r="F28" s="9">
        <v>840</v>
      </c>
      <c r="G28" s="29">
        <f t="shared" si="0"/>
        <v>3360</v>
      </c>
      <c r="H28" s="11"/>
      <c r="I28" s="10"/>
      <c r="J28" s="29">
        <f t="shared" si="1"/>
        <v>0</v>
      </c>
      <c r="K28" s="29"/>
      <c r="L28" s="223">
        <f t="shared" si="2"/>
        <v>3360</v>
      </c>
      <c r="M28" s="12"/>
      <c r="N28" s="218" t="str">
        <f t="shared" si="3"/>
        <v xml:space="preserve"> </v>
      </c>
      <c r="O28" s="189"/>
      <c r="P28" s="189"/>
      <c r="Q28" s="189"/>
      <c r="R28" s="189" t="str">
        <f t="shared" si="4"/>
        <v xml:space="preserve"> </v>
      </c>
      <c r="S28" s="189"/>
      <c r="T28" s="253"/>
      <c r="U28" s="13"/>
      <c r="V28" s="253"/>
      <c r="W28" s="253"/>
      <c r="X28" s="16"/>
    </row>
    <row r="29" spans="1:24" ht="15" customHeight="1" x14ac:dyDescent="0.35">
      <c r="A29" s="245">
        <v>45211</v>
      </c>
      <c r="B29" s="245"/>
      <c r="C29" s="248" t="s">
        <v>279</v>
      </c>
      <c r="D29" s="15"/>
      <c r="E29" s="15">
        <v>10</v>
      </c>
      <c r="F29" s="9">
        <v>780</v>
      </c>
      <c r="G29" s="29">
        <f t="shared" si="0"/>
        <v>7800</v>
      </c>
      <c r="H29" s="11"/>
      <c r="I29" s="10"/>
      <c r="J29" s="29">
        <f t="shared" si="1"/>
        <v>0</v>
      </c>
      <c r="K29" s="29"/>
      <c r="L29" s="223">
        <f t="shared" si="2"/>
        <v>7800</v>
      </c>
      <c r="M29" s="12"/>
      <c r="N29" s="239" t="str">
        <f t="shared" si="3"/>
        <v xml:space="preserve"> </v>
      </c>
      <c r="O29" s="189"/>
      <c r="P29" s="189"/>
      <c r="Q29" s="189"/>
      <c r="R29" s="189" t="str">
        <f t="shared" si="4"/>
        <v xml:space="preserve"> </v>
      </c>
      <c r="S29" s="189"/>
      <c r="T29" s="253"/>
      <c r="U29" s="13"/>
      <c r="V29" s="253"/>
      <c r="W29" s="253"/>
      <c r="X29" s="16"/>
    </row>
    <row r="30" spans="1:24" ht="15" customHeight="1" x14ac:dyDescent="0.35">
      <c r="A30" s="245">
        <v>45212</v>
      </c>
      <c r="B30" s="245"/>
      <c r="C30" s="248" t="s">
        <v>449</v>
      </c>
      <c r="D30" s="15">
        <v>1</v>
      </c>
      <c r="E30" s="15"/>
      <c r="F30" s="9">
        <v>800</v>
      </c>
      <c r="G30" s="29">
        <f t="shared" si="0"/>
        <v>800</v>
      </c>
      <c r="H30" s="11"/>
      <c r="I30" s="10"/>
      <c r="J30" s="29">
        <f t="shared" si="1"/>
        <v>0</v>
      </c>
      <c r="K30" s="29"/>
      <c r="L30" s="223">
        <f t="shared" si="2"/>
        <v>800</v>
      </c>
      <c r="M30" s="207"/>
      <c r="N30" s="218" t="str">
        <f t="shared" si="3"/>
        <v xml:space="preserve"> </v>
      </c>
      <c r="O30" s="189"/>
      <c r="P30" s="189"/>
      <c r="Q30" s="189"/>
      <c r="R30" s="189" t="str">
        <f t="shared" si="4"/>
        <v xml:space="preserve"> </v>
      </c>
      <c r="S30" s="189"/>
      <c r="T30" s="253"/>
      <c r="U30" s="13"/>
      <c r="V30" s="253"/>
      <c r="W30" s="253"/>
      <c r="X30" s="16"/>
    </row>
    <row r="31" spans="1:24" ht="15" customHeight="1" x14ac:dyDescent="0.35">
      <c r="A31" s="245">
        <v>45213</v>
      </c>
      <c r="B31" s="245"/>
      <c r="C31" s="212" t="s">
        <v>112</v>
      </c>
      <c r="D31" s="15">
        <v>10</v>
      </c>
      <c r="E31" s="15"/>
      <c r="F31" s="9">
        <v>820</v>
      </c>
      <c r="G31" s="29">
        <f t="shared" si="0"/>
        <v>8200</v>
      </c>
      <c r="H31" s="11"/>
      <c r="I31" s="10"/>
      <c r="J31" s="29">
        <f t="shared" si="1"/>
        <v>0</v>
      </c>
      <c r="K31" s="29"/>
      <c r="L31" s="223">
        <f t="shared" si="2"/>
        <v>8200</v>
      </c>
      <c r="M31" s="12"/>
      <c r="N31" s="218" t="str">
        <f t="shared" si="3"/>
        <v xml:space="preserve"> </v>
      </c>
      <c r="O31" s="189"/>
      <c r="P31" s="189"/>
      <c r="Q31" s="189"/>
      <c r="R31" s="189" t="str">
        <f t="shared" si="4"/>
        <v xml:space="preserve"> </v>
      </c>
      <c r="S31" s="189"/>
      <c r="T31" s="253"/>
      <c r="U31" s="13"/>
      <c r="V31" s="253"/>
      <c r="W31" s="253"/>
      <c r="X31" s="16"/>
    </row>
    <row r="32" spans="1:24" ht="15" customHeight="1" x14ac:dyDescent="0.35">
      <c r="A32" s="245">
        <v>45213</v>
      </c>
      <c r="B32" s="245"/>
      <c r="C32" s="211" t="s">
        <v>322</v>
      </c>
      <c r="D32" s="15">
        <v>1</v>
      </c>
      <c r="E32" s="15"/>
      <c r="F32" s="9">
        <v>850</v>
      </c>
      <c r="G32" s="29">
        <f t="shared" si="0"/>
        <v>850</v>
      </c>
      <c r="H32" s="11"/>
      <c r="I32" s="10"/>
      <c r="J32" s="29">
        <f t="shared" si="1"/>
        <v>0</v>
      </c>
      <c r="K32" s="29"/>
      <c r="L32" s="223">
        <f t="shared" si="2"/>
        <v>850</v>
      </c>
      <c r="M32" s="213"/>
      <c r="N32" s="218" t="str">
        <f t="shared" si="3"/>
        <v xml:space="preserve"> </v>
      </c>
      <c r="O32" s="189"/>
      <c r="P32" s="189"/>
      <c r="Q32" s="189"/>
      <c r="R32" s="189" t="str">
        <f t="shared" si="4"/>
        <v xml:space="preserve"> </v>
      </c>
      <c r="S32" s="189"/>
      <c r="T32" s="253"/>
      <c r="U32" s="13"/>
      <c r="V32" s="253"/>
      <c r="W32" s="253"/>
      <c r="X32" s="16"/>
    </row>
    <row r="33" spans="1:24" ht="15" customHeight="1" x14ac:dyDescent="0.35">
      <c r="A33" s="245">
        <v>45215</v>
      </c>
      <c r="B33" s="245"/>
      <c r="C33" s="211" t="s">
        <v>280</v>
      </c>
      <c r="D33" s="15"/>
      <c r="E33" s="15">
        <v>2</v>
      </c>
      <c r="F33" s="9">
        <v>830</v>
      </c>
      <c r="G33" s="29">
        <f t="shared" si="0"/>
        <v>1660</v>
      </c>
      <c r="H33" s="11"/>
      <c r="I33" s="10"/>
      <c r="J33" s="29">
        <f t="shared" si="1"/>
        <v>0</v>
      </c>
      <c r="K33" s="29"/>
      <c r="L33" s="223">
        <f t="shared" si="2"/>
        <v>1660</v>
      </c>
      <c r="M33" s="12"/>
      <c r="N33" s="218" t="str">
        <f t="shared" si="3"/>
        <v xml:space="preserve"> </v>
      </c>
      <c r="O33" s="189"/>
      <c r="P33" s="189"/>
      <c r="Q33" s="189"/>
      <c r="R33" s="189" t="str">
        <f t="shared" si="4"/>
        <v xml:space="preserve"> </v>
      </c>
      <c r="S33" s="189"/>
      <c r="T33" s="253"/>
      <c r="U33" s="13"/>
      <c r="V33" s="253"/>
      <c r="W33" s="253"/>
      <c r="X33" s="16"/>
    </row>
    <row r="34" spans="1:24" ht="15" customHeight="1" x14ac:dyDescent="0.35">
      <c r="A34" s="245">
        <v>45216</v>
      </c>
      <c r="B34" s="245"/>
      <c r="C34" s="212" t="s">
        <v>318</v>
      </c>
      <c r="D34" s="15">
        <v>1</v>
      </c>
      <c r="E34" s="15"/>
      <c r="F34" s="9">
        <v>850</v>
      </c>
      <c r="G34" s="29">
        <f t="shared" si="0"/>
        <v>850</v>
      </c>
      <c r="H34" s="11"/>
      <c r="I34" s="10"/>
      <c r="J34" s="29">
        <f t="shared" si="1"/>
        <v>0</v>
      </c>
      <c r="K34" s="29"/>
      <c r="L34" s="223">
        <f t="shared" si="2"/>
        <v>850</v>
      </c>
      <c r="M34" s="12"/>
      <c r="N34" s="218" t="str">
        <f t="shared" si="3"/>
        <v xml:space="preserve"> </v>
      </c>
      <c r="O34" s="189"/>
      <c r="P34" s="189"/>
      <c r="Q34" s="189"/>
      <c r="R34" s="189" t="str">
        <f t="shared" si="4"/>
        <v xml:space="preserve"> </v>
      </c>
      <c r="S34" s="189"/>
      <c r="T34" s="253"/>
      <c r="U34" s="13"/>
      <c r="V34" s="253"/>
      <c r="W34" s="253"/>
      <c r="X34" s="16"/>
    </row>
    <row r="35" spans="1:24" ht="15" customHeight="1" x14ac:dyDescent="0.35">
      <c r="A35" s="245">
        <v>45216</v>
      </c>
      <c r="B35" s="245"/>
      <c r="C35" s="212" t="s">
        <v>447</v>
      </c>
      <c r="D35" s="15">
        <v>1</v>
      </c>
      <c r="E35" s="15"/>
      <c r="F35" s="9">
        <v>850</v>
      </c>
      <c r="G35" s="29">
        <f t="shared" si="0"/>
        <v>850</v>
      </c>
      <c r="H35" s="11"/>
      <c r="I35" s="10"/>
      <c r="J35" s="29">
        <f t="shared" si="1"/>
        <v>0</v>
      </c>
      <c r="K35" s="29"/>
      <c r="L35" s="223">
        <f t="shared" si="2"/>
        <v>850</v>
      </c>
      <c r="M35" s="12"/>
      <c r="N35" s="218" t="str">
        <f t="shared" si="3"/>
        <v xml:space="preserve"> </v>
      </c>
      <c r="O35" s="189"/>
      <c r="P35" s="189"/>
      <c r="Q35" s="189"/>
      <c r="R35" s="189" t="str">
        <f t="shared" si="4"/>
        <v xml:space="preserve"> </v>
      </c>
      <c r="S35" s="189"/>
      <c r="T35" s="253"/>
      <c r="U35" s="13"/>
      <c r="V35" s="253"/>
      <c r="W35" s="253"/>
      <c r="X35" s="16"/>
    </row>
    <row r="36" spans="1:24" ht="15" customHeight="1" x14ac:dyDescent="0.35">
      <c r="A36" s="245">
        <v>45216</v>
      </c>
      <c r="B36" s="246"/>
      <c r="C36" s="211" t="s">
        <v>428</v>
      </c>
      <c r="D36" s="15">
        <v>1</v>
      </c>
      <c r="E36" s="15"/>
      <c r="F36" s="9">
        <v>800</v>
      </c>
      <c r="G36" s="29">
        <f t="shared" si="0"/>
        <v>800</v>
      </c>
      <c r="H36" s="11"/>
      <c r="I36" s="10"/>
      <c r="J36" s="29">
        <f t="shared" si="1"/>
        <v>0</v>
      </c>
      <c r="K36" s="29"/>
      <c r="L36" s="223">
        <f t="shared" si="2"/>
        <v>800</v>
      </c>
      <c r="M36" s="12"/>
      <c r="N36" s="218" t="str">
        <f t="shared" si="3"/>
        <v xml:space="preserve"> </v>
      </c>
      <c r="O36" s="189"/>
      <c r="P36" s="189"/>
      <c r="Q36" s="189"/>
      <c r="R36" s="189" t="str">
        <f t="shared" si="4"/>
        <v xml:space="preserve"> </v>
      </c>
      <c r="S36" s="189"/>
      <c r="T36" s="253"/>
      <c r="U36" s="13"/>
      <c r="V36" s="253"/>
      <c r="W36" s="253"/>
      <c r="X36" s="16"/>
    </row>
    <row r="37" spans="1:24" ht="15" customHeight="1" x14ac:dyDescent="0.35">
      <c r="A37" s="245">
        <v>45216</v>
      </c>
      <c r="B37" s="246"/>
      <c r="C37" s="211" t="s">
        <v>153</v>
      </c>
      <c r="D37" s="15">
        <v>1</v>
      </c>
      <c r="E37" s="15"/>
      <c r="F37" s="9">
        <v>850</v>
      </c>
      <c r="G37" s="29">
        <f t="shared" si="0"/>
        <v>850</v>
      </c>
      <c r="H37" s="11"/>
      <c r="I37" s="10"/>
      <c r="J37" s="29">
        <f t="shared" si="1"/>
        <v>0</v>
      </c>
      <c r="K37" s="29"/>
      <c r="L37" s="223">
        <f t="shared" si="2"/>
        <v>850</v>
      </c>
      <c r="M37" s="12"/>
      <c r="N37" s="218" t="str">
        <f t="shared" si="3"/>
        <v xml:space="preserve"> </v>
      </c>
      <c r="O37" s="189"/>
      <c r="P37" s="189"/>
      <c r="Q37" s="189"/>
      <c r="R37" s="189" t="str">
        <f t="shared" si="4"/>
        <v xml:space="preserve"> </v>
      </c>
      <c r="S37" s="189"/>
      <c r="T37" s="253"/>
      <c r="U37" s="13"/>
      <c r="V37" s="253"/>
      <c r="W37" s="253"/>
      <c r="X37" s="16"/>
    </row>
    <row r="38" spans="1:24" ht="15" customHeight="1" x14ac:dyDescent="0.35">
      <c r="A38" s="245">
        <v>45217</v>
      </c>
      <c r="B38" s="246"/>
      <c r="C38" s="211" t="s">
        <v>321</v>
      </c>
      <c r="D38" s="15">
        <v>3</v>
      </c>
      <c r="E38" s="15"/>
      <c r="F38" s="9">
        <v>850</v>
      </c>
      <c r="G38" s="29">
        <f t="shared" si="0"/>
        <v>2550</v>
      </c>
      <c r="H38" s="11"/>
      <c r="I38" s="10"/>
      <c r="J38" s="29">
        <f t="shared" si="1"/>
        <v>0</v>
      </c>
      <c r="K38" s="29"/>
      <c r="L38" s="223">
        <f t="shared" si="2"/>
        <v>2550</v>
      </c>
      <c r="M38" s="12"/>
      <c r="N38" s="218" t="str">
        <f t="shared" si="3"/>
        <v xml:space="preserve"> </v>
      </c>
      <c r="O38" s="189"/>
      <c r="P38" s="189"/>
      <c r="Q38" s="189"/>
      <c r="R38" s="189" t="str">
        <f t="shared" si="4"/>
        <v xml:space="preserve"> </v>
      </c>
      <c r="S38" s="189"/>
      <c r="T38" s="253"/>
      <c r="U38" s="13"/>
      <c r="V38" s="253"/>
      <c r="W38" s="253"/>
      <c r="X38" s="16"/>
    </row>
    <row r="39" spans="1:24" ht="15" customHeight="1" x14ac:dyDescent="0.35">
      <c r="A39" s="245">
        <v>45217</v>
      </c>
      <c r="B39" s="246"/>
      <c r="C39" s="365" t="s">
        <v>331</v>
      </c>
      <c r="D39" s="15"/>
      <c r="E39" s="15">
        <v>1</v>
      </c>
      <c r="F39" s="9">
        <v>850</v>
      </c>
      <c r="G39" s="29">
        <f t="shared" si="0"/>
        <v>850</v>
      </c>
      <c r="H39" s="11"/>
      <c r="I39" s="10"/>
      <c r="J39" s="29">
        <f t="shared" si="1"/>
        <v>0</v>
      </c>
      <c r="K39" s="29"/>
      <c r="L39" s="223">
        <f t="shared" si="2"/>
        <v>850</v>
      </c>
      <c r="M39" s="12"/>
      <c r="N39" s="218" t="str">
        <f t="shared" si="3"/>
        <v xml:space="preserve"> </v>
      </c>
      <c r="O39" s="189"/>
      <c r="P39" s="189"/>
      <c r="Q39" s="189"/>
      <c r="R39" s="189" t="str">
        <f t="shared" si="4"/>
        <v xml:space="preserve"> </v>
      </c>
      <c r="S39" s="189"/>
      <c r="T39" s="253"/>
      <c r="U39" s="13"/>
      <c r="V39" s="253"/>
      <c r="W39" s="253"/>
      <c r="X39" s="16"/>
    </row>
    <row r="40" spans="1:24" ht="15" customHeight="1" x14ac:dyDescent="0.35">
      <c r="A40" s="245">
        <v>45217</v>
      </c>
      <c r="B40" s="246"/>
      <c r="C40" s="365" t="s">
        <v>319</v>
      </c>
      <c r="D40" s="15"/>
      <c r="E40" s="15">
        <v>2</v>
      </c>
      <c r="F40" s="9">
        <v>830</v>
      </c>
      <c r="G40" s="29">
        <f t="shared" si="0"/>
        <v>1660</v>
      </c>
      <c r="H40" s="11"/>
      <c r="I40" s="10"/>
      <c r="J40" s="29">
        <f t="shared" si="1"/>
        <v>0</v>
      </c>
      <c r="K40" s="29"/>
      <c r="L40" s="223">
        <f t="shared" si="2"/>
        <v>1660</v>
      </c>
      <c r="M40" s="12"/>
      <c r="N40" s="218" t="str">
        <f t="shared" si="3"/>
        <v xml:space="preserve"> </v>
      </c>
      <c r="O40" s="189"/>
      <c r="P40" s="189"/>
      <c r="Q40" s="189"/>
      <c r="R40" s="189" t="str">
        <f t="shared" si="4"/>
        <v xml:space="preserve"> </v>
      </c>
      <c r="S40" s="189"/>
      <c r="T40" s="253"/>
      <c r="U40" s="13"/>
      <c r="V40" s="253"/>
      <c r="W40" s="253"/>
      <c r="X40" s="16"/>
    </row>
    <row r="41" spans="1:24" ht="15" customHeight="1" x14ac:dyDescent="0.35">
      <c r="A41" s="245">
        <v>45217</v>
      </c>
      <c r="B41" s="246"/>
      <c r="C41" s="212" t="s">
        <v>296</v>
      </c>
      <c r="D41" s="15"/>
      <c r="E41" s="15">
        <v>4</v>
      </c>
      <c r="F41" s="9">
        <v>840</v>
      </c>
      <c r="G41" s="29">
        <f t="shared" si="0"/>
        <v>3360</v>
      </c>
      <c r="H41" s="11"/>
      <c r="I41" s="10"/>
      <c r="J41" s="29">
        <f t="shared" si="1"/>
        <v>0</v>
      </c>
      <c r="K41" s="29"/>
      <c r="L41" s="223">
        <f t="shared" si="2"/>
        <v>3360</v>
      </c>
      <c r="M41" s="12"/>
      <c r="N41" s="218" t="str">
        <f t="shared" si="3"/>
        <v xml:space="preserve"> </v>
      </c>
      <c r="O41" s="189"/>
      <c r="P41" s="189"/>
      <c r="Q41" s="189"/>
      <c r="R41" s="189" t="str">
        <f t="shared" si="4"/>
        <v xml:space="preserve"> </v>
      </c>
      <c r="S41" s="189"/>
      <c r="T41" s="253"/>
      <c r="U41" s="13"/>
      <c r="V41" s="253"/>
      <c r="W41" s="253"/>
      <c r="X41" s="16"/>
    </row>
    <row r="42" spans="1:24" ht="15" customHeight="1" x14ac:dyDescent="0.35">
      <c r="A42" s="245"/>
      <c r="B42" s="246"/>
      <c r="C42" s="211" t="s">
        <v>323</v>
      </c>
      <c r="D42" s="15">
        <v>1</v>
      </c>
      <c r="E42" s="15"/>
      <c r="F42" s="9">
        <v>850</v>
      </c>
      <c r="G42" s="29">
        <f t="shared" si="0"/>
        <v>850</v>
      </c>
      <c r="H42" s="11"/>
      <c r="I42" s="10"/>
      <c r="J42" s="29">
        <f t="shared" si="1"/>
        <v>0</v>
      </c>
      <c r="K42" s="29"/>
      <c r="L42" s="223">
        <f t="shared" si="2"/>
        <v>850</v>
      </c>
      <c r="M42" s="12"/>
      <c r="N42" s="218" t="str">
        <f t="shared" si="3"/>
        <v xml:space="preserve"> </v>
      </c>
      <c r="O42" s="189"/>
      <c r="P42" s="189"/>
      <c r="Q42" s="189"/>
      <c r="R42" s="189" t="str">
        <f t="shared" si="4"/>
        <v xml:space="preserve"> </v>
      </c>
      <c r="S42" s="189"/>
      <c r="T42" s="253"/>
      <c r="U42" s="13"/>
      <c r="V42" s="253"/>
      <c r="W42" s="253"/>
      <c r="X42" s="16"/>
    </row>
    <row r="43" spans="1:24" ht="15" customHeight="1" x14ac:dyDescent="0.35">
      <c r="A43" s="245">
        <v>45218</v>
      </c>
      <c r="B43" s="246"/>
      <c r="C43" s="212" t="s">
        <v>447</v>
      </c>
      <c r="D43" s="15">
        <v>1</v>
      </c>
      <c r="E43" s="15"/>
      <c r="F43" s="9">
        <v>850</v>
      </c>
      <c r="G43" s="29">
        <f t="shared" si="0"/>
        <v>850</v>
      </c>
      <c r="H43" s="11"/>
      <c r="I43" s="10"/>
      <c r="J43" s="29">
        <f t="shared" si="1"/>
        <v>0</v>
      </c>
      <c r="K43" s="29"/>
      <c r="L43" s="223">
        <f t="shared" si="2"/>
        <v>850</v>
      </c>
      <c r="M43" s="12"/>
      <c r="N43" s="218" t="str">
        <f t="shared" si="3"/>
        <v xml:space="preserve"> </v>
      </c>
      <c r="O43" s="189"/>
      <c r="P43" s="189"/>
      <c r="Q43" s="189"/>
      <c r="R43" s="189" t="str">
        <f t="shared" si="4"/>
        <v xml:space="preserve"> </v>
      </c>
      <c r="S43" s="189"/>
      <c r="T43" s="253"/>
      <c r="U43" s="13"/>
      <c r="V43" s="253"/>
      <c r="W43" s="253"/>
      <c r="X43" s="16"/>
    </row>
    <row r="44" spans="1:24" ht="15" customHeight="1" x14ac:dyDescent="0.35">
      <c r="A44" s="245">
        <v>45218</v>
      </c>
      <c r="B44" s="246"/>
      <c r="C44" s="211" t="s">
        <v>279</v>
      </c>
      <c r="D44" s="15"/>
      <c r="E44" s="15">
        <v>6</v>
      </c>
      <c r="F44" s="9">
        <v>780</v>
      </c>
      <c r="G44" s="29">
        <f t="shared" si="0"/>
        <v>4680</v>
      </c>
      <c r="H44" s="11"/>
      <c r="I44" s="10"/>
      <c r="J44" s="29">
        <f t="shared" si="1"/>
        <v>0</v>
      </c>
      <c r="K44" s="29"/>
      <c r="L44" s="223">
        <f t="shared" si="2"/>
        <v>4680</v>
      </c>
      <c r="M44" s="213"/>
      <c r="N44" s="218" t="str">
        <f t="shared" si="3"/>
        <v xml:space="preserve"> </v>
      </c>
      <c r="O44" s="189"/>
      <c r="P44" s="189"/>
      <c r="Q44" s="189"/>
      <c r="R44" s="189" t="str">
        <f t="shared" si="4"/>
        <v xml:space="preserve"> </v>
      </c>
      <c r="S44" s="189"/>
      <c r="T44" s="253"/>
      <c r="U44" s="13"/>
      <c r="V44" s="253"/>
      <c r="W44" s="253"/>
      <c r="X44" s="16"/>
    </row>
    <row r="45" spans="1:24" ht="15" customHeight="1" x14ac:dyDescent="0.35">
      <c r="A45" s="245">
        <v>45218</v>
      </c>
      <c r="B45" s="246"/>
      <c r="C45" s="211" t="s">
        <v>330</v>
      </c>
      <c r="D45" s="15"/>
      <c r="E45" s="15">
        <v>6</v>
      </c>
      <c r="F45" s="9">
        <v>820</v>
      </c>
      <c r="G45" s="29">
        <f t="shared" si="0"/>
        <v>4920</v>
      </c>
      <c r="H45" s="11"/>
      <c r="I45" s="10"/>
      <c r="J45" s="29">
        <f t="shared" si="1"/>
        <v>0</v>
      </c>
      <c r="K45" s="29"/>
      <c r="L45" s="223">
        <f t="shared" si="2"/>
        <v>4920</v>
      </c>
      <c r="M45" s="213"/>
      <c r="N45" s="218" t="str">
        <f t="shared" si="3"/>
        <v xml:space="preserve"> </v>
      </c>
      <c r="O45" s="189"/>
      <c r="P45" s="189"/>
      <c r="Q45" s="189"/>
      <c r="R45" s="189" t="str">
        <f t="shared" si="4"/>
        <v xml:space="preserve"> </v>
      </c>
      <c r="S45" s="189"/>
      <c r="T45" s="253"/>
      <c r="U45" s="13"/>
      <c r="V45" s="253"/>
      <c r="W45" s="253"/>
      <c r="X45" s="16"/>
    </row>
    <row r="46" spans="1:24" ht="15" customHeight="1" x14ac:dyDescent="0.35">
      <c r="A46" s="245">
        <v>45218</v>
      </c>
      <c r="B46" s="246"/>
      <c r="C46" s="211" t="s">
        <v>281</v>
      </c>
      <c r="D46" s="15"/>
      <c r="E46" s="15">
        <v>3</v>
      </c>
      <c r="F46" s="9">
        <v>800</v>
      </c>
      <c r="G46" s="29">
        <f t="shared" si="0"/>
        <v>2400</v>
      </c>
      <c r="H46" s="11"/>
      <c r="I46" s="10"/>
      <c r="J46" s="29">
        <f t="shared" si="1"/>
        <v>0</v>
      </c>
      <c r="K46" s="29"/>
      <c r="L46" s="223">
        <f t="shared" si="2"/>
        <v>2400</v>
      </c>
      <c r="M46" s="12"/>
      <c r="N46" s="218" t="str">
        <f>IF(M46&gt;0,SUM(L46-M46)," ")</f>
        <v xml:space="preserve"> </v>
      </c>
      <c r="O46" s="189"/>
      <c r="P46" s="189"/>
      <c r="Q46" s="189"/>
      <c r="R46" s="189" t="str">
        <f t="shared" si="4"/>
        <v xml:space="preserve"> </v>
      </c>
      <c r="S46" s="189"/>
      <c r="T46" s="253"/>
      <c r="U46" s="13"/>
      <c r="V46" s="253"/>
      <c r="W46" s="253"/>
      <c r="X46" s="16"/>
    </row>
    <row r="47" spans="1:24" ht="15" customHeight="1" x14ac:dyDescent="0.35">
      <c r="A47" s="245">
        <v>45218</v>
      </c>
      <c r="B47" s="246"/>
      <c r="C47" s="211" t="s">
        <v>324</v>
      </c>
      <c r="D47" s="15"/>
      <c r="E47" s="15">
        <v>1</v>
      </c>
      <c r="F47" s="9">
        <v>850</v>
      </c>
      <c r="G47" s="29">
        <f t="shared" si="0"/>
        <v>850</v>
      </c>
      <c r="H47" s="11"/>
      <c r="I47" s="10"/>
      <c r="J47" s="29">
        <f t="shared" si="1"/>
        <v>0</v>
      </c>
      <c r="K47" s="29"/>
      <c r="L47" s="223">
        <f t="shared" si="2"/>
        <v>850</v>
      </c>
      <c r="M47" s="12"/>
      <c r="N47" s="218" t="str">
        <f>IF(M47&gt;0,SUM(L47-M47)," ")</f>
        <v xml:space="preserve"> </v>
      </c>
      <c r="O47" s="189"/>
      <c r="P47" s="189"/>
      <c r="Q47" s="189"/>
      <c r="R47" s="189" t="str">
        <f t="shared" si="4"/>
        <v xml:space="preserve"> </v>
      </c>
      <c r="S47" s="189"/>
      <c r="T47" s="253"/>
      <c r="U47" s="13"/>
      <c r="V47" s="253"/>
      <c r="W47" s="253"/>
      <c r="X47" s="16"/>
    </row>
    <row r="48" spans="1:24" ht="15" customHeight="1" x14ac:dyDescent="0.35">
      <c r="A48" s="245">
        <v>45218</v>
      </c>
      <c r="B48" s="246"/>
      <c r="C48" s="211" t="s">
        <v>153</v>
      </c>
      <c r="D48" s="15">
        <v>1</v>
      </c>
      <c r="E48" s="15"/>
      <c r="F48" s="9">
        <v>850</v>
      </c>
      <c r="G48" s="29">
        <f t="shared" si="0"/>
        <v>850</v>
      </c>
      <c r="H48" s="11"/>
      <c r="I48" s="10"/>
      <c r="J48" s="29">
        <f t="shared" si="1"/>
        <v>0</v>
      </c>
      <c r="K48" s="29"/>
      <c r="L48" s="223">
        <f t="shared" si="2"/>
        <v>850</v>
      </c>
      <c r="M48" s="213"/>
      <c r="N48" s="218" t="str">
        <f t="shared" si="3"/>
        <v xml:space="preserve"> </v>
      </c>
      <c r="O48" s="189"/>
      <c r="P48" s="189"/>
      <c r="Q48" s="189"/>
      <c r="R48" s="189" t="str">
        <f t="shared" si="4"/>
        <v xml:space="preserve"> </v>
      </c>
      <c r="S48" s="189"/>
      <c r="T48" s="253"/>
      <c r="U48" s="13"/>
      <c r="V48" s="253"/>
      <c r="W48" s="253"/>
      <c r="X48" s="16"/>
    </row>
    <row r="49" spans="1:24" ht="15" customHeight="1" x14ac:dyDescent="0.35">
      <c r="A49" s="245">
        <v>45219</v>
      </c>
      <c r="B49" s="246"/>
      <c r="C49" s="211" t="s">
        <v>322</v>
      </c>
      <c r="D49" s="15">
        <v>1</v>
      </c>
      <c r="E49" s="15"/>
      <c r="F49" s="9">
        <v>850</v>
      </c>
      <c r="G49" s="29">
        <f t="shared" si="0"/>
        <v>850</v>
      </c>
      <c r="H49" s="11"/>
      <c r="I49" s="10"/>
      <c r="J49" s="29">
        <f t="shared" si="1"/>
        <v>0</v>
      </c>
      <c r="K49" s="29"/>
      <c r="L49" s="223">
        <f t="shared" si="2"/>
        <v>850</v>
      </c>
      <c r="M49" s="12"/>
      <c r="N49" s="218" t="str">
        <f t="shared" si="3"/>
        <v xml:space="preserve"> </v>
      </c>
      <c r="O49" s="189"/>
      <c r="P49" s="189"/>
      <c r="Q49" s="189"/>
      <c r="R49" s="189" t="str">
        <f t="shared" si="4"/>
        <v xml:space="preserve"> </v>
      </c>
      <c r="S49" s="189"/>
      <c r="T49" s="253"/>
      <c r="U49" s="13"/>
      <c r="V49" s="253"/>
      <c r="W49" s="253"/>
      <c r="X49" s="16"/>
    </row>
    <row r="50" spans="1:24" ht="15" customHeight="1" x14ac:dyDescent="0.35">
      <c r="A50" s="245">
        <v>45220</v>
      </c>
      <c r="B50" s="246"/>
      <c r="C50" s="211" t="s">
        <v>339</v>
      </c>
      <c r="D50" s="15">
        <v>2</v>
      </c>
      <c r="E50" s="15"/>
      <c r="F50" s="9">
        <v>820</v>
      </c>
      <c r="G50" s="29">
        <f t="shared" si="0"/>
        <v>1640</v>
      </c>
      <c r="H50" s="11"/>
      <c r="I50" s="10"/>
      <c r="J50" s="29">
        <f t="shared" si="1"/>
        <v>0</v>
      </c>
      <c r="K50" s="29"/>
      <c r="L50" s="223">
        <f t="shared" si="2"/>
        <v>1640</v>
      </c>
      <c r="M50" s="12"/>
      <c r="N50" s="218" t="str">
        <f t="shared" si="3"/>
        <v xml:space="preserve"> </v>
      </c>
      <c r="O50" s="189"/>
      <c r="P50" s="189"/>
      <c r="Q50" s="189"/>
      <c r="R50" s="189" t="str">
        <f t="shared" si="4"/>
        <v xml:space="preserve"> </v>
      </c>
      <c r="S50" s="189"/>
      <c r="T50" s="253"/>
      <c r="U50" s="13"/>
      <c r="V50" s="253"/>
      <c r="W50" s="253"/>
      <c r="X50" s="16"/>
    </row>
    <row r="51" spans="1:24" ht="15" customHeight="1" x14ac:dyDescent="0.35">
      <c r="A51" s="245">
        <v>45222</v>
      </c>
      <c r="B51" s="246"/>
      <c r="C51" s="211" t="s">
        <v>153</v>
      </c>
      <c r="D51" s="15">
        <v>1</v>
      </c>
      <c r="E51" s="15"/>
      <c r="F51" s="9">
        <v>850</v>
      </c>
      <c r="G51" s="29">
        <f t="shared" si="0"/>
        <v>850</v>
      </c>
      <c r="H51" s="11"/>
      <c r="I51" s="10"/>
      <c r="J51" s="29">
        <f t="shared" si="1"/>
        <v>0</v>
      </c>
      <c r="K51" s="29"/>
      <c r="L51" s="223">
        <f t="shared" si="2"/>
        <v>850</v>
      </c>
      <c r="M51" s="213"/>
      <c r="N51" s="218" t="str">
        <f t="shared" si="3"/>
        <v xml:space="preserve"> </v>
      </c>
      <c r="O51" s="189"/>
      <c r="P51" s="189"/>
      <c r="Q51" s="189"/>
      <c r="R51" s="189" t="str">
        <f t="shared" si="4"/>
        <v xml:space="preserve"> </v>
      </c>
      <c r="S51" s="189"/>
      <c r="T51" s="253"/>
      <c r="U51" s="13"/>
      <c r="V51" s="253"/>
      <c r="W51" s="253"/>
      <c r="X51" s="16"/>
    </row>
    <row r="52" spans="1:24" ht="15" customHeight="1" x14ac:dyDescent="0.35">
      <c r="A52" s="245">
        <v>45222</v>
      </c>
      <c r="B52" s="246"/>
      <c r="C52" s="211" t="s">
        <v>296</v>
      </c>
      <c r="D52" s="15"/>
      <c r="E52" s="15">
        <v>4</v>
      </c>
      <c r="F52" s="9">
        <v>840</v>
      </c>
      <c r="G52" s="29">
        <f t="shared" si="0"/>
        <v>3360</v>
      </c>
      <c r="H52" s="11"/>
      <c r="I52" s="10"/>
      <c r="J52" s="29">
        <f t="shared" si="1"/>
        <v>0</v>
      </c>
      <c r="K52" s="29"/>
      <c r="L52" s="223">
        <f t="shared" si="2"/>
        <v>3360</v>
      </c>
      <c r="M52" s="12"/>
      <c r="N52" s="218" t="str">
        <f t="shared" si="3"/>
        <v xml:space="preserve"> </v>
      </c>
      <c r="O52" s="189"/>
      <c r="P52" s="189"/>
      <c r="Q52" s="189"/>
      <c r="R52" s="189" t="str">
        <f t="shared" si="4"/>
        <v xml:space="preserve"> </v>
      </c>
      <c r="S52" s="189"/>
      <c r="T52" s="253"/>
      <c r="U52" s="13"/>
      <c r="V52" s="253"/>
      <c r="W52" s="253"/>
      <c r="X52" s="16"/>
    </row>
    <row r="53" spans="1:24" ht="15" customHeight="1" x14ac:dyDescent="0.35">
      <c r="A53" s="245">
        <v>45222</v>
      </c>
      <c r="B53" s="246"/>
      <c r="C53" s="212" t="s">
        <v>279</v>
      </c>
      <c r="D53" s="15"/>
      <c r="E53" s="15">
        <v>6</v>
      </c>
      <c r="F53" s="9">
        <v>780</v>
      </c>
      <c r="G53" s="29">
        <f t="shared" si="0"/>
        <v>4680</v>
      </c>
      <c r="H53" s="11"/>
      <c r="I53" s="10"/>
      <c r="J53" s="29">
        <f t="shared" si="1"/>
        <v>0</v>
      </c>
      <c r="K53" s="29"/>
      <c r="L53" s="223">
        <f t="shared" si="2"/>
        <v>4680</v>
      </c>
      <c r="M53" s="12"/>
      <c r="N53" s="218" t="str">
        <f t="shared" si="3"/>
        <v xml:space="preserve"> </v>
      </c>
      <c r="O53" s="189"/>
      <c r="P53" s="189"/>
      <c r="Q53" s="189"/>
      <c r="R53" s="189" t="str">
        <f t="shared" si="4"/>
        <v xml:space="preserve"> </v>
      </c>
      <c r="S53" s="189"/>
      <c r="T53" s="253"/>
      <c r="U53" s="13"/>
      <c r="V53" s="253"/>
      <c r="W53" s="253"/>
      <c r="X53" s="16"/>
    </row>
    <row r="54" spans="1:24" ht="15" customHeight="1" x14ac:dyDescent="0.35">
      <c r="A54" s="245">
        <v>45223</v>
      </c>
      <c r="B54" s="246"/>
      <c r="C54" s="211" t="s">
        <v>323</v>
      </c>
      <c r="D54" s="15">
        <v>1</v>
      </c>
      <c r="E54" s="15"/>
      <c r="F54" s="9">
        <v>850</v>
      </c>
      <c r="G54" s="29">
        <f t="shared" si="0"/>
        <v>850</v>
      </c>
      <c r="H54" s="11"/>
      <c r="I54" s="10"/>
      <c r="J54" s="29">
        <f t="shared" si="1"/>
        <v>0</v>
      </c>
      <c r="K54" s="29"/>
      <c r="L54" s="223">
        <f t="shared" si="2"/>
        <v>850</v>
      </c>
      <c r="M54" s="12"/>
      <c r="N54" s="218" t="str">
        <f t="shared" si="3"/>
        <v xml:space="preserve"> </v>
      </c>
      <c r="O54" s="189"/>
      <c r="P54" s="189"/>
      <c r="Q54" s="189"/>
      <c r="R54" s="189" t="str">
        <f t="shared" si="4"/>
        <v xml:space="preserve"> </v>
      </c>
      <c r="S54" s="189"/>
      <c r="T54" s="253"/>
      <c r="U54" s="13"/>
      <c r="V54" s="253"/>
      <c r="W54" s="253"/>
      <c r="X54" s="16"/>
    </row>
    <row r="55" spans="1:24" ht="15" customHeight="1" x14ac:dyDescent="0.35">
      <c r="A55" s="245">
        <v>45224</v>
      </c>
      <c r="B55" s="246"/>
      <c r="C55" s="211" t="s">
        <v>452</v>
      </c>
      <c r="D55" s="15">
        <v>1</v>
      </c>
      <c r="E55" s="15"/>
      <c r="F55" s="9">
        <v>820</v>
      </c>
      <c r="G55" s="29">
        <f t="shared" si="0"/>
        <v>820</v>
      </c>
      <c r="H55" s="11"/>
      <c r="I55" s="10"/>
      <c r="J55" s="29">
        <f t="shared" si="1"/>
        <v>0</v>
      </c>
      <c r="K55" s="29"/>
      <c r="L55" s="223">
        <f t="shared" si="2"/>
        <v>820</v>
      </c>
      <c r="M55" s="12"/>
      <c r="N55" s="218" t="str">
        <f t="shared" si="3"/>
        <v xml:space="preserve"> </v>
      </c>
      <c r="O55" s="189"/>
      <c r="P55" s="189"/>
      <c r="Q55" s="189"/>
      <c r="R55" s="189" t="str">
        <f t="shared" si="4"/>
        <v xml:space="preserve"> </v>
      </c>
      <c r="S55" s="189"/>
      <c r="T55" s="253"/>
      <c r="U55" s="13"/>
      <c r="V55" s="253"/>
      <c r="W55" s="253"/>
      <c r="X55" s="16"/>
    </row>
    <row r="56" spans="1:24" ht="15" customHeight="1" x14ac:dyDescent="0.35">
      <c r="A56" s="245">
        <v>45224</v>
      </c>
      <c r="B56" s="246"/>
      <c r="C56" s="211" t="s">
        <v>322</v>
      </c>
      <c r="D56" s="15">
        <v>2</v>
      </c>
      <c r="E56" s="15"/>
      <c r="F56" s="9">
        <v>850</v>
      </c>
      <c r="G56" s="29">
        <f t="shared" si="0"/>
        <v>1700</v>
      </c>
      <c r="H56" s="11"/>
      <c r="I56" s="10"/>
      <c r="J56" s="29">
        <f t="shared" si="1"/>
        <v>0</v>
      </c>
      <c r="K56" s="29"/>
      <c r="L56" s="223">
        <f t="shared" si="2"/>
        <v>1700</v>
      </c>
      <c r="M56" s="12"/>
      <c r="N56" s="218" t="str">
        <f t="shared" si="3"/>
        <v xml:space="preserve"> </v>
      </c>
      <c r="O56" s="189"/>
      <c r="P56" s="189"/>
      <c r="Q56" s="189"/>
      <c r="R56" s="189" t="str">
        <f t="shared" si="4"/>
        <v xml:space="preserve"> </v>
      </c>
      <c r="S56" s="189"/>
      <c r="T56" s="253"/>
      <c r="U56" s="13"/>
      <c r="V56" s="253"/>
      <c r="W56" s="253"/>
      <c r="X56" s="16"/>
    </row>
    <row r="57" spans="1:24" ht="15" customHeight="1" x14ac:dyDescent="0.35">
      <c r="A57" s="245">
        <v>45224</v>
      </c>
      <c r="B57" s="246"/>
      <c r="C57" s="211" t="s">
        <v>321</v>
      </c>
      <c r="D57" s="15">
        <v>3</v>
      </c>
      <c r="E57" s="15"/>
      <c r="F57" s="9">
        <v>850</v>
      </c>
      <c r="G57" s="29">
        <f t="shared" si="0"/>
        <v>2550</v>
      </c>
      <c r="H57" s="11"/>
      <c r="I57" s="10"/>
      <c r="J57" s="29">
        <f t="shared" si="1"/>
        <v>0</v>
      </c>
      <c r="K57" s="29"/>
      <c r="L57" s="223">
        <f t="shared" si="2"/>
        <v>2550</v>
      </c>
      <c r="M57" s="12"/>
      <c r="N57" s="218" t="str">
        <f t="shared" si="3"/>
        <v xml:space="preserve"> </v>
      </c>
      <c r="O57" s="189"/>
      <c r="P57" s="189"/>
      <c r="Q57" s="189"/>
      <c r="R57" s="189" t="str">
        <f t="shared" si="4"/>
        <v xml:space="preserve"> </v>
      </c>
      <c r="S57" s="189"/>
      <c r="T57" s="253"/>
      <c r="U57" s="13"/>
      <c r="V57" s="253"/>
      <c r="W57" s="253"/>
      <c r="X57" s="16"/>
    </row>
    <row r="58" spans="1:24" ht="15" customHeight="1" x14ac:dyDescent="0.35">
      <c r="A58" s="245">
        <v>45224</v>
      </c>
      <c r="B58" s="246"/>
      <c r="C58" s="211" t="s">
        <v>453</v>
      </c>
      <c r="D58" s="15">
        <v>1</v>
      </c>
      <c r="E58" s="15"/>
      <c r="F58" s="9">
        <v>800</v>
      </c>
      <c r="G58" s="29">
        <f t="shared" si="0"/>
        <v>800</v>
      </c>
      <c r="H58" s="11"/>
      <c r="I58" s="10"/>
      <c r="J58" s="29">
        <f t="shared" si="1"/>
        <v>0</v>
      </c>
      <c r="K58" s="29"/>
      <c r="L58" s="223">
        <f t="shared" si="2"/>
        <v>800</v>
      </c>
      <c r="M58" s="12"/>
      <c r="N58" s="239" t="str">
        <f t="shared" si="3"/>
        <v xml:space="preserve"> </v>
      </c>
      <c r="O58" s="189"/>
      <c r="P58" s="189"/>
      <c r="Q58" s="189"/>
      <c r="R58" s="189" t="str">
        <f t="shared" si="4"/>
        <v xml:space="preserve"> </v>
      </c>
      <c r="S58" s="189"/>
      <c r="T58" s="253"/>
      <c r="U58" s="13"/>
      <c r="V58" s="253"/>
      <c r="W58" s="253"/>
      <c r="X58" s="16"/>
    </row>
    <row r="59" spans="1:24" ht="15" customHeight="1" x14ac:dyDescent="0.35">
      <c r="A59" s="245">
        <v>45224</v>
      </c>
      <c r="B59" s="246"/>
      <c r="C59" s="211" t="s">
        <v>152</v>
      </c>
      <c r="D59" s="15">
        <v>8</v>
      </c>
      <c r="E59" s="15"/>
      <c r="F59" s="9">
        <v>830</v>
      </c>
      <c r="G59" s="29">
        <f t="shared" si="0"/>
        <v>6640</v>
      </c>
      <c r="H59" s="11"/>
      <c r="I59" s="10"/>
      <c r="J59" s="29">
        <f t="shared" si="1"/>
        <v>0</v>
      </c>
      <c r="K59" s="29"/>
      <c r="L59" s="223">
        <f t="shared" si="2"/>
        <v>6640</v>
      </c>
      <c r="M59" s="12"/>
      <c r="N59" s="218" t="str">
        <f t="shared" si="3"/>
        <v xml:space="preserve"> </v>
      </c>
      <c r="O59" s="189"/>
      <c r="P59" s="189"/>
      <c r="Q59" s="189"/>
      <c r="R59" s="189" t="str">
        <f t="shared" si="4"/>
        <v xml:space="preserve"> </v>
      </c>
      <c r="S59" s="189"/>
      <c r="T59" s="253"/>
      <c r="U59" s="13"/>
      <c r="V59" s="253"/>
      <c r="W59" s="253"/>
      <c r="X59" s="16"/>
    </row>
    <row r="60" spans="1:24" ht="15" customHeight="1" x14ac:dyDescent="0.35">
      <c r="A60" s="584">
        <v>45225</v>
      </c>
      <c r="B60" s="246"/>
      <c r="C60" s="211" t="s">
        <v>325</v>
      </c>
      <c r="D60" s="15">
        <v>1</v>
      </c>
      <c r="E60" s="15"/>
      <c r="F60" s="9">
        <v>850</v>
      </c>
      <c r="G60" s="29">
        <f t="shared" si="0"/>
        <v>850</v>
      </c>
      <c r="H60" s="11"/>
      <c r="I60" s="10"/>
      <c r="J60" s="29">
        <f t="shared" si="1"/>
        <v>0</v>
      </c>
      <c r="K60" s="29"/>
      <c r="L60" s="223">
        <f t="shared" si="2"/>
        <v>850</v>
      </c>
      <c r="M60" s="12"/>
      <c r="N60" s="218" t="str">
        <f t="shared" si="3"/>
        <v xml:space="preserve"> </v>
      </c>
      <c r="O60" s="189"/>
      <c r="P60" s="189"/>
      <c r="Q60" s="189"/>
      <c r="R60" s="189" t="str">
        <f>IF(O60&gt;0,SUM(O60-(L60+P60))," ")</f>
        <v xml:space="preserve"> </v>
      </c>
      <c r="S60" s="189"/>
      <c r="T60" s="253"/>
      <c r="U60" s="13"/>
      <c r="V60" s="253"/>
      <c r="W60" s="253"/>
      <c r="X60" s="16"/>
    </row>
    <row r="61" spans="1:24" ht="15" customHeight="1" x14ac:dyDescent="0.35">
      <c r="A61" s="584">
        <v>45225</v>
      </c>
      <c r="B61" s="246"/>
      <c r="C61" s="212" t="s">
        <v>280</v>
      </c>
      <c r="D61" s="15"/>
      <c r="E61" s="15">
        <v>2</v>
      </c>
      <c r="F61" s="9">
        <v>830</v>
      </c>
      <c r="G61" s="29">
        <f t="shared" si="0"/>
        <v>1660</v>
      </c>
      <c r="H61" s="11"/>
      <c r="I61" s="10"/>
      <c r="J61" s="29">
        <f t="shared" si="1"/>
        <v>0</v>
      </c>
      <c r="K61" s="29"/>
      <c r="L61" s="223">
        <f t="shared" si="2"/>
        <v>1660</v>
      </c>
      <c r="M61" s="12"/>
      <c r="N61" s="218" t="str">
        <f t="shared" si="3"/>
        <v xml:space="preserve"> </v>
      </c>
      <c r="O61" s="189"/>
      <c r="P61" s="189"/>
      <c r="Q61" s="189"/>
      <c r="R61" s="189" t="str">
        <f>IF(O61&gt;0,SUM(O61-(L61+P61))," ")</f>
        <v xml:space="preserve"> </v>
      </c>
      <c r="S61" s="189"/>
      <c r="T61" s="253"/>
      <c r="U61" s="13"/>
      <c r="V61" s="253"/>
      <c r="W61" s="253"/>
      <c r="X61" s="16"/>
    </row>
    <row r="62" spans="1:24" ht="15" customHeight="1" x14ac:dyDescent="0.35">
      <c r="A62" s="584">
        <v>45225</v>
      </c>
      <c r="B62" s="246"/>
      <c r="C62" s="211" t="s">
        <v>330</v>
      </c>
      <c r="D62" s="15"/>
      <c r="E62" s="15">
        <v>6</v>
      </c>
      <c r="F62" s="9">
        <v>820</v>
      </c>
      <c r="G62" s="29">
        <f t="shared" si="0"/>
        <v>4920</v>
      </c>
      <c r="H62" s="11"/>
      <c r="I62" s="10"/>
      <c r="J62" s="29">
        <f t="shared" si="1"/>
        <v>0</v>
      </c>
      <c r="K62" s="29"/>
      <c r="L62" s="223">
        <f t="shared" si="2"/>
        <v>4920</v>
      </c>
      <c r="M62" s="213"/>
      <c r="N62" s="218" t="str">
        <f t="shared" ref="N62:N101" si="5">IF(M62&gt;0,SUM(L62-M62)," ")</f>
        <v xml:space="preserve"> </v>
      </c>
      <c r="O62" s="189"/>
      <c r="P62" s="189"/>
      <c r="Q62" s="189"/>
      <c r="R62" s="189" t="str">
        <f t="shared" ref="R62:R97" si="6">IF(O62&gt;0,SUM(O62-(L62+P62))," ")</f>
        <v xml:space="preserve"> </v>
      </c>
      <c r="S62" s="189"/>
      <c r="T62" s="253"/>
      <c r="U62" s="13"/>
      <c r="V62" s="253"/>
      <c r="W62" s="253"/>
      <c r="X62" s="16"/>
    </row>
    <row r="63" spans="1:24" ht="15" customHeight="1" x14ac:dyDescent="0.35">
      <c r="A63" s="583">
        <v>45225</v>
      </c>
      <c r="B63" s="246"/>
      <c r="C63" s="211" t="s">
        <v>328</v>
      </c>
      <c r="D63" s="15"/>
      <c r="E63" s="15">
        <v>4</v>
      </c>
      <c r="F63" s="9">
        <v>800</v>
      </c>
      <c r="G63" s="29">
        <f t="shared" si="0"/>
        <v>3200</v>
      </c>
      <c r="H63" s="11"/>
      <c r="I63" s="10"/>
      <c r="J63" s="29">
        <f t="shared" si="1"/>
        <v>0</v>
      </c>
      <c r="K63" s="29"/>
      <c r="L63" s="223">
        <f t="shared" si="2"/>
        <v>3200</v>
      </c>
      <c r="M63" s="213"/>
      <c r="N63" s="239" t="str">
        <f t="shared" si="5"/>
        <v xml:space="preserve"> </v>
      </c>
      <c r="O63" s="189"/>
      <c r="P63" s="189"/>
      <c r="Q63" s="189"/>
      <c r="R63" s="189" t="str">
        <f t="shared" si="6"/>
        <v xml:space="preserve"> </v>
      </c>
      <c r="S63" s="189"/>
      <c r="T63" s="253"/>
      <c r="U63" s="13"/>
      <c r="V63" s="253"/>
      <c r="W63" s="253"/>
      <c r="X63" s="16"/>
    </row>
    <row r="64" spans="1:24" ht="15" customHeight="1" x14ac:dyDescent="0.35">
      <c r="A64" s="245">
        <v>45226</v>
      </c>
      <c r="B64" s="246"/>
      <c r="C64" s="212" t="s">
        <v>323</v>
      </c>
      <c r="D64" s="15">
        <v>1</v>
      </c>
      <c r="E64" s="15"/>
      <c r="F64" s="9">
        <v>850</v>
      </c>
      <c r="G64" s="29">
        <f t="shared" si="0"/>
        <v>850</v>
      </c>
      <c r="H64" s="11"/>
      <c r="I64" s="10"/>
      <c r="J64" s="29">
        <f t="shared" si="1"/>
        <v>0</v>
      </c>
      <c r="K64" s="29"/>
      <c r="L64" s="223">
        <f t="shared" si="2"/>
        <v>850</v>
      </c>
      <c r="M64" s="12"/>
      <c r="N64" s="218" t="str">
        <f t="shared" si="5"/>
        <v xml:space="preserve"> </v>
      </c>
      <c r="O64" s="189"/>
      <c r="P64" s="189"/>
      <c r="Q64" s="189"/>
      <c r="R64" s="189" t="str">
        <f t="shared" si="6"/>
        <v xml:space="preserve"> </v>
      </c>
      <c r="S64" s="189"/>
      <c r="T64" s="253"/>
      <c r="U64" s="13"/>
      <c r="V64" s="253"/>
      <c r="W64" s="253"/>
      <c r="X64" s="16"/>
    </row>
    <row r="65" spans="1:24" ht="15" customHeight="1" x14ac:dyDescent="0.35">
      <c r="A65" s="245">
        <v>45226</v>
      </c>
      <c r="B65" s="246"/>
      <c r="C65" s="212" t="s">
        <v>456</v>
      </c>
      <c r="D65" s="15">
        <v>1</v>
      </c>
      <c r="E65" s="15"/>
      <c r="F65" s="9">
        <v>850</v>
      </c>
      <c r="G65" s="29">
        <f t="shared" si="0"/>
        <v>850</v>
      </c>
      <c r="H65" s="11"/>
      <c r="I65" s="10"/>
      <c r="J65" s="29">
        <f t="shared" si="1"/>
        <v>0</v>
      </c>
      <c r="K65" s="29"/>
      <c r="L65" s="223">
        <f t="shared" si="2"/>
        <v>850</v>
      </c>
      <c r="M65" s="12"/>
      <c r="N65" s="218" t="str">
        <f t="shared" si="5"/>
        <v xml:space="preserve"> </v>
      </c>
      <c r="O65" s="189"/>
      <c r="P65" s="189"/>
      <c r="Q65" s="189"/>
      <c r="R65" s="189" t="str">
        <f t="shared" si="6"/>
        <v xml:space="preserve"> </v>
      </c>
      <c r="S65" s="189"/>
      <c r="T65" s="253"/>
      <c r="U65" s="13"/>
      <c r="V65" s="253"/>
      <c r="W65" s="253"/>
      <c r="X65" s="16"/>
    </row>
    <row r="66" spans="1:24" ht="15" customHeight="1" x14ac:dyDescent="0.35">
      <c r="A66" s="245">
        <v>45229</v>
      </c>
      <c r="B66" s="246"/>
      <c r="C66" s="211" t="s">
        <v>326</v>
      </c>
      <c r="D66" s="15"/>
      <c r="E66" s="15">
        <v>1</v>
      </c>
      <c r="F66" s="9">
        <v>840</v>
      </c>
      <c r="G66" s="29">
        <f t="shared" si="0"/>
        <v>840</v>
      </c>
      <c r="H66" s="11"/>
      <c r="I66" s="10"/>
      <c r="J66" s="29">
        <f t="shared" si="1"/>
        <v>0</v>
      </c>
      <c r="K66" s="29"/>
      <c r="L66" s="223">
        <f t="shared" si="2"/>
        <v>840</v>
      </c>
      <c r="M66" s="12"/>
      <c r="N66" s="218" t="str">
        <f t="shared" si="5"/>
        <v xml:space="preserve"> </v>
      </c>
      <c r="O66" s="189"/>
      <c r="P66" s="189"/>
      <c r="Q66" s="189"/>
      <c r="R66" s="189" t="str">
        <f t="shared" si="6"/>
        <v xml:space="preserve"> </v>
      </c>
      <c r="S66" s="189"/>
      <c r="T66" s="253"/>
      <c r="U66" s="13"/>
      <c r="V66" s="253"/>
      <c r="W66" s="253"/>
      <c r="X66" s="16"/>
    </row>
    <row r="67" spans="1:24" ht="15" customHeight="1" x14ac:dyDescent="0.35">
      <c r="A67" s="245">
        <v>45229</v>
      </c>
      <c r="B67" s="246"/>
      <c r="C67" s="211" t="s">
        <v>296</v>
      </c>
      <c r="D67" s="15"/>
      <c r="E67" s="15">
        <v>4</v>
      </c>
      <c r="F67" s="9">
        <v>840</v>
      </c>
      <c r="G67" s="29">
        <f t="shared" si="0"/>
        <v>3360</v>
      </c>
      <c r="H67" s="11"/>
      <c r="I67" s="10"/>
      <c r="J67" s="29">
        <f t="shared" si="1"/>
        <v>0</v>
      </c>
      <c r="K67" s="29"/>
      <c r="L67" s="223">
        <f t="shared" si="2"/>
        <v>3360</v>
      </c>
      <c r="M67" s="12"/>
      <c r="N67" s="218" t="str">
        <f t="shared" si="5"/>
        <v xml:space="preserve"> </v>
      </c>
      <c r="O67" s="189"/>
      <c r="P67" s="189"/>
      <c r="Q67" s="189"/>
      <c r="R67" s="189" t="str">
        <f t="shared" si="6"/>
        <v xml:space="preserve"> </v>
      </c>
      <c r="S67" s="189"/>
      <c r="T67" s="253"/>
      <c r="U67" s="13"/>
      <c r="V67" s="253"/>
      <c r="W67" s="253"/>
      <c r="X67" s="16"/>
    </row>
    <row r="68" spans="1:24" ht="15" customHeight="1" x14ac:dyDescent="0.35">
      <c r="A68" s="245">
        <v>45230</v>
      </c>
      <c r="B68" s="246"/>
      <c r="C68" s="211" t="s">
        <v>323</v>
      </c>
      <c r="D68" s="15">
        <v>1</v>
      </c>
      <c r="E68" s="15"/>
      <c r="F68" s="9">
        <v>850</v>
      </c>
      <c r="G68" s="29">
        <f t="shared" ref="G68:G100" si="7">(F68*D68)+(E68*F68)</f>
        <v>850</v>
      </c>
      <c r="H68" s="11"/>
      <c r="I68" s="10"/>
      <c r="J68" s="29">
        <f t="shared" ref="J68:J100" si="8">H68*I68</f>
        <v>0</v>
      </c>
      <c r="K68" s="29"/>
      <c r="L68" s="223">
        <f t="shared" si="2"/>
        <v>850</v>
      </c>
      <c r="M68" s="12"/>
      <c r="N68" s="218" t="str">
        <f t="shared" si="5"/>
        <v xml:space="preserve"> </v>
      </c>
      <c r="O68" s="189"/>
      <c r="P68" s="189"/>
      <c r="Q68" s="189"/>
      <c r="R68" s="189" t="str">
        <f t="shared" si="6"/>
        <v xml:space="preserve"> </v>
      </c>
      <c r="S68" s="189"/>
      <c r="T68" s="253"/>
      <c r="U68" s="13"/>
      <c r="V68" s="253"/>
      <c r="W68" s="253"/>
      <c r="X68" s="16"/>
    </row>
    <row r="69" spans="1:24" ht="15" customHeight="1" x14ac:dyDescent="0.35">
      <c r="A69" s="245"/>
      <c r="B69" s="246"/>
      <c r="C69" s="211"/>
      <c r="D69" s="15"/>
      <c r="E69" s="15"/>
      <c r="F69" s="9">
        <v>800</v>
      </c>
      <c r="G69" s="29">
        <f t="shared" si="7"/>
        <v>0</v>
      </c>
      <c r="H69" s="11"/>
      <c r="I69" s="10"/>
      <c r="J69" s="29">
        <f t="shared" si="8"/>
        <v>0</v>
      </c>
      <c r="K69" s="29"/>
      <c r="L69" s="223">
        <f t="shared" ref="L69:L100" si="9">(J69+G69)-K69</f>
        <v>0</v>
      </c>
      <c r="M69" s="12"/>
      <c r="N69" s="218" t="str">
        <f t="shared" si="5"/>
        <v xml:space="preserve"> </v>
      </c>
      <c r="O69" s="189"/>
      <c r="P69" s="189"/>
      <c r="Q69" s="189"/>
      <c r="R69" s="189" t="str">
        <f t="shared" si="6"/>
        <v xml:space="preserve"> </v>
      </c>
      <c r="S69" s="189"/>
      <c r="T69" s="253"/>
      <c r="U69" s="13"/>
      <c r="V69" s="253"/>
      <c r="W69" s="253"/>
      <c r="X69" s="16"/>
    </row>
    <row r="70" spans="1:24" ht="15" customHeight="1" x14ac:dyDescent="0.35">
      <c r="A70" s="245"/>
      <c r="B70" s="246"/>
      <c r="C70" s="212"/>
      <c r="D70" s="15"/>
      <c r="E70" s="15"/>
      <c r="F70" s="9">
        <v>800</v>
      </c>
      <c r="G70" s="29">
        <f t="shared" si="7"/>
        <v>0</v>
      </c>
      <c r="H70" s="11"/>
      <c r="I70" s="10"/>
      <c r="J70" s="29">
        <f t="shared" si="8"/>
        <v>0</v>
      </c>
      <c r="K70" s="29"/>
      <c r="L70" s="223">
        <f t="shared" si="9"/>
        <v>0</v>
      </c>
      <c r="M70" s="12"/>
      <c r="N70" s="218" t="str">
        <f t="shared" si="5"/>
        <v xml:space="preserve"> </v>
      </c>
      <c r="O70" s="189"/>
      <c r="P70" s="189"/>
      <c r="Q70" s="189"/>
      <c r="R70" s="189" t="str">
        <f t="shared" si="6"/>
        <v xml:space="preserve"> </v>
      </c>
      <c r="S70" s="189"/>
      <c r="T70" s="253"/>
      <c r="U70" s="13"/>
      <c r="V70" s="253"/>
      <c r="W70" s="253"/>
      <c r="X70" s="16"/>
    </row>
    <row r="71" spans="1:24" ht="15" customHeight="1" x14ac:dyDescent="0.35">
      <c r="A71" s="245"/>
      <c r="B71" s="246"/>
      <c r="C71" s="211"/>
      <c r="D71" s="15"/>
      <c r="E71" s="15"/>
      <c r="F71" s="9">
        <v>830</v>
      </c>
      <c r="G71" s="29">
        <f t="shared" si="7"/>
        <v>0</v>
      </c>
      <c r="H71" s="11"/>
      <c r="I71" s="10"/>
      <c r="J71" s="29">
        <f t="shared" si="8"/>
        <v>0</v>
      </c>
      <c r="K71" s="29"/>
      <c r="L71" s="223">
        <f t="shared" si="9"/>
        <v>0</v>
      </c>
      <c r="M71" s="12"/>
      <c r="N71" s="218" t="str">
        <f t="shared" si="5"/>
        <v xml:space="preserve"> </v>
      </c>
      <c r="O71" s="189"/>
      <c r="P71" s="189"/>
      <c r="Q71" s="189"/>
      <c r="R71" s="189" t="str">
        <f t="shared" si="6"/>
        <v xml:space="preserve"> </v>
      </c>
      <c r="S71" s="189"/>
      <c r="T71" s="253"/>
      <c r="U71" s="13"/>
      <c r="V71" s="253"/>
      <c r="W71" s="253"/>
      <c r="X71" s="16"/>
    </row>
    <row r="72" spans="1:24" ht="15" customHeight="1" x14ac:dyDescent="0.35">
      <c r="A72" s="245"/>
      <c r="B72" s="246"/>
      <c r="C72" s="212"/>
      <c r="D72" s="15"/>
      <c r="E72" s="15"/>
      <c r="F72" s="9">
        <v>800</v>
      </c>
      <c r="G72" s="29">
        <f t="shared" si="7"/>
        <v>0</v>
      </c>
      <c r="H72" s="11"/>
      <c r="I72" s="10"/>
      <c r="J72" s="29">
        <f t="shared" si="8"/>
        <v>0</v>
      </c>
      <c r="K72" s="29"/>
      <c r="L72" s="223">
        <f t="shared" si="9"/>
        <v>0</v>
      </c>
      <c r="M72" s="12"/>
      <c r="N72" s="218" t="str">
        <f t="shared" si="5"/>
        <v xml:space="preserve"> </v>
      </c>
      <c r="O72" s="189"/>
      <c r="P72" s="189"/>
      <c r="Q72" s="189"/>
      <c r="R72" s="189" t="str">
        <f t="shared" si="6"/>
        <v xml:space="preserve"> </v>
      </c>
      <c r="S72" s="189"/>
      <c r="T72" s="253"/>
      <c r="U72" s="13"/>
      <c r="V72" s="253"/>
      <c r="W72" s="253"/>
      <c r="X72" s="16"/>
    </row>
    <row r="73" spans="1:24" ht="15" customHeight="1" x14ac:dyDescent="0.35">
      <c r="A73" s="245"/>
      <c r="B73" s="246"/>
      <c r="C73" s="211"/>
      <c r="D73" s="15"/>
      <c r="E73" s="15"/>
      <c r="F73" s="9">
        <v>800</v>
      </c>
      <c r="G73" s="29">
        <f t="shared" si="7"/>
        <v>0</v>
      </c>
      <c r="H73" s="11"/>
      <c r="I73" s="10"/>
      <c r="J73" s="29">
        <f t="shared" si="8"/>
        <v>0</v>
      </c>
      <c r="K73" s="29"/>
      <c r="L73" s="223">
        <f t="shared" si="9"/>
        <v>0</v>
      </c>
      <c r="M73" s="12"/>
      <c r="N73" s="218" t="str">
        <f t="shared" si="5"/>
        <v xml:space="preserve"> </v>
      </c>
      <c r="O73" s="189"/>
      <c r="P73" s="189"/>
      <c r="Q73" s="189"/>
      <c r="R73" s="189" t="str">
        <f t="shared" si="6"/>
        <v xml:space="preserve"> </v>
      </c>
      <c r="S73" s="189"/>
      <c r="T73" s="253"/>
      <c r="U73" s="13"/>
      <c r="V73" s="253"/>
      <c r="W73" s="253"/>
      <c r="X73" s="16"/>
    </row>
    <row r="74" spans="1:24" ht="15" customHeight="1" x14ac:dyDescent="0.35">
      <c r="A74" s="245"/>
      <c r="B74" s="246"/>
      <c r="C74" s="211"/>
      <c r="D74" s="15"/>
      <c r="E74" s="15"/>
      <c r="F74" s="9">
        <v>800</v>
      </c>
      <c r="G74" s="29">
        <f t="shared" si="7"/>
        <v>0</v>
      </c>
      <c r="H74" s="11"/>
      <c r="I74" s="10"/>
      <c r="J74" s="29">
        <f t="shared" si="8"/>
        <v>0</v>
      </c>
      <c r="K74" s="29"/>
      <c r="L74" s="223">
        <f t="shared" si="9"/>
        <v>0</v>
      </c>
      <c r="M74" s="12"/>
      <c r="N74" s="218" t="str">
        <f t="shared" si="5"/>
        <v xml:space="preserve"> </v>
      </c>
      <c r="O74" s="189"/>
      <c r="P74" s="189"/>
      <c r="Q74" s="189"/>
      <c r="R74" s="189" t="str">
        <f t="shared" si="6"/>
        <v xml:space="preserve"> </v>
      </c>
      <c r="S74" s="189"/>
      <c r="T74" s="253"/>
      <c r="U74" s="13"/>
      <c r="V74" s="253"/>
      <c r="W74" s="253"/>
      <c r="X74" s="16"/>
    </row>
    <row r="75" spans="1:24" ht="15" customHeight="1" x14ac:dyDescent="0.35">
      <c r="A75" s="245"/>
      <c r="B75" s="246"/>
      <c r="C75" s="211"/>
      <c r="D75" s="15"/>
      <c r="E75" s="15"/>
      <c r="F75" s="9">
        <v>800</v>
      </c>
      <c r="G75" s="29">
        <f t="shared" si="7"/>
        <v>0</v>
      </c>
      <c r="H75" s="11"/>
      <c r="I75" s="10"/>
      <c r="J75" s="29">
        <f t="shared" si="8"/>
        <v>0</v>
      </c>
      <c r="K75" s="29"/>
      <c r="L75" s="223">
        <f t="shared" si="9"/>
        <v>0</v>
      </c>
      <c r="M75" s="12"/>
      <c r="N75" s="218" t="str">
        <f t="shared" si="5"/>
        <v xml:space="preserve"> </v>
      </c>
      <c r="O75" s="189"/>
      <c r="P75" s="189"/>
      <c r="Q75" s="189"/>
      <c r="R75" s="189" t="str">
        <f t="shared" si="6"/>
        <v xml:space="preserve"> </v>
      </c>
      <c r="S75" s="189"/>
      <c r="T75" s="253"/>
      <c r="U75" s="13"/>
      <c r="V75" s="253"/>
      <c r="W75" s="253"/>
      <c r="X75" s="16"/>
    </row>
    <row r="76" spans="1:24" ht="15" customHeight="1" x14ac:dyDescent="0.35">
      <c r="A76" s="245"/>
      <c r="B76" s="246"/>
      <c r="C76" s="211"/>
      <c r="D76" s="15"/>
      <c r="E76" s="15"/>
      <c r="F76" s="9">
        <v>800</v>
      </c>
      <c r="G76" s="29">
        <f t="shared" si="7"/>
        <v>0</v>
      </c>
      <c r="H76" s="11"/>
      <c r="I76" s="10"/>
      <c r="J76" s="29">
        <f t="shared" si="8"/>
        <v>0</v>
      </c>
      <c r="K76" s="29"/>
      <c r="L76" s="223">
        <f t="shared" si="9"/>
        <v>0</v>
      </c>
      <c r="M76" s="12"/>
      <c r="N76" s="218" t="str">
        <f t="shared" si="5"/>
        <v xml:space="preserve"> </v>
      </c>
      <c r="O76" s="189"/>
      <c r="P76" s="189"/>
      <c r="Q76" s="189"/>
      <c r="R76" s="189" t="str">
        <f t="shared" si="6"/>
        <v xml:space="preserve"> </v>
      </c>
      <c r="S76" s="189"/>
      <c r="T76" s="253"/>
      <c r="U76" s="13"/>
      <c r="V76" s="253"/>
      <c r="W76" s="253"/>
      <c r="X76" s="16"/>
    </row>
    <row r="77" spans="1:24" ht="15" customHeight="1" x14ac:dyDescent="0.35">
      <c r="A77" s="245"/>
      <c r="B77" s="246"/>
      <c r="C77" s="211"/>
      <c r="D77" s="15"/>
      <c r="E77" s="15"/>
      <c r="F77" s="9">
        <v>800</v>
      </c>
      <c r="G77" s="29">
        <f t="shared" si="7"/>
        <v>0</v>
      </c>
      <c r="H77" s="11"/>
      <c r="I77" s="10"/>
      <c r="J77" s="29">
        <f t="shared" si="8"/>
        <v>0</v>
      </c>
      <c r="K77" s="29"/>
      <c r="L77" s="223">
        <f t="shared" si="9"/>
        <v>0</v>
      </c>
      <c r="M77" s="12"/>
      <c r="N77" s="218" t="str">
        <f t="shared" si="5"/>
        <v xml:space="preserve"> </v>
      </c>
      <c r="O77" s="189"/>
      <c r="P77" s="189"/>
      <c r="Q77" s="189"/>
      <c r="R77" s="189" t="str">
        <f t="shared" si="6"/>
        <v xml:space="preserve"> </v>
      </c>
      <c r="S77" s="189"/>
      <c r="T77" s="253"/>
      <c r="U77" s="13"/>
      <c r="V77" s="253"/>
      <c r="W77" s="253"/>
      <c r="X77" s="16"/>
    </row>
    <row r="78" spans="1:24" ht="15" customHeight="1" x14ac:dyDescent="0.35">
      <c r="A78" s="245"/>
      <c r="B78" s="246"/>
      <c r="C78" s="211"/>
      <c r="D78" s="15"/>
      <c r="E78" s="15"/>
      <c r="F78" s="9">
        <v>800</v>
      </c>
      <c r="G78" s="29">
        <f t="shared" si="7"/>
        <v>0</v>
      </c>
      <c r="H78" s="11"/>
      <c r="I78" s="10"/>
      <c r="J78" s="29">
        <f t="shared" si="8"/>
        <v>0</v>
      </c>
      <c r="K78" s="29"/>
      <c r="L78" s="223">
        <f t="shared" si="9"/>
        <v>0</v>
      </c>
      <c r="M78" s="12"/>
      <c r="N78" s="239" t="str">
        <f t="shared" si="5"/>
        <v xml:space="preserve"> </v>
      </c>
      <c r="O78" s="189"/>
      <c r="P78" s="189"/>
      <c r="Q78" s="189"/>
      <c r="R78" s="189" t="str">
        <f t="shared" si="6"/>
        <v xml:space="preserve"> </v>
      </c>
      <c r="S78" s="189"/>
      <c r="T78" s="253"/>
      <c r="U78" s="13"/>
      <c r="V78" s="253"/>
      <c r="W78" s="253"/>
      <c r="X78" s="16"/>
    </row>
    <row r="79" spans="1:24" ht="15" customHeight="1" x14ac:dyDescent="0.35">
      <c r="A79" s="245"/>
      <c r="B79" s="246"/>
      <c r="C79" s="211"/>
      <c r="D79" s="15"/>
      <c r="E79" s="15"/>
      <c r="F79" s="9">
        <v>800</v>
      </c>
      <c r="G79" s="29">
        <f t="shared" si="7"/>
        <v>0</v>
      </c>
      <c r="H79" s="11"/>
      <c r="I79" s="10"/>
      <c r="J79" s="29">
        <f t="shared" si="8"/>
        <v>0</v>
      </c>
      <c r="K79" s="29"/>
      <c r="L79" s="223">
        <f t="shared" si="9"/>
        <v>0</v>
      </c>
      <c r="M79" s="12"/>
      <c r="N79" s="218" t="str">
        <f t="shared" si="5"/>
        <v xml:space="preserve"> </v>
      </c>
      <c r="O79" s="189"/>
      <c r="P79" s="189"/>
      <c r="Q79" s="189"/>
      <c r="R79" s="189" t="str">
        <f t="shared" si="6"/>
        <v xml:space="preserve"> </v>
      </c>
      <c r="S79" s="189"/>
      <c r="T79" s="253"/>
      <c r="U79" s="13"/>
      <c r="V79" s="253"/>
      <c r="W79" s="253"/>
      <c r="X79" s="16"/>
    </row>
    <row r="80" spans="1:24" ht="15" customHeight="1" x14ac:dyDescent="0.35">
      <c r="A80" s="23"/>
      <c r="B80" s="24"/>
      <c r="C80" s="211"/>
      <c r="D80" s="15"/>
      <c r="E80" s="15"/>
      <c r="F80" s="9">
        <v>800</v>
      </c>
      <c r="G80" s="29">
        <f t="shared" si="7"/>
        <v>0</v>
      </c>
      <c r="H80" s="11"/>
      <c r="I80" s="10"/>
      <c r="J80" s="29">
        <f t="shared" si="8"/>
        <v>0</v>
      </c>
      <c r="K80" s="29"/>
      <c r="L80" s="223">
        <f t="shared" si="9"/>
        <v>0</v>
      </c>
      <c r="M80" s="12"/>
      <c r="N80" s="218" t="str">
        <f t="shared" ref="N80:N88" si="10">IF(M80&gt;0,SUM(L80-M80)," ")</f>
        <v xml:space="preserve"> </v>
      </c>
      <c r="O80" s="189"/>
      <c r="P80" s="189"/>
      <c r="Q80" s="189"/>
      <c r="R80" s="189" t="str">
        <f t="shared" si="6"/>
        <v xml:space="preserve"> </v>
      </c>
      <c r="S80" s="189"/>
      <c r="T80" s="253"/>
      <c r="U80" s="13"/>
      <c r="V80" s="253"/>
      <c r="W80" s="253"/>
      <c r="X80" s="16"/>
    </row>
    <row r="81" spans="1:24" ht="15" customHeight="1" x14ac:dyDescent="0.35">
      <c r="A81" s="227"/>
      <c r="B81" s="24"/>
      <c r="C81" s="211"/>
      <c r="D81" s="15"/>
      <c r="E81" s="15"/>
      <c r="F81" s="9">
        <v>800</v>
      </c>
      <c r="G81" s="29">
        <f t="shared" si="7"/>
        <v>0</v>
      </c>
      <c r="H81" s="11"/>
      <c r="I81" s="10"/>
      <c r="J81" s="29">
        <f t="shared" si="8"/>
        <v>0</v>
      </c>
      <c r="K81" s="29"/>
      <c r="L81" s="223">
        <f t="shared" si="9"/>
        <v>0</v>
      </c>
      <c r="M81" s="12"/>
      <c r="N81" s="218" t="str">
        <f t="shared" si="10"/>
        <v xml:space="preserve"> </v>
      </c>
      <c r="O81" s="189"/>
      <c r="P81" s="189"/>
      <c r="Q81" s="189"/>
      <c r="R81" s="189" t="str">
        <f t="shared" si="6"/>
        <v xml:space="preserve"> </v>
      </c>
      <c r="S81" s="189"/>
      <c r="T81" s="253"/>
      <c r="U81" s="13"/>
      <c r="V81" s="253"/>
      <c r="W81" s="253"/>
      <c r="X81" s="16"/>
    </row>
    <row r="82" spans="1:24" ht="15" customHeight="1" x14ac:dyDescent="0.35">
      <c r="A82" s="227"/>
      <c r="B82" s="24"/>
      <c r="C82" s="211"/>
      <c r="D82" s="15"/>
      <c r="E82" s="15"/>
      <c r="F82" s="9">
        <v>800</v>
      </c>
      <c r="G82" s="29">
        <f t="shared" si="7"/>
        <v>0</v>
      </c>
      <c r="H82" s="11"/>
      <c r="I82" s="10"/>
      <c r="J82" s="29">
        <f t="shared" si="8"/>
        <v>0</v>
      </c>
      <c r="K82" s="29"/>
      <c r="L82" s="223">
        <f t="shared" si="9"/>
        <v>0</v>
      </c>
      <c r="M82" s="12"/>
      <c r="N82" s="218" t="str">
        <f t="shared" si="10"/>
        <v xml:space="preserve"> </v>
      </c>
      <c r="O82" s="189"/>
      <c r="P82" s="189"/>
      <c r="Q82" s="189"/>
      <c r="R82" s="189" t="str">
        <f t="shared" si="6"/>
        <v xml:space="preserve"> </v>
      </c>
      <c r="S82" s="189"/>
      <c r="T82" s="253"/>
      <c r="U82" s="13"/>
      <c r="V82" s="253"/>
      <c r="W82" s="253"/>
      <c r="X82" s="16"/>
    </row>
    <row r="83" spans="1:24" ht="15" customHeight="1" x14ac:dyDescent="0.35">
      <c r="A83" s="23"/>
      <c r="B83" s="23"/>
      <c r="C83" s="188"/>
      <c r="D83" s="15"/>
      <c r="E83" s="15"/>
      <c r="F83" s="9">
        <v>800</v>
      </c>
      <c r="G83" s="29">
        <f t="shared" si="7"/>
        <v>0</v>
      </c>
      <c r="H83" s="11"/>
      <c r="I83" s="10"/>
      <c r="J83" s="29">
        <f t="shared" si="8"/>
        <v>0</v>
      </c>
      <c r="K83" s="29"/>
      <c r="L83" s="223">
        <f t="shared" si="9"/>
        <v>0</v>
      </c>
      <c r="M83" s="12"/>
      <c r="N83" s="218" t="str">
        <f t="shared" si="10"/>
        <v xml:space="preserve"> </v>
      </c>
      <c r="O83" s="189"/>
      <c r="P83" s="189"/>
      <c r="Q83" s="189"/>
      <c r="R83" s="189" t="str">
        <f t="shared" si="6"/>
        <v xml:space="preserve"> </v>
      </c>
      <c r="S83" s="189"/>
      <c r="T83" s="253"/>
      <c r="U83" s="13"/>
      <c r="V83" s="253"/>
      <c r="W83" s="253"/>
      <c r="X83" s="16"/>
    </row>
    <row r="84" spans="1:24" ht="15" customHeight="1" x14ac:dyDescent="0.35">
      <c r="A84" s="23"/>
      <c r="B84" s="23"/>
      <c r="C84" s="211"/>
      <c r="D84" s="15"/>
      <c r="E84" s="15"/>
      <c r="F84" s="9">
        <v>800</v>
      </c>
      <c r="G84" s="29">
        <f t="shared" si="7"/>
        <v>0</v>
      </c>
      <c r="H84" s="11"/>
      <c r="I84" s="10"/>
      <c r="J84" s="29">
        <f t="shared" si="8"/>
        <v>0</v>
      </c>
      <c r="K84" s="29"/>
      <c r="L84" s="223">
        <f t="shared" si="9"/>
        <v>0</v>
      </c>
      <c r="M84" s="12"/>
      <c r="N84" s="218" t="str">
        <f t="shared" si="10"/>
        <v xml:space="preserve"> </v>
      </c>
      <c r="O84" s="189"/>
      <c r="P84" s="189"/>
      <c r="Q84" s="189"/>
      <c r="R84" s="189" t="str">
        <f t="shared" si="6"/>
        <v xml:space="preserve"> </v>
      </c>
      <c r="S84" s="189"/>
      <c r="T84" s="253"/>
      <c r="U84" s="13"/>
      <c r="V84" s="253"/>
      <c r="W84" s="253"/>
      <c r="X84" s="16"/>
    </row>
    <row r="85" spans="1:24" ht="15" customHeight="1" x14ac:dyDescent="0.35">
      <c r="A85" s="23"/>
      <c r="B85" s="24"/>
      <c r="C85" s="211"/>
      <c r="D85" s="15"/>
      <c r="E85" s="15"/>
      <c r="F85" s="9">
        <v>800</v>
      </c>
      <c r="G85" s="29">
        <f t="shared" si="7"/>
        <v>0</v>
      </c>
      <c r="H85" s="11"/>
      <c r="I85" s="10"/>
      <c r="J85" s="29">
        <f t="shared" si="8"/>
        <v>0</v>
      </c>
      <c r="K85" s="29"/>
      <c r="L85" s="223">
        <f t="shared" si="9"/>
        <v>0</v>
      </c>
      <c r="M85" s="12"/>
      <c r="N85" s="218" t="str">
        <f t="shared" si="10"/>
        <v xml:space="preserve"> </v>
      </c>
      <c r="O85" s="189"/>
      <c r="P85" s="189"/>
      <c r="Q85" s="189"/>
      <c r="R85" s="189" t="str">
        <f t="shared" si="6"/>
        <v xml:space="preserve"> </v>
      </c>
      <c r="S85" s="189"/>
      <c r="T85" s="253"/>
      <c r="U85" s="13"/>
      <c r="V85" s="253"/>
      <c r="W85" s="253"/>
      <c r="X85" s="16"/>
    </row>
    <row r="86" spans="1:24" ht="15" customHeight="1" x14ac:dyDescent="0.35">
      <c r="A86" s="23"/>
      <c r="B86" s="24"/>
      <c r="C86" s="211"/>
      <c r="D86" s="15"/>
      <c r="E86" s="15"/>
      <c r="F86" s="9">
        <v>800</v>
      </c>
      <c r="G86" s="29">
        <f t="shared" si="7"/>
        <v>0</v>
      </c>
      <c r="H86" s="11"/>
      <c r="I86" s="10"/>
      <c r="J86" s="29">
        <f t="shared" si="8"/>
        <v>0</v>
      </c>
      <c r="K86" s="29"/>
      <c r="L86" s="223">
        <f t="shared" si="9"/>
        <v>0</v>
      </c>
      <c r="M86" s="12"/>
      <c r="N86" s="218" t="str">
        <f t="shared" si="10"/>
        <v xml:space="preserve"> </v>
      </c>
      <c r="O86" s="189"/>
      <c r="P86" s="189"/>
      <c r="Q86" s="189"/>
      <c r="R86" s="189" t="str">
        <f t="shared" si="6"/>
        <v xml:space="preserve"> </v>
      </c>
      <c r="S86" s="189"/>
      <c r="T86" s="253"/>
      <c r="U86" s="13"/>
      <c r="V86" s="253"/>
      <c r="W86" s="253"/>
      <c r="X86" s="16"/>
    </row>
    <row r="87" spans="1:24" ht="15" customHeight="1" x14ac:dyDescent="0.35">
      <c r="A87" s="227"/>
      <c r="B87" s="23"/>
      <c r="C87" s="212"/>
      <c r="D87" s="15"/>
      <c r="E87" s="15"/>
      <c r="F87" s="9">
        <v>800</v>
      </c>
      <c r="G87" s="29">
        <f t="shared" si="7"/>
        <v>0</v>
      </c>
      <c r="H87" s="11"/>
      <c r="I87" s="10"/>
      <c r="J87" s="29">
        <f t="shared" si="8"/>
        <v>0</v>
      </c>
      <c r="K87" s="29"/>
      <c r="L87" s="223">
        <f t="shared" si="9"/>
        <v>0</v>
      </c>
      <c r="M87" s="12"/>
      <c r="N87" s="218" t="str">
        <f t="shared" si="10"/>
        <v xml:space="preserve"> </v>
      </c>
      <c r="O87" s="189"/>
      <c r="P87" s="189"/>
      <c r="Q87" s="189"/>
      <c r="R87" s="189" t="str">
        <f t="shared" si="6"/>
        <v xml:space="preserve"> </v>
      </c>
      <c r="S87" s="189"/>
      <c r="T87" s="253"/>
      <c r="U87" s="13"/>
      <c r="V87" s="253"/>
      <c r="W87" s="253"/>
      <c r="X87" s="16"/>
    </row>
    <row r="88" spans="1:24" ht="15" customHeight="1" x14ac:dyDescent="0.35">
      <c r="A88" s="23"/>
      <c r="B88" s="24"/>
      <c r="C88" s="211"/>
      <c r="D88" s="15"/>
      <c r="E88" s="15"/>
      <c r="F88" s="9">
        <v>800</v>
      </c>
      <c r="G88" s="29">
        <f t="shared" si="7"/>
        <v>0</v>
      </c>
      <c r="H88" s="11"/>
      <c r="I88" s="10"/>
      <c r="J88" s="29">
        <f t="shared" si="8"/>
        <v>0</v>
      </c>
      <c r="K88" s="29"/>
      <c r="L88" s="223">
        <f t="shared" si="9"/>
        <v>0</v>
      </c>
      <c r="M88" s="12"/>
      <c r="N88" s="218" t="str">
        <f t="shared" si="10"/>
        <v xml:space="preserve"> </v>
      </c>
      <c r="O88" s="189"/>
      <c r="P88" s="189"/>
      <c r="Q88" s="189"/>
      <c r="R88" s="189" t="str">
        <f t="shared" si="6"/>
        <v xml:space="preserve"> </v>
      </c>
      <c r="S88" s="189"/>
      <c r="T88" s="253"/>
      <c r="U88" s="13"/>
      <c r="V88" s="253"/>
      <c r="W88" s="253"/>
      <c r="X88" s="16"/>
    </row>
    <row r="89" spans="1:24" ht="15" customHeight="1" x14ac:dyDescent="0.35">
      <c r="A89" s="23"/>
      <c r="B89" s="24"/>
      <c r="C89" s="211"/>
      <c r="D89" s="15"/>
      <c r="E89" s="15"/>
      <c r="F89" s="9">
        <v>800</v>
      </c>
      <c r="G89" s="29">
        <f t="shared" si="7"/>
        <v>0</v>
      </c>
      <c r="H89" s="11"/>
      <c r="I89" s="10"/>
      <c r="J89" s="29">
        <f t="shared" si="8"/>
        <v>0</v>
      </c>
      <c r="K89" s="29"/>
      <c r="L89" s="223">
        <f t="shared" si="9"/>
        <v>0</v>
      </c>
      <c r="M89" s="12"/>
      <c r="N89" s="218" t="str">
        <f t="shared" si="5"/>
        <v xml:space="preserve"> </v>
      </c>
      <c r="O89" s="189"/>
      <c r="P89" s="189"/>
      <c r="Q89" s="189"/>
      <c r="R89" s="189" t="str">
        <f t="shared" si="6"/>
        <v xml:space="preserve"> </v>
      </c>
      <c r="S89" s="189"/>
      <c r="T89" s="253"/>
      <c r="U89" s="13"/>
      <c r="V89" s="253"/>
      <c r="W89" s="253"/>
      <c r="X89" s="16"/>
    </row>
    <row r="90" spans="1:24" ht="15" customHeight="1" x14ac:dyDescent="0.35">
      <c r="A90" s="23"/>
      <c r="B90" s="24"/>
      <c r="C90" s="211"/>
      <c r="D90" s="15"/>
      <c r="E90" s="15"/>
      <c r="F90" s="9">
        <v>800</v>
      </c>
      <c r="G90" s="29">
        <f t="shared" si="7"/>
        <v>0</v>
      </c>
      <c r="H90" s="11"/>
      <c r="I90" s="10"/>
      <c r="J90" s="29">
        <f t="shared" si="8"/>
        <v>0</v>
      </c>
      <c r="K90" s="29"/>
      <c r="L90" s="223">
        <f t="shared" si="9"/>
        <v>0</v>
      </c>
      <c r="M90" s="12"/>
      <c r="N90" s="218" t="str">
        <f t="shared" si="5"/>
        <v xml:space="preserve"> </v>
      </c>
      <c r="O90" s="189"/>
      <c r="P90" s="189"/>
      <c r="Q90" s="189"/>
      <c r="R90" s="189" t="str">
        <f t="shared" si="6"/>
        <v xml:space="preserve"> </v>
      </c>
      <c r="S90" s="189"/>
      <c r="T90" s="253"/>
      <c r="U90" s="13"/>
      <c r="V90" s="253"/>
      <c r="W90" s="253"/>
      <c r="X90" s="16"/>
    </row>
    <row r="91" spans="1:24" ht="15" customHeight="1" x14ac:dyDescent="0.35">
      <c r="A91" s="227"/>
      <c r="B91" s="23"/>
      <c r="C91" s="212"/>
      <c r="D91" s="15"/>
      <c r="E91" s="15"/>
      <c r="F91" s="9">
        <v>800</v>
      </c>
      <c r="G91" s="29">
        <f t="shared" si="7"/>
        <v>0</v>
      </c>
      <c r="H91" s="11"/>
      <c r="I91" s="10"/>
      <c r="J91" s="29">
        <f t="shared" si="8"/>
        <v>0</v>
      </c>
      <c r="K91" s="29"/>
      <c r="L91" s="223">
        <f t="shared" si="9"/>
        <v>0</v>
      </c>
      <c r="M91" s="12"/>
      <c r="N91" s="218" t="str">
        <f t="shared" si="5"/>
        <v xml:space="preserve"> </v>
      </c>
      <c r="O91" s="189"/>
      <c r="P91" s="189"/>
      <c r="Q91" s="189"/>
      <c r="R91" s="189" t="str">
        <f t="shared" si="6"/>
        <v xml:space="preserve"> </v>
      </c>
      <c r="S91" s="189"/>
      <c r="T91" s="253"/>
      <c r="U91" s="13"/>
      <c r="V91" s="253"/>
      <c r="W91" s="253"/>
      <c r="X91" s="16"/>
    </row>
    <row r="92" spans="1:24" ht="15" customHeight="1" x14ac:dyDescent="0.35">
      <c r="A92" s="23"/>
      <c r="B92" s="24"/>
      <c r="C92" s="211"/>
      <c r="D92" s="15"/>
      <c r="E92" s="15"/>
      <c r="F92" s="9">
        <v>800</v>
      </c>
      <c r="G92" s="29">
        <f t="shared" si="7"/>
        <v>0</v>
      </c>
      <c r="H92" s="11"/>
      <c r="I92" s="10"/>
      <c r="J92" s="29">
        <f t="shared" si="8"/>
        <v>0</v>
      </c>
      <c r="K92" s="29"/>
      <c r="L92" s="223">
        <f t="shared" si="9"/>
        <v>0</v>
      </c>
      <c r="M92" s="12"/>
      <c r="N92" s="218" t="str">
        <f t="shared" si="5"/>
        <v xml:space="preserve"> </v>
      </c>
      <c r="O92" s="189"/>
      <c r="P92" s="189"/>
      <c r="Q92" s="189"/>
      <c r="R92" s="189" t="str">
        <f t="shared" si="6"/>
        <v xml:space="preserve"> </v>
      </c>
      <c r="S92" s="189"/>
      <c r="T92" s="253"/>
      <c r="U92" s="13"/>
      <c r="V92" s="253"/>
      <c r="W92" s="253"/>
      <c r="X92" s="16"/>
    </row>
    <row r="93" spans="1:24" ht="15" customHeight="1" x14ac:dyDescent="0.35">
      <c r="A93" s="227"/>
      <c r="B93" s="24"/>
      <c r="C93" s="211"/>
      <c r="D93" s="15"/>
      <c r="E93" s="15"/>
      <c r="F93" s="9">
        <v>800</v>
      </c>
      <c r="G93" s="29">
        <f t="shared" si="7"/>
        <v>0</v>
      </c>
      <c r="H93" s="11"/>
      <c r="I93" s="10"/>
      <c r="J93" s="29">
        <f t="shared" si="8"/>
        <v>0</v>
      </c>
      <c r="K93" s="29"/>
      <c r="L93" s="223">
        <f t="shared" si="9"/>
        <v>0</v>
      </c>
      <c r="M93" s="12"/>
      <c r="N93" s="218" t="str">
        <f t="shared" si="5"/>
        <v xml:space="preserve"> </v>
      </c>
      <c r="O93" s="189"/>
      <c r="P93" s="189"/>
      <c r="Q93" s="189"/>
      <c r="R93" s="189" t="str">
        <f t="shared" si="6"/>
        <v xml:space="preserve"> </v>
      </c>
      <c r="S93" s="189"/>
      <c r="T93" s="253"/>
      <c r="U93" s="13"/>
      <c r="V93" s="253"/>
      <c r="W93" s="253"/>
      <c r="X93" s="16"/>
    </row>
    <row r="94" spans="1:24" ht="15" customHeight="1" x14ac:dyDescent="0.35">
      <c r="A94" s="227"/>
      <c r="B94" s="24"/>
      <c r="C94" s="212"/>
      <c r="D94" s="15"/>
      <c r="E94" s="15"/>
      <c r="F94" s="9">
        <v>800</v>
      </c>
      <c r="G94" s="29">
        <f t="shared" si="7"/>
        <v>0</v>
      </c>
      <c r="H94" s="11"/>
      <c r="I94" s="10"/>
      <c r="J94" s="29">
        <f t="shared" si="8"/>
        <v>0</v>
      </c>
      <c r="K94" s="29"/>
      <c r="L94" s="223">
        <f t="shared" si="9"/>
        <v>0</v>
      </c>
      <c r="M94" s="12"/>
      <c r="N94" s="218" t="str">
        <f t="shared" si="5"/>
        <v xml:space="preserve"> </v>
      </c>
      <c r="O94" s="189"/>
      <c r="P94" s="189"/>
      <c r="Q94" s="189"/>
      <c r="R94" s="189" t="str">
        <f t="shared" si="6"/>
        <v xml:space="preserve"> </v>
      </c>
      <c r="S94" s="189"/>
      <c r="T94" s="253"/>
      <c r="U94" s="13"/>
      <c r="V94" s="253"/>
      <c r="W94" s="253"/>
      <c r="X94" s="16"/>
    </row>
    <row r="95" spans="1:24" ht="15" customHeight="1" x14ac:dyDescent="0.35">
      <c r="A95" s="227"/>
      <c r="B95" s="24"/>
      <c r="C95" s="211"/>
      <c r="D95" s="15"/>
      <c r="E95" s="15"/>
      <c r="F95" s="9">
        <v>800</v>
      </c>
      <c r="G95" s="29">
        <f t="shared" si="7"/>
        <v>0</v>
      </c>
      <c r="H95" s="11"/>
      <c r="I95" s="10"/>
      <c r="J95" s="29">
        <f t="shared" si="8"/>
        <v>0</v>
      </c>
      <c r="K95" s="29"/>
      <c r="L95" s="223">
        <f t="shared" si="9"/>
        <v>0</v>
      </c>
      <c r="M95" s="12"/>
      <c r="N95" s="218" t="str">
        <f t="shared" si="5"/>
        <v xml:space="preserve"> </v>
      </c>
      <c r="O95" s="189"/>
      <c r="P95" s="189"/>
      <c r="Q95" s="189"/>
      <c r="R95" s="189" t="str">
        <f t="shared" si="6"/>
        <v xml:space="preserve"> </v>
      </c>
      <c r="S95" s="189"/>
      <c r="T95" s="253"/>
      <c r="U95" s="13"/>
      <c r="V95" s="253"/>
      <c r="W95" s="253"/>
      <c r="X95" s="16"/>
    </row>
    <row r="96" spans="1:24" ht="15" customHeight="1" x14ac:dyDescent="0.35">
      <c r="A96" s="227"/>
      <c r="B96" s="24"/>
      <c r="C96" s="212"/>
      <c r="D96" s="15"/>
      <c r="E96" s="15"/>
      <c r="F96" s="9">
        <v>800</v>
      </c>
      <c r="G96" s="29">
        <f t="shared" si="7"/>
        <v>0</v>
      </c>
      <c r="H96" s="11"/>
      <c r="I96" s="10"/>
      <c r="J96" s="29">
        <f t="shared" si="8"/>
        <v>0</v>
      </c>
      <c r="K96" s="29"/>
      <c r="L96" s="223">
        <f t="shared" si="9"/>
        <v>0</v>
      </c>
      <c r="M96" s="12"/>
      <c r="N96" s="218" t="str">
        <f>IF(M96&gt;0,SUM(L96-M96)," ")</f>
        <v xml:space="preserve"> </v>
      </c>
      <c r="O96" s="189"/>
      <c r="P96" s="189"/>
      <c r="Q96" s="189"/>
      <c r="R96" s="189" t="str">
        <f t="shared" si="6"/>
        <v xml:space="preserve"> </v>
      </c>
      <c r="S96" s="189"/>
      <c r="T96" s="253"/>
      <c r="U96" s="13"/>
      <c r="V96" s="253"/>
      <c r="W96" s="253"/>
      <c r="X96" s="16"/>
    </row>
    <row r="97" spans="1:24" ht="15" customHeight="1" x14ac:dyDescent="0.35">
      <c r="A97" s="227"/>
      <c r="B97" s="24"/>
      <c r="C97" s="211"/>
      <c r="D97" s="15"/>
      <c r="E97" s="15"/>
      <c r="F97" s="9">
        <v>800</v>
      </c>
      <c r="G97" s="29">
        <f t="shared" si="7"/>
        <v>0</v>
      </c>
      <c r="H97" s="11"/>
      <c r="I97" s="10"/>
      <c r="J97" s="29">
        <f t="shared" si="8"/>
        <v>0</v>
      </c>
      <c r="K97" s="29"/>
      <c r="L97" s="223">
        <f t="shared" si="9"/>
        <v>0</v>
      </c>
      <c r="M97" s="12"/>
      <c r="N97" s="218" t="str">
        <f>IF(M97&gt;0,SUM(L97-M97)," ")</f>
        <v xml:space="preserve"> </v>
      </c>
      <c r="O97" s="189"/>
      <c r="P97" s="189"/>
      <c r="Q97" s="189"/>
      <c r="R97" s="189" t="str">
        <f t="shared" si="6"/>
        <v xml:space="preserve"> </v>
      </c>
      <c r="S97" s="189"/>
      <c r="T97" s="253"/>
      <c r="U97" s="13"/>
      <c r="V97" s="253"/>
      <c r="W97" s="253"/>
      <c r="X97" s="16"/>
    </row>
    <row r="98" spans="1:24" ht="15" customHeight="1" x14ac:dyDescent="0.35">
      <c r="A98" s="227"/>
      <c r="B98" s="24"/>
      <c r="C98" s="206"/>
      <c r="D98" s="15"/>
      <c r="E98" s="15"/>
      <c r="F98" s="9">
        <v>800</v>
      </c>
      <c r="G98" s="29">
        <f t="shared" si="7"/>
        <v>0</v>
      </c>
      <c r="H98" s="11"/>
      <c r="I98" s="10"/>
      <c r="J98" s="29">
        <f t="shared" si="8"/>
        <v>0</v>
      </c>
      <c r="K98" s="29"/>
      <c r="L98" s="223">
        <f t="shared" si="9"/>
        <v>0</v>
      </c>
      <c r="M98" s="12"/>
      <c r="N98" s="218" t="str">
        <f t="shared" si="5"/>
        <v xml:space="preserve"> </v>
      </c>
      <c r="O98" s="189"/>
      <c r="P98" s="189"/>
      <c r="Q98" s="189"/>
      <c r="R98" s="189" t="str">
        <f t="shared" si="4"/>
        <v xml:space="preserve"> </v>
      </c>
      <c r="S98" s="189"/>
      <c r="T98" s="253"/>
      <c r="U98" s="13"/>
      <c r="V98" s="253"/>
      <c r="W98" s="253"/>
      <c r="X98" s="16"/>
    </row>
    <row r="99" spans="1:24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7"/>
        <v>0</v>
      </c>
      <c r="H99" s="11"/>
      <c r="I99" s="10"/>
      <c r="J99" s="29">
        <f t="shared" si="8"/>
        <v>0</v>
      </c>
      <c r="K99" s="29"/>
      <c r="L99" s="223">
        <f t="shared" si="9"/>
        <v>0</v>
      </c>
      <c r="M99" s="12"/>
      <c r="N99" s="218" t="str">
        <f t="shared" si="5"/>
        <v xml:space="preserve"> </v>
      </c>
      <c r="O99" s="189"/>
      <c r="P99" s="189"/>
      <c r="Q99" s="189"/>
      <c r="R99" s="189" t="str">
        <f t="shared" si="4"/>
        <v xml:space="preserve"> </v>
      </c>
      <c r="S99" s="189"/>
      <c r="T99" s="253"/>
      <c r="U99" s="13"/>
      <c r="V99" s="253"/>
      <c r="W99" s="253"/>
      <c r="X99" s="16"/>
    </row>
    <row r="100" spans="1:24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7"/>
        <v>0</v>
      </c>
      <c r="H100" s="11"/>
      <c r="I100" s="10"/>
      <c r="J100" s="29">
        <f t="shared" si="8"/>
        <v>0</v>
      </c>
      <c r="K100" s="29"/>
      <c r="L100" s="223">
        <f t="shared" si="9"/>
        <v>0</v>
      </c>
      <c r="M100" s="12"/>
      <c r="N100" s="218" t="str">
        <f t="shared" si="5"/>
        <v xml:space="preserve"> </v>
      </c>
      <c r="O100" s="189"/>
      <c r="P100" s="189"/>
      <c r="Q100" s="189"/>
      <c r="R100" s="189" t="str">
        <f t="shared" si="4"/>
        <v xml:space="preserve"> </v>
      </c>
      <c r="S100" s="189"/>
      <c r="T100" s="253"/>
      <c r="U100" s="13"/>
      <c r="V100" s="253"/>
      <c r="W100" s="253"/>
      <c r="X100" s="16"/>
    </row>
    <row r="101" spans="1:24" ht="16" x14ac:dyDescent="0.5">
      <c r="D101" s="21">
        <f>SUM(D4:D100)</f>
        <v>92</v>
      </c>
      <c r="E101" s="21">
        <f>SUM(E4:E100)</f>
        <v>98</v>
      </c>
      <c r="G101" s="198">
        <f>SUM(G4:G100)</f>
        <v>156160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156160</v>
      </c>
      <c r="M101" s="198"/>
      <c r="N101" s="218" t="str">
        <f t="shared" si="5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-2290</v>
      </c>
      <c r="S101" s="199">
        <f>SUM(S4:S100)</f>
        <v>0</v>
      </c>
    </row>
    <row r="102" spans="1:24" x14ac:dyDescent="0.35">
      <c r="D102" s="290">
        <f>D101+E101</f>
        <v>190</v>
      </c>
      <c r="E102" s="291"/>
      <c r="G102" s="22"/>
      <c r="I102" s="5"/>
      <c r="J102" s="22"/>
      <c r="K102" s="22"/>
    </row>
    <row r="103" spans="1:24" x14ac:dyDescent="0.35">
      <c r="I103" s="5"/>
      <c r="J103" s="6"/>
      <c r="K103" s="6"/>
    </row>
    <row r="108" spans="1:24" x14ac:dyDescent="0.35">
      <c r="C108" s="211" t="s">
        <v>82</v>
      </c>
    </row>
    <row r="109" spans="1:24" x14ac:dyDescent="0.35">
      <c r="C109" s="211" t="s">
        <v>103</v>
      </c>
    </row>
    <row r="110" spans="1:24" x14ac:dyDescent="0.35">
      <c r="C110" s="211" t="s">
        <v>82</v>
      </c>
    </row>
    <row r="111" spans="1:24" x14ac:dyDescent="0.35">
      <c r="C111" s="211" t="s">
        <v>15</v>
      </c>
    </row>
    <row r="112" spans="1:24" x14ac:dyDescent="0.35">
      <c r="C112" s="212" t="s">
        <v>100</v>
      </c>
    </row>
    <row r="113" spans="3:3" x14ac:dyDescent="0.35">
      <c r="C113" s="211" t="s">
        <v>81</v>
      </c>
    </row>
    <row r="114" spans="3:3" x14ac:dyDescent="0.35">
      <c r="C114" s="211" t="s">
        <v>82</v>
      </c>
    </row>
    <row r="115" spans="3:3" x14ac:dyDescent="0.35">
      <c r="C115" s="211" t="s">
        <v>82</v>
      </c>
    </row>
    <row r="116" spans="3:3" x14ac:dyDescent="0.35">
      <c r="C116" s="211" t="s">
        <v>82</v>
      </c>
    </row>
    <row r="117" spans="3:3" x14ac:dyDescent="0.35">
      <c r="C117" s="211" t="s">
        <v>103</v>
      </c>
    </row>
    <row r="118" spans="3:3" x14ac:dyDescent="0.35">
      <c r="C118" s="212"/>
    </row>
    <row r="119" spans="3:3" x14ac:dyDescent="0.35">
      <c r="C119" s="211"/>
    </row>
    <row r="120" spans="3:3" x14ac:dyDescent="0.35">
      <c r="C120" s="212" t="s">
        <v>112</v>
      </c>
    </row>
    <row r="121" spans="3:3" x14ac:dyDescent="0.35">
      <c r="C121" s="211" t="s">
        <v>102</v>
      </c>
    </row>
    <row r="122" spans="3:3" x14ac:dyDescent="0.35">
      <c r="C122" s="211" t="s">
        <v>15</v>
      </c>
    </row>
    <row r="123" spans="3:3" x14ac:dyDescent="0.35">
      <c r="C123" s="211"/>
    </row>
    <row r="124" spans="3:3" x14ac:dyDescent="0.35">
      <c r="C124" s="211"/>
    </row>
    <row r="125" spans="3:3" x14ac:dyDescent="0.35">
      <c r="C125" s="211" t="s">
        <v>82</v>
      </c>
    </row>
    <row r="126" spans="3:3" x14ac:dyDescent="0.35">
      <c r="C126" s="212" t="s">
        <v>100</v>
      </c>
    </row>
    <row r="127" spans="3:3" x14ac:dyDescent="0.35">
      <c r="C127" s="211" t="s">
        <v>82</v>
      </c>
    </row>
    <row r="128" spans="3:3" x14ac:dyDescent="0.35">
      <c r="C128" s="211" t="s">
        <v>81</v>
      </c>
    </row>
    <row r="129" spans="3:3" x14ac:dyDescent="0.35">
      <c r="C129" s="211" t="s">
        <v>115</v>
      </c>
    </row>
    <row r="130" spans="3:3" x14ac:dyDescent="0.35">
      <c r="C130" s="212" t="s">
        <v>101</v>
      </c>
    </row>
    <row r="131" spans="3:3" x14ac:dyDescent="0.35">
      <c r="C131" s="211" t="s">
        <v>82</v>
      </c>
    </row>
    <row r="132" spans="3:3" x14ac:dyDescent="0.35">
      <c r="C132" s="211" t="s">
        <v>111</v>
      </c>
    </row>
    <row r="133" spans="3:3" x14ac:dyDescent="0.35">
      <c r="C133" s="206"/>
    </row>
    <row r="134" spans="3:3" x14ac:dyDescent="0.35">
      <c r="C134" s="212"/>
    </row>
    <row r="135" spans="3:3" x14ac:dyDescent="0.35">
      <c r="C135" s="212" t="s">
        <v>101</v>
      </c>
    </row>
    <row r="136" spans="3:3" x14ac:dyDescent="0.35">
      <c r="C136" s="212" t="s">
        <v>15</v>
      </c>
    </row>
    <row r="137" spans="3:3" x14ac:dyDescent="0.35">
      <c r="C137" s="211" t="s">
        <v>81</v>
      </c>
    </row>
    <row r="138" spans="3:3" x14ac:dyDescent="0.35">
      <c r="C138" s="211"/>
    </row>
    <row r="1048434" spans="15:21" x14ac:dyDescent="0.35">
      <c r="O1048434" s="189"/>
      <c r="P1048434" s="189"/>
      <c r="Q1048434" s="189"/>
      <c r="R1048434" s="189"/>
      <c r="S1048434" s="189"/>
      <c r="U1048434" s="13"/>
    </row>
    <row r="1048576" spans="1:1" x14ac:dyDescent="0.35">
      <c r="A1048576" s="245">
        <v>44484</v>
      </c>
    </row>
  </sheetData>
  <autoFilter ref="B3:AA102" xr:uid="{00000000-0009-0000-0000-000010000000}"/>
  <mergeCells count="15">
    <mergeCell ref="A2:A3"/>
    <mergeCell ref="B2:B3"/>
    <mergeCell ref="C2:C3"/>
    <mergeCell ref="D2:G2"/>
    <mergeCell ref="H2:J2"/>
    <mergeCell ref="K2:K3"/>
    <mergeCell ref="V2:V3"/>
    <mergeCell ref="X2:X3"/>
    <mergeCell ref="O3:O4"/>
    <mergeCell ref="L2:L3"/>
    <mergeCell ref="M2:M3"/>
    <mergeCell ref="N2:N3"/>
    <mergeCell ref="O2:S2"/>
    <mergeCell ref="T2:T3"/>
    <mergeCell ref="U2:U3"/>
  </mergeCells>
  <conditionalFormatting sqref="B2 B100:B1048576 A65 A93:A94 A82:A91 A25 A75:A76 A78:A80 A67 A18:A19 A69 A43 A50:A59 A21:A23">
    <cfRule type="containsText" dxfId="609" priority="294" operator="containsText" text="OK">
      <formula>NOT(ISERROR(SEARCH("OK",A2)))</formula>
    </cfRule>
  </conditionalFormatting>
  <conditionalFormatting sqref="B2 B100:B1048576 A65 A93:A94 A82:A91 A25 A75:A76 A78:A80 A67 A18:A19 A69 A43 A50:A59 A21:A23">
    <cfRule type="containsText" dxfId="608" priority="293" operator="containsText" text="ok">
      <formula>NOT(ISERROR(SEARCH("ok",A2)))</formula>
    </cfRule>
  </conditionalFormatting>
  <conditionalFormatting sqref="B67 B54:B65">
    <cfRule type="containsText" dxfId="607" priority="292" operator="containsText" text="OK">
      <formula>NOT(ISERROR(SEARCH("OK",B54)))</formula>
    </cfRule>
  </conditionalFormatting>
  <conditionalFormatting sqref="B67 B54:B65">
    <cfRule type="containsText" dxfId="606" priority="291" operator="containsText" text="ok">
      <formula>NOT(ISERROR(SEARCH("ok",B54)))</formula>
    </cfRule>
  </conditionalFormatting>
  <conditionalFormatting sqref="B91">
    <cfRule type="containsText" dxfId="605" priority="290" operator="containsText" text="OK">
      <formula>NOT(ISERROR(SEARCH("OK",B91)))</formula>
    </cfRule>
  </conditionalFormatting>
  <conditionalFormatting sqref="B91">
    <cfRule type="containsText" dxfId="604" priority="289" operator="containsText" text="ok">
      <formula>NOT(ISERROR(SEARCH("ok",B91)))</formula>
    </cfRule>
  </conditionalFormatting>
  <conditionalFormatting sqref="A2 A100:A1048575">
    <cfRule type="containsText" dxfId="603" priority="288" operator="containsText" text="OK">
      <formula>NOT(ISERROR(SEARCH("OK",A2)))</formula>
    </cfRule>
  </conditionalFormatting>
  <conditionalFormatting sqref="A2 A100:A1048575">
    <cfRule type="containsText" dxfId="602" priority="287" operator="containsText" text="ok">
      <formula>NOT(ISERROR(SEARCH("ok",A2)))</formula>
    </cfRule>
  </conditionalFormatting>
  <conditionalFormatting sqref="A95">
    <cfRule type="containsText" dxfId="601" priority="286" operator="containsText" text="OK">
      <formula>NOT(ISERROR(SEARCH("OK",A95)))</formula>
    </cfRule>
  </conditionalFormatting>
  <conditionalFormatting sqref="A95">
    <cfRule type="containsText" dxfId="600" priority="285" operator="containsText" text="ok">
      <formula>NOT(ISERROR(SEARCH("ok",A95)))</formula>
    </cfRule>
  </conditionalFormatting>
  <conditionalFormatting sqref="A96">
    <cfRule type="containsText" dxfId="599" priority="284" operator="containsText" text="OK">
      <formula>NOT(ISERROR(SEARCH("OK",A96)))</formula>
    </cfRule>
  </conditionalFormatting>
  <conditionalFormatting sqref="A96">
    <cfRule type="containsText" dxfId="598" priority="283" operator="containsText" text="ok">
      <formula>NOT(ISERROR(SEARCH("ok",A96)))</formula>
    </cfRule>
  </conditionalFormatting>
  <conditionalFormatting sqref="A97">
    <cfRule type="containsText" dxfId="597" priority="282" operator="containsText" text="OK">
      <formula>NOT(ISERROR(SEARCH("OK",A97)))</formula>
    </cfRule>
  </conditionalFormatting>
  <conditionalFormatting sqref="A97">
    <cfRule type="containsText" dxfId="596" priority="281" operator="containsText" text="ok">
      <formula>NOT(ISERROR(SEARCH("ok",A97)))</formula>
    </cfRule>
  </conditionalFormatting>
  <conditionalFormatting sqref="A98">
    <cfRule type="containsText" dxfId="595" priority="280" operator="containsText" text="OK">
      <formula>NOT(ISERROR(SEARCH("OK",A98)))</formula>
    </cfRule>
  </conditionalFormatting>
  <conditionalFormatting sqref="A98">
    <cfRule type="containsText" dxfId="594" priority="279" operator="containsText" text="ok">
      <formula>NOT(ISERROR(SEARCH("ok",A98)))</formula>
    </cfRule>
  </conditionalFormatting>
  <conditionalFormatting sqref="A99">
    <cfRule type="containsText" dxfId="593" priority="278" operator="containsText" text="OK">
      <formula>NOT(ISERROR(SEARCH("OK",A99)))</formula>
    </cfRule>
  </conditionalFormatting>
  <conditionalFormatting sqref="A99">
    <cfRule type="containsText" dxfId="592" priority="277" operator="containsText" text="ok">
      <formula>NOT(ISERROR(SEARCH("ok",A99)))</formula>
    </cfRule>
  </conditionalFormatting>
  <conditionalFormatting sqref="B87">
    <cfRule type="containsText" dxfId="591" priority="276" operator="containsText" text="OK">
      <formula>NOT(ISERROR(SEARCH("OK",B87)))</formula>
    </cfRule>
  </conditionalFormatting>
  <conditionalFormatting sqref="B87">
    <cfRule type="containsText" dxfId="590" priority="275" operator="containsText" text="ok">
      <formula>NOT(ISERROR(SEARCH("ok",B87)))</formula>
    </cfRule>
  </conditionalFormatting>
  <conditionalFormatting sqref="B82">
    <cfRule type="containsText" dxfId="589" priority="274" operator="containsText" text="OK">
      <formula>NOT(ISERROR(SEARCH("OK",B82)))</formula>
    </cfRule>
  </conditionalFormatting>
  <conditionalFormatting sqref="B82">
    <cfRule type="containsText" dxfId="588" priority="273" operator="containsText" text="ok">
      <formula>NOT(ISERROR(SEARCH("ok",B82)))</formula>
    </cfRule>
  </conditionalFormatting>
  <conditionalFormatting sqref="B83">
    <cfRule type="containsText" dxfId="587" priority="272" operator="containsText" text="OK">
      <formula>NOT(ISERROR(SEARCH("OK",B83)))</formula>
    </cfRule>
  </conditionalFormatting>
  <conditionalFormatting sqref="B83">
    <cfRule type="containsText" dxfId="586" priority="271" operator="containsText" text="ok">
      <formula>NOT(ISERROR(SEARCH("ok",B83)))</formula>
    </cfRule>
  </conditionalFormatting>
  <conditionalFormatting sqref="B84">
    <cfRule type="containsText" dxfId="585" priority="270" operator="containsText" text="OK">
      <formula>NOT(ISERROR(SEARCH("OK",B84)))</formula>
    </cfRule>
  </conditionalFormatting>
  <conditionalFormatting sqref="B84">
    <cfRule type="containsText" dxfId="584" priority="269" operator="containsText" text="ok">
      <formula>NOT(ISERROR(SEARCH("ok",B84)))</formula>
    </cfRule>
  </conditionalFormatting>
  <conditionalFormatting sqref="B85">
    <cfRule type="containsText" dxfId="583" priority="268" operator="containsText" text="OK">
      <formula>NOT(ISERROR(SEARCH("OK",B85)))</formula>
    </cfRule>
  </conditionalFormatting>
  <conditionalFormatting sqref="B85">
    <cfRule type="containsText" dxfId="582" priority="267" operator="containsText" text="ok">
      <formula>NOT(ISERROR(SEARCH("ok",B85)))</formula>
    </cfRule>
  </conditionalFormatting>
  <conditionalFormatting sqref="B86">
    <cfRule type="containsText" dxfId="581" priority="266" operator="containsText" text="OK">
      <formula>NOT(ISERROR(SEARCH("OK",B86)))</formula>
    </cfRule>
  </conditionalFormatting>
  <conditionalFormatting sqref="B86">
    <cfRule type="containsText" dxfId="580" priority="265" operator="containsText" text="ok">
      <formula>NOT(ISERROR(SEARCH("ok",B86)))</formula>
    </cfRule>
  </conditionalFormatting>
  <conditionalFormatting sqref="B69">
    <cfRule type="containsText" dxfId="579" priority="262" operator="containsText" text="OK">
      <formula>NOT(ISERROR(SEARCH("OK",B69)))</formula>
    </cfRule>
  </conditionalFormatting>
  <conditionalFormatting sqref="B69">
    <cfRule type="containsText" dxfId="578" priority="261" operator="containsText" text="ok">
      <formula>NOT(ISERROR(SEARCH("ok",B69)))</formula>
    </cfRule>
  </conditionalFormatting>
  <conditionalFormatting sqref="B88">
    <cfRule type="containsText" dxfId="577" priority="260" operator="containsText" text="OK">
      <formula>NOT(ISERROR(SEARCH("OK",B88)))</formula>
    </cfRule>
  </conditionalFormatting>
  <conditionalFormatting sqref="B88">
    <cfRule type="containsText" dxfId="576" priority="259" operator="containsText" text="ok">
      <formula>NOT(ISERROR(SEARCH("ok",B88)))</formula>
    </cfRule>
  </conditionalFormatting>
  <conditionalFormatting sqref="A92">
    <cfRule type="containsText" dxfId="575" priority="258" operator="containsText" text="OK">
      <formula>NOT(ISERROR(SEARCH("OK",A92)))</formula>
    </cfRule>
  </conditionalFormatting>
  <conditionalFormatting sqref="A92">
    <cfRule type="containsText" dxfId="574" priority="257" operator="containsText" text="ok">
      <formula>NOT(ISERROR(SEARCH("ok",A92)))</formula>
    </cfRule>
  </conditionalFormatting>
  <conditionalFormatting sqref="B87">
    <cfRule type="containsText" dxfId="573" priority="256" operator="containsText" text="OK">
      <formula>NOT(ISERROR(SEARCH("OK",B87)))</formula>
    </cfRule>
  </conditionalFormatting>
  <conditionalFormatting sqref="B87">
    <cfRule type="containsText" dxfId="572" priority="255" operator="containsText" text="ok">
      <formula>NOT(ISERROR(SEARCH("ok",B87)))</formula>
    </cfRule>
  </conditionalFormatting>
  <conditionalFormatting sqref="B83">
    <cfRule type="containsText" dxfId="571" priority="254" operator="containsText" text="OK">
      <formula>NOT(ISERROR(SEARCH("OK",B83)))</formula>
    </cfRule>
  </conditionalFormatting>
  <conditionalFormatting sqref="B83">
    <cfRule type="containsText" dxfId="570" priority="253" operator="containsText" text="ok">
      <formula>NOT(ISERROR(SEARCH("ok",B83)))</formula>
    </cfRule>
  </conditionalFormatting>
  <conditionalFormatting sqref="B84">
    <cfRule type="containsText" dxfId="569" priority="252" operator="containsText" text="OK">
      <formula>NOT(ISERROR(SEARCH("OK",B84)))</formula>
    </cfRule>
  </conditionalFormatting>
  <conditionalFormatting sqref="B84">
    <cfRule type="containsText" dxfId="568" priority="251" operator="containsText" text="ok">
      <formula>NOT(ISERROR(SEARCH("ok",B84)))</formula>
    </cfRule>
  </conditionalFormatting>
  <conditionalFormatting sqref="A88">
    <cfRule type="containsText" dxfId="567" priority="250" operator="containsText" text="OK">
      <formula>NOT(ISERROR(SEARCH("OK",A88)))</formula>
    </cfRule>
  </conditionalFormatting>
  <conditionalFormatting sqref="A88">
    <cfRule type="containsText" dxfId="566" priority="249" operator="containsText" text="ok">
      <formula>NOT(ISERROR(SEARCH("ok",A88)))</formula>
    </cfRule>
  </conditionalFormatting>
  <conditionalFormatting sqref="A81">
    <cfRule type="containsText" dxfId="565" priority="248" operator="containsText" text="OK">
      <formula>NOT(ISERROR(SEARCH("OK",A81)))</formula>
    </cfRule>
  </conditionalFormatting>
  <conditionalFormatting sqref="A81">
    <cfRule type="containsText" dxfId="564" priority="247" operator="containsText" text="ok">
      <formula>NOT(ISERROR(SEARCH("ok",A81)))</formula>
    </cfRule>
  </conditionalFormatting>
  <conditionalFormatting sqref="B81">
    <cfRule type="containsText" dxfId="563" priority="246" operator="containsText" text="OK">
      <formula>NOT(ISERROR(SEARCH("OK",B81)))</formula>
    </cfRule>
  </conditionalFormatting>
  <conditionalFormatting sqref="B81">
    <cfRule type="containsText" dxfId="562" priority="245" operator="containsText" text="ok">
      <formula>NOT(ISERROR(SEARCH("ok",B81)))</formula>
    </cfRule>
  </conditionalFormatting>
  <conditionalFormatting sqref="B66">
    <cfRule type="containsText" dxfId="561" priority="240" operator="containsText" text="OK">
      <formula>NOT(ISERROR(SEARCH("OK",B66)))</formula>
    </cfRule>
  </conditionalFormatting>
  <conditionalFormatting sqref="B66">
    <cfRule type="containsText" dxfId="560" priority="239" operator="containsText" text="ok">
      <formula>NOT(ISERROR(SEARCH("ok",B66)))</formula>
    </cfRule>
  </conditionalFormatting>
  <conditionalFormatting sqref="A66">
    <cfRule type="containsText" dxfId="559" priority="242" operator="containsText" text="OK">
      <formula>NOT(ISERROR(SEARCH("OK",A66)))</formula>
    </cfRule>
  </conditionalFormatting>
  <conditionalFormatting sqref="A66">
    <cfRule type="containsText" dxfId="558" priority="241" operator="containsText" text="ok">
      <formula>NOT(ISERROR(SEARCH("ok",A66)))</formula>
    </cfRule>
  </conditionalFormatting>
  <conditionalFormatting sqref="B75">
    <cfRule type="containsText" dxfId="557" priority="236" operator="containsText" text="OK">
      <formula>NOT(ISERROR(SEARCH("OK",B75)))</formula>
    </cfRule>
  </conditionalFormatting>
  <conditionalFormatting sqref="B75">
    <cfRule type="containsText" dxfId="556" priority="235" operator="containsText" text="ok">
      <formula>NOT(ISERROR(SEARCH("ok",B75)))</formula>
    </cfRule>
  </conditionalFormatting>
  <conditionalFormatting sqref="B74">
    <cfRule type="containsText" dxfId="555" priority="238" operator="containsText" text="OK">
      <formula>NOT(ISERROR(SEARCH("OK",B74)))</formula>
    </cfRule>
  </conditionalFormatting>
  <conditionalFormatting sqref="B74">
    <cfRule type="containsText" dxfId="554" priority="237" operator="containsText" text="ok">
      <formula>NOT(ISERROR(SEARCH("ok",B74)))</formula>
    </cfRule>
  </conditionalFormatting>
  <conditionalFormatting sqref="B76">
    <cfRule type="containsText" dxfId="553" priority="234" operator="containsText" text="OK">
      <formula>NOT(ISERROR(SEARCH("OK",B76)))</formula>
    </cfRule>
  </conditionalFormatting>
  <conditionalFormatting sqref="B76">
    <cfRule type="containsText" dxfId="552" priority="233" operator="containsText" text="ok">
      <formula>NOT(ISERROR(SEARCH("ok",B76)))</formula>
    </cfRule>
  </conditionalFormatting>
  <conditionalFormatting sqref="B77">
    <cfRule type="containsText" dxfId="551" priority="232" operator="containsText" text="OK">
      <formula>NOT(ISERROR(SEARCH("OK",B77)))</formula>
    </cfRule>
  </conditionalFormatting>
  <conditionalFormatting sqref="B77">
    <cfRule type="containsText" dxfId="550" priority="231" operator="containsText" text="ok">
      <formula>NOT(ISERROR(SEARCH("ok",B77)))</formula>
    </cfRule>
  </conditionalFormatting>
  <conditionalFormatting sqref="B78">
    <cfRule type="containsText" dxfId="549" priority="230" operator="containsText" text="OK">
      <formula>NOT(ISERROR(SEARCH("OK",B78)))</formula>
    </cfRule>
  </conditionalFormatting>
  <conditionalFormatting sqref="B78">
    <cfRule type="containsText" dxfId="548" priority="229" operator="containsText" text="ok">
      <formula>NOT(ISERROR(SEARCH("ok",B78)))</formula>
    </cfRule>
  </conditionalFormatting>
  <conditionalFormatting sqref="A77">
    <cfRule type="containsText" dxfId="547" priority="228" operator="containsText" text="OK">
      <formula>NOT(ISERROR(SEARCH("OK",A77)))</formula>
    </cfRule>
  </conditionalFormatting>
  <conditionalFormatting sqref="A77">
    <cfRule type="containsText" dxfId="546" priority="227" operator="containsText" text="ok">
      <formula>NOT(ISERROR(SEARCH("ok",A77)))</formula>
    </cfRule>
  </conditionalFormatting>
  <conditionalFormatting sqref="A48">
    <cfRule type="containsText" dxfId="545" priority="226" operator="containsText" text="OK">
      <formula>NOT(ISERROR(SEARCH("OK",A48)))</formula>
    </cfRule>
  </conditionalFormatting>
  <conditionalFormatting sqref="A48">
    <cfRule type="containsText" dxfId="544" priority="225" operator="containsText" text="ok">
      <formula>NOT(ISERROR(SEARCH("ok",A48)))</formula>
    </cfRule>
  </conditionalFormatting>
  <conditionalFormatting sqref="A74">
    <cfRule type="containsText" dxfId="543" priority="224" operator="containsText" text="OK">
      <formula>NOT(ISERROR(SEARCH("OK",A74)))</formula>
    </cfRule>
  </conditionalFormatting>
  <conditionalFormatting sqref="A74">
    <cfRule type="containsText" dxfId="542" priority="223" operator="containsText" text="ok">
      <formula>NOT(ISERROR(SEARCH("ok",A74)))</formula>
    </cfRule>
  </conditionalFormatting>
  <conditionalFormatting sqref="A64">
    <cfRule type="containsText" dxfId="541" priority="220" operator="containsText" text="OK">
      <formula>NOT(ISERROR(SEARCH("OK",A64)))</formula>
    </cfRule>
  </conditionalFormatting>
  <conditionalFormatting sqref="A64">
    <cfRule type="containsText" dxfId="540" priority="219" operator="containsText" text="ok">
      <formula>NOT(ISERROR(SEARCH("ok",A64)))</formula>
    </cfRule>
  </conditionalFormatting>
  <conditionalFormatting sqref="B66">
    <cfRule type="containsText" dxfId="539" priority="206" operator="containsText" text="OK">
      <formula>NOT(ISERROR(SEARCH("OK",B66)))</formula>
    </cfRule>
  </conditionalFormatting>
  <conditionalFormatting sqref="B66">
    <cfRule type="containsText" dxfId="538" priority="205" operator="containsText" text="ok">
      <formula>NOT(ISERROR(SEARCH("ok",B66)))</formula>
    </cfRule>
  </conditionalFormatting>
  <conditionalFormatting sqref="A68">
    <cfRule type="containsText" dxfId="537" priority="212" operator="containsText" text="OK">
      <formula>NOT(ISERROR(SEARCH("OK",A68)))</formula>
    </cfRule>
  </conditionalFormatting>
  <conditionalFormatting sqref="A68">
    <cfRule type="containsText" dxfId="536" priority="211" operator="containsText" text="ok">
      <formula>NOT(ISERROR(SEARCH("ok",A68)))</formula>
    </cfRule>
  </conditionalFormatting>
  <conditionalFormatting sqref="B68">
    <cfRule type="containsText" dxfId="535" priority="210" operator="containsText" text="OK">
      <formula>NOT(ISERROR(SEARCH("OK",B68)))</formula>
    </cfRule>
  </conditionalFormatting>
  <conditionalFormatting sqref="B68">
    <cfRule type="containsText" dxfId="534" priority="209" operator="containsText" text="ok">
      <formula>NOT(ISERROR(SEARCH("ok",B68)))</formula>
    </cfRule>
  </conditionalFormatting>
  <conditionalFormatting sqref="A66">
    <cfRule type="containsText" dxfId="533" priority="208" operator="containsText" text="OK">
      <formula>NOT(ISERROR(SEARCH("OK",A66)))</formula>
    </cfRule>
  </conditionalFormatting>
  <conditionalFormatting sqref="A66">
    <cfRule type="containsText" dxfId="532" priority="207" operator="containsText" text="ok">
      <formula>NOT(ISERROR(SEARCH("ok",A66)))</formula>
    </cfRule>
  </conditionalFormatting>
  <conditionalFormatting sqref="B65">
    <cfRule type="containsText" dxfId="531" priority="202" operator="containsText" text="OK">
      <formula>NOT(ISERROR(SEARCH("OK",B65)))</formula>
    </cfRule>
  </conditionalFormatting>
  <conditionalFormatting sqref="B65">
    <cfRule type="containsText" dxfId="530" priority="201" operator="containsText" text="ok">
      <formula>NOT(ISERROR(SEARCH("ok",B65)))</formula>
    </cfRule>
  </conditionalFormatting>
  <conditionalFormatting sqref="A65">
    <cfRule type="containsText" dxfId="529" priority="204" operator="containsText" text="OK">
      <formula>NOT(ISERROR(SEARCH("OK",A65)))</formula>
    </cfRule>
  </conditionalFormatting>
  <conditionalFormatting sqref="A65">
    <cfRule type="containsText" dxfId="528" priority="203" operator="containsText" text="ok">
      <formula>NOT(ISERROR(SEARCH("ok",A65)))</formula>
    </cfRule>
  </conditionalFormatting>
  <conditionalFormatting sqref="A67">
    <cfRule type="containsText" dxfId="527" priority="200" operator="containsText" text="OK">
      <formula>NOT(ISERROR(SEARCH("OK",A67)))</formula>
    </cfRule>
  </conditionalFormatting>
  <conditionalFormatting sqref="A67">
    <cfRule type="containsText" dxfId="526" priority="199" operator="containsText" text="ok">
      <formula>NOT(ISERROR(SEARCH("ok",A67)))</formula>
    </cfRule>
  </conditionalFormatting>
  <conditionalFormatting sqref="B67">
    <cfRule type="containsText" dxfId="525" priority="198" operator="containsText" text="OK">
      <formula>NOT(ISERROR(SEARCH("OK",B67)))</formula>
    </cfRule>
  </conditionalFormatting>
  <conditionalFormatting sqref="B67">
    <cfRule type="containsText" dxfId="524" priority="197" operator="containsText" text="ok">
      <formula>NOT(ISERROR(SEARCH("ok",B67)))</formula>
    </cfRule>
  </conditionalFormatting>
  <conditionalFormatting sqref="B70">
    <cfRule type="containsText" dxfId="523" priority="196" operator="containsText" text="OK">
      <formula>NOT(ISERROR(SEARCH("OK",B70)))</formula>
    </cfRule>
  </conditionalFormatting>
  <conditionalFormatting sqref="B70">
    <cfRule type="containsText" dxfId="522" priority="195" operator="containsText" text="ok">
      <formula>NOT(ISERROR(SEARCH("ok",B70)))</formula>
    </cfRule>
  </conditionalFormatting>
  <conditionalFormatting sqref="A70">
    <cfRule type="containsText" dxfId="521" priority="194" operator="containsText" text="OK">
      <formula>NOT(ISERROR(SEARCH("OK",A70)))</formula>
    </cfRule>
  </conditionalFormatting>
  <conditionalFormatting sqref="A70">
    <cfRule type="containsText" dxfId="520" priority="193" operator="containsText" text="ok">
      <formula>NOT(ISERROR(SEARCH("ok",A70)))</formula>
    </cfRule>
  </conditionalFormatting>
  <conditionalFormatting sqref="B71">
    <cfRule type="containsText" dxfId="519" priority="190" operator="containsText" text="OK">
      <formula>NOT(ISERROR(SEARCH("OK",B71)))</formula>
    </cfRule>
  </conditionalFormatting>
  <conditionalFormatting sqref="B71">
    <cfRule type="containsText" dxfId="518" priority="189" operator="containsText" text="ok">
      <formula>NOT(ISERROR(SEARCH("ok",B71)))</formula>
    </cfRule>
  </conditionalFormatting>
  <conditionalFormatting sqref="B71">
    <cfRule type="containsText" dxfId="517" priority="186" operator="containsText" text="OK">
      <formula>NOT(ISERROR(SEARCH("OK",B71)))</formula>
    </cfRule>
  </conditionalFormatting>
  <conditionalFormatting sqref="B71">
    <cfRule type="containsText" dxfId="516" priority="185" operator="containsText" text="ok">
      <formula>NOT(ISERROR(SEARCH("ok",B71)))</formula>
    </cfRule>
  </conditionalFormatting>
  <conditionalFormatting sqref="B72">
    <cfRule type="containsText" dxfId="515" priority="182" operator="containsText" text="OK">
      <formula>NOT(ISERROR(SEARCH("OK",B72)))</formula>
    </cfRule>
  </conditionalFormatting>
  <conditionalFormatting sqref="B72">
    <cfRule type="containsText" dxfId="514" priority="181" operator="containsText" text="ok">
      <formula>NOT(ISERROR(SEARCH("ok",B72)))</formula>
    </cfRule>
  </conditionalFormatting>
  <conditionalFormatting sqref="B73">
    <cfRule type="containsText" dxfId="513" priority="178" operator="containsText" text="OK">
      <formula>NOT(ISERROR(SEARCH("OK",B73)))</formula>
    </cfRule>
  </conditionalFormatting>
  <conditionalFormatting sqref="B73">
    <cfRule type="containsText" dxfId="512" priority="177" operator="containsText" text="ok">
      <formula>NOT(ISERROR(SEARCH("ok",B73)))</formula>
    </cfRule>
  </conditionalFormatting>
  <conditionalFormatting sqref="B73">
    <cfRule type="containsText" dxfId="511" priority="174" operator="containsText" text="OK">
      <formula>NOT(ISERROR(SEARCH("OK",B73)))</formula>
    </cfRule>
  </conditionalFormatting>
  <conditionalFormatting sqref="B73">
    <cfRule type="containsText" dxfId="510" priority="173" operator="containsText" text="ok">
      <formula>NOT(ISERROR(SEARCH("ok",B73)))</formula>
    </cfRule>
  </conditionalFormatting>
  <conditionalFormatting sqref="B72">
    <cfRule type="containsText" dxfId="509" priority="170" operator="containsText" text="OK">
      <formula>NOT(ISERROR(SEARCH("OK",B72)))</formula>
    </cfRule>
  </conditionalFormatting>
  <conditionalFormatting sqref="B72">
    <cfRule type="containsText" dxfId="508" priority="169" operator="containsText" text="ok">
      <formula>NOT(ISERROR(SEARCH("ok",B72)))</formula>
    </cfRule>
  </conditionalFormatting>
  <conditionalFormatting sqref="B4">
    <cfRule type="containsText" dxfId="507" priority="168" operator="containsText" text="OK">
      <formula>NOT(ISERROR(SEARCH("OK",B4)))</formula>
    </cfRule>
  </conditionalFormatting>
  <conditionalFormatting sqref="B4">
    <cfRule type="containsText" dxfId="506" priority="167" operator="containsText" text="ok">
      <formula>NOT(ISERROR(SEARCH("ok",B4)))</formula>
    </cfRule>
  </conditionalFormatting>
  <conditionalFormatting sqref="A4">
    <cfRule type="containsText" dxfId="505" priority="166" operator="containsText" text="OK">
      <formula>NOT(ISERROR(SEARCH("OK",A4)))</formula>
    </cfRule>
  </conditionalFormatting>
  <conditionalFormatting sqref="A4">
    <cfRule type="containsText" dxfId="504" priority="165" operator="containsText" text="ok">
      <formula>NOT(ISERROR(SEARCH("ok",A4)))</formula>
    </cfRule>
  </conditionalFormatting>
  <conditionalFormatting sqref="A5">
    <cfRule type="containsText" dxfId="503" priority="164" operator="containsText" text="OK">
      <formula>NOT(ISERROR(SEARCH("OK",A5)))</formula>
    </cfRule>
  </conditionalFormatting>
  <conditionalFormatting sqref="A5">
    <cfRule type="containsText" dxfId="502" priority="163" operator="containsText" text="ok">
      <formula>NOT(ISERROR(SEARCH("ok",A5)))</formula>
    </cfRule>
  </conditionalFormatting>
  <conditionalFormatting sqref="B5">
    <cfRule type="containsText" dxfId="501" priority="162" operator="containsText" text="OK">
      <formula>NOT(ISERROR(SEARCH("OK",B5)))</formula>
    </cfRule>
  </conditionalFormatting>
  <conditionalFormatting sqref="B5">
    <cfRule type="containsText" dxfId="500" priority="161" operator="containsText" text="ok">
      <formula>NOT(ISERROR(SEARCH("ok",B5)))</formula>
    </cfRule>
  </conditionalFormatting>
  <conditionalFormatting sqref="B6">
    <cfRule type="containsText" dxfId="499" priority="158" operator="containsText" text="OK">
      <formula>NOT(ISERROR(SEARCH("OK",B6)))</formula>
    </cfRule>
  </conditionalFormatting>
  <conditionalFormatting sqref="B6">
    <cfRule type="containsText" dxfId="498" priority="157" operator="containsText" text="ok">
      <formula>NOT(ISERROR(SEARCH("ok",B6)))</formula>
    </cfRule>
  </conditionalFormatting>
  <conditionalFormatting sqref="A6">
    <cfRule type="containsText" dxfId="497" priority="160" operator="containsText" text="OK">
      <formula>NOT(ISERROR(SEARCH("OK",A6)))</formula>
    </cfRule>
  </conditionalFormatting>
  <conditionalFormatting sqref="A6">
    <cfRule type="containsText" dxfId="496" priority="159" operator="containsText" text="ok">
      <formula>NOT(ISERROR(SEARCH("ok",A6)))</formula>
    </cfRule>
  </conditionalFormatting>
  <conditionalFormatting sqref="A6">
    <cfRule type="containsText" dxfId="495" priority="156" operator="containsText" text="OK">
      <formula>NOT(ISERROR(SEARCH("OK",A6)))</formula>
    </cfRule>
  </conditionalFormatting>
  <conditionalFormatting sqref="A6">
    <cfRule type="containsText" dxfId="494" priority="155" operator="containsText" text="ok">
      <formula>NOT(ISERROR(SEARCH("ok",A6)))</formula>
    </cfRule>
  </conditionalFormatting>
  <conditionalFormatting sqref="B6">
    <cfRule type="containsText" dxfId="493" priority="154" operator="containsText" text="OK">
      <formula>NOT(ISERROR(SEARCH("OK",B6)))</formula>
    </cfRule>
  </conditionalFormatting>
  <conditionalFormatting sqref="B6">
    <cfRule type="containsText" dxfId="492" priority="153" operator="containsText" text="ok">
      <formula>NOT(ISERROR(SEARCH("ok",B6)))</formula>
    </cfRule>
  </conditionalFormatting>
  <conditionalFormatting sqref="B5">
    <cfRule type="containsText" dxfId="491" priority="150" operator="containsText" text="OK">
      <formula>NOT(ISERROR(SEARCH("OK",B5)))</formula>
    </cfRule>
  </conditionalFormatting>
  <conditionalFormatting sqref="B5">
    <cfRule type="containsText" dxfId="490" priority="149" operator="containsText" text="ok">
      <formula>NOT(ISERROR(SEARCH("ok",B5)))</formula>
    </cfRule>
  </conditionalFormatting>
  <conditionalFormatting sqref="A5">
    <cfRule type="containsText" dxfId="489" priority="152" operator="containsText" text="OK">
      <formula>NOT(ISERROR(SEARCH("OK",A5)))</formula>
    </cfRule>
  </conditionalFormatting>
  <conditionalFormatting sqref="A5">
    <cfRule type="containsText" dxfId="488" priority="151" operator="containsText" text="ok">
      <formula>NOT(ISERROR(SEARCH("ok",A5)))</formula>
    </cfRule>
  </conditionalFormatting>
  <conditionalFormatting sqref="A32">
    <cfRule type="containsText" dxfId="487" priority="146" operator="containsText" text="OK">
      <formula>NOT(ISERROR(SEARCH("OK",A32)))</formula>
    </cfRule>
  </conditionalFormatting>
  <conditionalFormatting sqref="A32">
    <cfRule type="containsText" dxfId="486" priority="145" operator="containsText" text="ok">
      <formula>NOT(ISERROR(SEARCH("ok",A32)))</formula>
    </cfRule>
  </conditionalFormatting>
  <conditionalFormatting sqref="A33">
    <cfRule type="containsText" dxfId="485" priority="144" operator="containsText" text="OK">
      <formula>NOT(ISERROR(SEARCH("OK",A33)))</formula>
    </cfRule>
  </conditionalFormatting>
  <conditionalFormatting sqref="A33">
    <cfRule type="containsText" dxfId="484" priority="143" operator="containsText" text="ok">
      <formula>NOT(ISERROR(SEARCH("ok",A33)))</formula>
    </cfRule>
  </conditionalFormatting>
  <conditionalFormatting sqref="A34">
    <cfRule type="containsText" dxfId="483" priority="142" operator="containsText" text="OK">
      <formula>NOT(ISERROR(SEARCH("OK",A34)))</formula>
    </cfRule>
  </conditionalFormatting>
  <conditionalFormatting sqref="A34">
    <cfRule type="containsText" dxfId="482" priority="141" operator="containsText" text="ok">
      <formula>NOT(ISERROR(SEARCH("ok",A34)))</formula>
    </cfRule>
  </conditionalFormatting>
  <conditionalFormatting sqref="A35">
    <cfRule type="containsText" dxfId="481" priority="140" operator="containsText" text="OK">
      <formula>NOT(ISERROR(SEARCH("OK",A35)))</formula>
    </cfRule>
  </conditionalFormatting>
  <conditionalFormatting sqref="A35">
    <cfRule type="containsText" dxfId="480" priority="139" operator="containsText" text="ok">
      <formula>NOT(ISERROR(SEARCH("ok",A35)))</formula>
    </cfRule>
  </conditionalFormatting>
  <conditionalFormatting sqref="A42">
    <cfRule type="containsText" dxfId="479" priority="124" operator="containsText" text="OK">
      <formula>NOT(ISERROR(SEARCH("OK",A42)))</formula>
    </cfRule>
  </conditionalFormatting>
  <conditionalFormatting sqref="A42">
    <cfRule type="containsText" dxfId="478" priority="123" operator="containsText" text="ok">
      <formula>NOT(ISERROR(SEARCH("ok",A42)))</formula>
    </cfRule>
  </conditionalFormatting>
  <conditionalFormatting sqref="A48">
    <cfRule type="containsText" dxfId="477" priority="118" operator="containsText" text="OK">
      <formula>NOT(ISERROR(SEARCH("OK",A48)))</formula>
    </cfRule>
  </conditionalFormatting>
  <conditionalFormatting sqref="A48">
    <cfRule type="containsText" dxfId="476" priority="117" operator="containsText" text="ok">
      <formula>NOT(ISERROR(SEARCH("ok",A48)))</formula>
    </cfRule>
  </conditionalFormatting>
  <conditionalFormatting sqref="A71">
    <cfRule type="containsText" dxfId="475" priority="114" operator="containsText" text="OK">
      <formula>NOT(ISERROR(SEARCH("OK",A71)))</formula>
    </cfRule>
  </conditionalFormatting>
  <conditionalFormatting sqref="A71">
    <cfRule type="containsText" dxfId="474" priority="113" operator="containsText" text="ok">
      <formula>NOT(ISERROR(SEARCH("ok",A71)))</formula>
    </cfRule>
  </conditionalFormatting>
  <conditionalFormatting sqref="A72">
    <cfRule type="containsText" dxfId="473" priority="112" operator="containsText" text="OK">
      <formula>NOT(ISERROR(SEARCH("OK",A72)))</formula>
    </cfRule>
  </conditionalFormatting>
  <conditionalFormatting sqref="A72">
    <cfRule type="containsText" dxfId="472" priority="111" operator="containsText" text="ok">
      <formula>NOT(ISERROR(SEARCH("ok",A72)))</formula>
    </cfRule>
  </conditionalFormatting>
  <conditionalFormatting sqref="A73">
    <cfRule type="containsText" dxfId="471" priority="110" operator="containsText" text="OK">
      <formula>NOT(ISERROR(SEARCH("OK",A73)))</formula>
    </cfRule>
  </conditionalFormatting>
  <conditionalFormatting sqref="A73">
    <cfRule type="containsText" dxfId="470" priority="109" operator="containsText" text="ok">
      <formula>NOT(ISERROR(SEARCH("ok",A73)))</formula>
    </cfRule>
  </conditionalFormatting>
  <conditionalFormatting sqref="A36">
    <cfRule type="containsText" dxfId="469" priority="108" operator="containsText" text="OK">
      <formula>NOT(ISERROR(SEARCH("OK",A36)))</formula>
    </cfRule>
  </conditionalFormatting>
  <conditionalFormatting sqref="A36">
    <cfRule type="containsText" dxfId="468" priority="107" operator="containsText" text="ok">
      <formula>NOT(ISERROR(SEARCH("ok",A36)))</formula>
    </cfRule>
  </conditionalFormatting>
  <conditionalFormatting sqref="A37">
    <cfRule type="containsText" dxfId="467" priority="106" operator="containsText" text="OK">
      <formula>NOT(ISERROR(SEARCH("OK",A37)))</formula>
    </cfRule>
  </conditionalFormatting>
  <conditionalFormatting sqref="A37">
    <cfRule type="containsText" dxfId="466" priority="105" operator="containsText" text="ok">
      <formula>NOT(ISERROR(SEARCH("ok",A37)))</formula>
    </cfRule>
  </conditionalFormatting>
  <conditionalFormatting sqref="A38">
    <cfRule type="containsText" dxfId="465" priority="104" operator="containsText" text="OK">
      <formula>NOT(ISERROR(SEARCH("OK",A38)))</formula>
    </cfRule>
  </conditionalFormatting>
  <conditionalFormatting sqref="A38">
    <cfRule type="containsText" dxfId="464" priority="103" operator="containsText" text="ok">
      <formula>NOT(ISERROR(SEARCH("ok",A38)))</formula>
    </cfRule>
  </conditionalFormatting>
  <conditionalFormatting sqref="A1048576">
    <cfRule type="containsText" dxfId="463" priority="102" operator="containsText" text="OK">
      <formula>NOT(ISERROR(SEARCH("OK",A1048576)))</formula>
    </cfRule>
  </conditionalFormatting>
  <conditionalFormatting sqref="A1048576">
    <cfRule type="containsText" dxfId="462" priority="101" operator="containsText" text="ok">
      <formula>NOT(ISERROR(SEARCH("ok",A1048576)))</formula>
    </cfRule>
  </conditionalFormatting>
  <conditionalFormatting sqref="C37">
    <cfRule type="containsText" dxfId="461" priority="100" operator="containsText" text="OK">
      <formula>NOT(ISERROR(SEARCH("OK",C37)))</formula>
    </cfRule>
  </conditionalFormatting>
  <conditionalFormatting sqref="C37">
    <cfRule type="containsText" dxfId="460" priority="99" operator="containsText" text="ok">
      <formula>NOT(ISERROR(SEARCH("ok",C37)))</formula>
    </cfRule>
  </conditionalFormatting>
  <conditionalFormatting sqref="A39">
    <cfRule type="containsText" dxfId="459" priority="98" operator="containsText" text="OK">
      <formula>NOT(ISERROR(SEARCH("OK",A39)))</formula>
    </cfRule>
  </conditionalFormatting>
  <conditionalFormatting sqref="A39">
    <cfRule type="containsText" dxfId="458" priority="97" operator="containsText" text="ok">
      <formula>NOT(ISERROR(SEARCH("ok",A39)))</formula>
    </cfRule>
  </conditionalFormatting>
  <conditionalFormatting sqref="A40">
    <cfRule type="containsText" dxfId="457" priority="96" operator="containsText" text="OK">
      <formula>NOT(ISERROR(SEARCH("OK",A40)))</formula>
    </cfRule>
  </conditionalFormatting>
  <conditionalFormatting sqref="A40">
    <cfRule type="containsText" dxfId="456" priority="95" operator="containsText" text="ok">
      <formula>NOT(ISERROR(SEARCH("ok",A40)))</formula>
    </cfRule>
  </conditionalFormatting>
  <conditionalFormatting sqref="A41">
    <cfRule type="containsText" dxfId="455" priority="94" operator="containsText" text="OK">
      <formula>NOT(ISERROR(SEARCH("OK",A41)))</formula>
    </cfRule>
  </conditionalFormatting>
  <conditionalFormatting sqref="A41">
    <cfRule type="containsText" dxfId="454" priority="93" operator="containsText" text="ok">
      <formula>NOT(ISERROR(SEARCH("ok",A41)))</formula>
    </cfRule>
  </conditionalFormatting>
  <conditionalFormatting sqref="A20">
    <cfRule type="containsText" dxfId="453" priority="92" operator="containsText" text="OK">
      <formula>NOT(ISERROR(SEARCH("OK",A20)))</formula>
    </cfRule>
  </conditionalFormatting>
  <conditionalFormatting sqref="A20">
    <cfRule type="containsText" dxfId="452" priority="91" operator="containsText" text="ok">
      <formula>NOT(ISERROR(SEARCH("ok",A20)))</formula>
    </cfRule>
  </conditionalFormatting>
  <conditionalFormatting sqref="A26">
    <cfRule type="containsText" dxfId="451" priority="90" operator="containsText" text="OK">
      <formula>NOT(ISERROR(SEARCH("OK",A26)))</formula>
    </cfRule>
  </conditionalFormatting>
  <conditionalFormatting sqref="A26">
    <cfRule type="containsText" dxfId="450" priority="89" operator="containsText" text="ok">
      <formula>NOT(ISERROR(SEARCH("ok",A26)))</formula>
    </cfRule>
  </conditionalFormatting>
  <conditionalFormatting sqref="A27">
    <cfRule type="containsText" dxfId="449" priority="88" operator="containsText" text="OK">
      <formula>NOT(ISERROR(SEARCH("OK",A27)))</formula>
    </cfRule>
  </conditionalFormatting>
  <conditionalFormatting sqref="A27">
    <cfRule type="containsText" dxfId="448" priority="87" operator="containsText" text="ok">
      <formula>NOT(ISERROR(SEARCH("ok",A27)))</formula>
    </cfRule>
  </conditionalFormatting>
  <conditionalFormatting sqref="A28">
    <cfRule type="containsText" dxfId="447" priority="86" operator="containsText" text="OK">
      <formula>NOT(ISERROR(SEARCH("OK",A28)))</formula>
    </cfRule>
  </conditionalFormatting>
  <conditionalFormatting sqref="A28">
    <cfRule type="containsText" dxfId="446" priority="85" operator="containsText" text="ok">
      <formula>NOT(ISERROR(SEARCH("ok",A28)))</formula>
    </cfRule>
  </conditionalFormatting>
  <conditionalFormatting sqref="A29">
    <cfRule type="containsText" dxfId="445" priority="84" operator="containsText" text="OK">
      <formula>NOT(ISERROR(SEARCH("OK",A29)))</formula>
    </cfRule>
  </conditionalFormatting>
  <conditionalFormatting sqref="A29">
    <cfRule type="containsText" dxfId="444" priority="83" operator="containsText" text="ok">
      <formula>NOT(ISERROR(SEARCH("ok",A29)))</formula>
    </cfRule>
  </conditionalFormatting>
  <conditionalFormatting sqref="A30">
    <cfRule type="containsText" dxfId="443" priority="82" operator="containsText" text="OK">
      <formula>NOT(ISERROR(SEARCH("OK",A30)))</formula>
    </cfRule>
  </conditionalFormatting>
  <conditionalFormatting sqref="A30">
    <cfRule type="containsText" dxfId="442" priority="81" operator="containsText" text="ok">
      <formula>NOT(ISERROR(SEARCH("ok",A30)))</formula>
    </cfRule>
  </conditionalFormatting>
  <conditionalFormatting sqref="A31">
    <cfRule type="containsText" dxfId="441" priority="80" operator="containsText" text="OK">
      <formula>NOT(ISERROR(SEARCH("OK",A31)))</formula>
    </cfRule>
  </conditionalFormatting>
  <conditionalFormatting sqref="A31">
    <cfRule type="containsText" dxfId="440" priority="79" operator="containsText" text="ok">
      <formula>NOT(ISERROR(SEARCH("ok",A31)))</formula>
    </cfRule>
  </conditionalFormatting>
  <conditionalFormatting sqref="A35">
    <cfRule type="containsText" dxfId="439" priority="78" operator="containsText" text="OK">
      <formula>NOT(ISERROR(SEARCH("OK",A35)))</formula>
    </cfRule>
  </conditionalFormatting>
  <conditionalFormatting sqref="A35">
    <cfRule type="containsText" dxfId="438" priority="77" operator="containsText" text="ok">
      <formula>NOT(ISERROR(SEARCH("ok",A35)))</formula>
    </cfRule>
  </conditionalFormatting>
  <conditionalFormatting sqref="A36">
    <cfRule type="containsText" dxfId="437" priority="76" operator="containsText" text="OK">
      <formula>NOT(ISERROR(SEARCH("OK",A36)))</formula>
    </cfRule>
  </conditionalFormatting>
  <conditionalFormatting sqref="A36">
    <cfRule type="containsText" dxfId="436" priority="75" operator="containsText" text="ok">
      <formula>NOT(ISERROR(SEARCH("ok",A36)))</formula>
    </cfRule>
  </conditionalFormatting>
  <conditionalFormatting sqref="A37">
    <cfRule type="containsText" dxfId="435" priority="74" operator="containsText" text="OK">
      <formula>NOT(ISERROR(SEARCH("OK",A37)))</formula>
    </cfRule>
  </conditionalFormatting>
  <conditionalFormatting sqref="A37">
    <cfRule type="containsText" dxfId="434" priority="73" operator="containsText" text="ok">
      <formula>NOT(ISERROR(SEARCH("ok",A37)))</formula>
    </cfRule>
  </conditionalFormatting>
  <conditionalFormatting sqref="A38">
    <cfRule type="containsText" dxfId="433" priority="72" operator="containsText" text="OK">
      <formula>NOT(ISERROR(SEARCH("OK",A38)))</formula>
    </cfRule>
  </conditionalFormatting>
  <conditionalFormatting sqref="A38">
    <cfRule type="containsText" dxfId="432" priority="71" operator="containsText" text="ok">
      <formula>NOT(ISERROR(SEARCH("ok",A38)))</formula>
    </cfRule>
  </conditionalFormatting>
  <conditionalFormatting sqref="A39">
    <cfRule type="containsText" dxfId="431" priority="70" operator="containsText" text="OK">
      <formula>NOT(ISERROR(SEARCH("OK",A39)))</formula>
    </cfRule>
  </conditionalFormatting>
  <conditionalFormatting sqref="A39">
    <cfRule type="containsText" dxfId="430" priority="69" operator="containsText" text="ok">
      <formula>NOT(ISERROR(SEARCH("ok",A39)))</formula>
    </cfRule>
  </conditionalFormatting>
  <conditionalFormatting sqref="C38">
    <cfRule type="containsText" dxfId="429" priority="68" operator="containsText" text="OK">
      <formula>NOT(ISERROR(SEARCH("OK",C38)))</formula>
    </cfRule>
  </conditionalFormatting>
  <conditionalFormatting sqref="C38">
    <cfRule type="containsText" dxfId="428" priority="67" operator="containsText" text="ok">
      <formula>NOT(ISERROR(SEARCH("ok",C38)))</formula>
    </cfRule>
  </conditionalFormatting>
  <conditionalFormatting sqref="A40">
    <cfRule type="containsText" dxfId="427" priority="66" operator="containsText" text="OK">
      <formula>NOT(ISERROR(SEARCH("OK",A40)))</formula>
    </cfRule>
  </conditionalFormatting>
  <conditionalFormatting sqref="A40">
    <cfRule type="containsText" dxfId="426" priority="65" operator="containsText" text="ok">
      <formula>NOT(ISERROR(SEARCH("ok",A40)))</formula>
    </cfRule>
  </conditionalFormatting>
  <conditionalFormatting sqref="A50">
    <cfRule type="containsText" dxfId="425" priority="64" operator="containsText" text="OK">
      <formula>NOT(ISERROR(SEARCH("OK",A50)))</formula>
    </cfRule>
  </conditionalFormatting>
  <conditionalFormatting sqref="A50">
    <cfRule type="containsText" dxfId="424" priority="63" operator="containsText" text="ok">
      <formula>NOT(ISERROR(SEARCH("ok",A50)))</formula>
    </cfRule>
  </conditionalFormatting>
  <conditionalFormatting sqref="A51">
    <cfRule type="containsText" dxfId="423" priority="62" operator="containsText" text="OK">
      <formula>NOT(ISERROR(SEARCH("OK",A51)))</formula>
    </cfRule>
  </conditionalFormatting>
  <conditionalFormatting sqref="A51">
    <cfRule type="containsText" dxfId="422" priority="61" operator="containsText" text="ok">
      <formula>NOT(ISERROR(SEARCH("ok",A51)))</formula>
    </cfRule>
  </conditionalFormatting>
  <conditionalFormatting sqref="A52">
    <cfRule type="containsText" dxfId="421" priority="60" operator="containsText" text="OK">
      <formula>NOT(ISERROR(SEARCH("OK",A52)))</formula>
    </cfRule>
  </conditionalFormatting>
  <conditionalFormatting sqref="A52">
    <cfRule type="containsText" dxfId="420" priority="59" operator="containsText" text="ok">
      <formula>NOT(ISERROR(SEARCH("ok",A52)))</formula>
    </cfRule>
  </conditionalFormatting>
  <conditionalFormatting sqref="A24">
    <cfRule type="containsText" dxfId="419" priority="58" operator="containsText" text="OK">
      <formula>NOT(ISERROR(SEARCH("OK",A24)))</formula>
    </cfRule>
  </conditionalFormatting>
  <conditionalFormatting sqref="A24">
    <cfRule type="containsText" dxfId="418" priority="57" operator="containsText" text="ok">
      <formula>NOT(ISERROR(SEARCH("ok",A24)))</formula>
    </cfRule>
  </conditionalFormatting>
  <conditionalFormatting sqref="A39">
    <cfRule type="containsText" dxfId="417" priority="56" operator="containsText" text="OK">
      <formula>NOT(ISERROR(SEARCH("OK",A39)))</formula>
    </cfRule>
  </conditionalFormatting>
  <conditionalFormatting sqref="A39">
    <cfRule type="containsText" dxfId="416" priority="55" operator="containsText" text="ok">
      <formula>NOT(ISERROR(SEARCH("ok",A39)))</formula>
    </cfRule>
  </conditionalFormatting>
  <conditionalFormatting sqref="A40">
    <cfRule type="containsText" dxfId="415" priority="54" operator="containsText" text="OK">
      <formula>NOT(ISERROR(SEARCH("OK",A40)))</formula>
    </cfRule>
  </conditionalFormatting>
  <conditionalFormatting sqref="A40">
    <cfRule type="containsText" dxfId="414" priority="53" operator="containsText" text="ok">
      <formula>NOT(ISERROR(SEARCH("ok",A40)))</formula>
    </cfRule>
  </conditionalFormatting>
  <conditionalFormatting sqref="A41">
    <cfRule type="containsText" dxfId="413" priority="52" operator="containsText" text="OK">
      <formula>NOT(ISERROR(SEARCH("OK",A41)))</formula>
    </cfRule>
  </conditionalFormatting>
  <conditionalFormatting sqref="A41">
    <cfRule type="containsText" dxfId="412" priority="51" operator="containsText" text="ok">
      <formula>NOT(ISERROR(SEARCH("ok",A41)))</formula>
    </cfRule>
  </conditionalFormatting>
  <conditionalFormatting sqref="A39">
    <cfRule type="containsText" dxfId="411" priority="50" operator="containsText" text="OK">
      <formula>NOT(ISERROR(SEARCH("OK",A39)))</formula>
    </cfRule>
  </conditionalFormatting>
  <conditionalFormatting sqref="A39">
    <cfRule type="containsText" dxfId="410" priority="49" operator="containsText" text="ok">
      <formula>NOT(ISERROR(SEARCH("ok",A39)))</formula>
    </cfRule>
  </conditionalFormatting>
  <conditionalFormatting sqref="A40">
    <cfRule type="containsText" dxfId="409" priority="48" operator="containsText" text="OK">
      <formula>NOT(ISERROR(SEARCH("OK",A40)))</formula>
    </cfRule>
  </conditionalFormatting>
  <conditionalFormatting sqref="A40">
    <cfRule type="containsText" dxfId="408" priority="47" operator="containsText" text="ok">
      <formula>NOT(ISERROR(SEARCH("ok",A40)))</formula>
    </cfRule>
  </conditionalFormatting>
  <conditionalFormatting sqref="C39">
    <cfRule type="containsText" dxfId="407" priority="46" operator="containsText" text="OK">
      <formula>NOT(ISERROR(SEARCH("OK",C39)))</formula>
    </cfRule>
  </conditionalFormatting>
  <conditionalFormatting sqref="C39">
    <cfRule type="containsText" dxfId="406" priority="45" operator="containsText" text="ok">
      <formula>NOT(ISERROR(SEARCH("ok",C39)))</formula>
    </cfRule>
  </conditionalFormatting>
  <conditionalFormatting sqref="A41">
    <cfRule type="containsText" dxfId="405" priority="44" operator="containsText" text="OK">
      <formula>NOT(ISERROR(SEARCH("OK",A41)))</formula>
    </cfRule>
  </conditionalFormatting>
  <conditionalFormatting sqref="A41">
    <cfRule type="containsText" dxfId="404" priority="43" operator="containsText" text="ok">
      <formula>NOT(ISERROR(SEARCH("ok",A41)))</formula>
    </cfRule>
  </conditionalFormatting>
  <conditionalFormatting sqref="A38">
    <cfRule type="containsText" dxfId="403" priority="42" operator="containsText" text="OK">
      <formula>NOT(ISERROR(SEARCH("OK",A38)))</formula>
    </cfRule>
  </conditionalFormatting>
  <conditionalFormatting sqref="A38">
    <cfRule type="containsText" dxfId="402" priority="41" operator="containsText" text="ok">
      <formula>NOT(ISERROR(SEARCH("ok",A38)))</formula>
    </cfRule>
  </conditionalFormatting>
  <conditionalFormatting sqref="A39">
    <cfRule type="containsText" dxfId="401" priority="40" operator="containsText" text="OK">
      <formula>NOT(ISERROR(SEARCH("OK",A39)))</formula>
    </cfRule>
  </conditionalFormatting>
  <conditionalFormatting sqref="A39">
    <cfRule type="containsText" dxfId="400" priority="39" operator="containsText" text="ok">
      <formula>NOT(ISERROR(SEARCH("ok",A39)))</formula>
    </cfRule>
  </conditionalFormatting>
  <conditionalFormatting sqref="C38">
    <cfRule type="containsText" dxfId="399" priority="38" operator="containsText" text="OK">
      <formula>NOT(ISERROR(SEARCH("OK",C38)))</formula>
    </cfRule>
  </conditionalFormatting>
  <conditionalFormatting sqref="C38">
    <cfRule type="containsText" dxfId="398" priority="37" operator="containsText" text="ok">
      <formula>NOT(ISERROR(SEARCH("ok",C38)))</formula>
    </cfRule>
  </conditionalFormatting>
  <conditionalFormatting sqref="A40">
    <cfRule type="containsText" dxfId="397" priority="36" operator="containsText" text="OK">
      <formula>NOT(ISERROR(SEARCH("OK",A40)))</formula>
    </cfRule>
  </conditionalFormatting>
  <conditionalFormatting sqref="A40">
    <cfRule type="containsText" dxfId="396" priority="35" operator="containsText" text="ok">
      <formula>NOT(ISERROR(SEARCH("ok",A40)))</formula>
    </cfRule>
  </conditionalFormatting>
  <conditionalFormatting sqref="A41">
    <cfRule type="containsText" dxfId="395" priority="34" operator="containsText" text="OK">
      <formula>NOT(ISERROR(SEARCH("OK",A41)))</formula>
    </cfRule>
  </conditionalFormatting>
  <conditionalFormatting sqref="A41">
    <cfRule type="containsText" dxfId="394" priority="33" operator="containsText" text="ok">
      <formula>NOT(ISERROR(SEARCH("ok",A41)))</formula>
    </cfRule>
  </conditionalFormatting>
  <conditionalFormatting sqref="A38">
    <cfRule type="containsText" dxfId="393" priority="32" operator="containsText" text="OK">
      <formula>NOT(ISERROR(SEARCH("OK",A38)))</formula>
    </cfRule>
  </conditionalFormatting>
  <conditionalFormatting sqref="A38">
    <cfRule type="containsText" dxfId="392" priority="31" operator="containsText" text="ok">
      <formula>NOT(ISERROR(SEARCH("ok",A38)))</formula>
    </cfRule>
  </conditionalFormatting>
  <conditionalFormatting sqref="A39">
    <cfRule type="containsText" dxfId="391" priority="30" operator="containsText" text="OK">
      <formula>NOT(ISERROR(SEARCH("OK",A39)))</formula>
    </cfRule>
  </conditionalFormatting>
  <conditionalFormatting sqref="A39">
    <cfRule type="containsText" dxfId="390" priority="29" operator="containsText" text="ok">
      <formula>NOT(ISERROR(SEARCH("ok",A39)))</formula>
    </cfRule>
  </conditionalFormatting>
  <conditionalFormatting sqref="A40">
    <cfRule type="containsText" dxfId="389" priority="28" operator="containsText" text="OK">
      <formula>NOT(ISERROR(SEARCH("OK",A40)))</formula>
    </cfRule>
  </conditionalFormatting>
  <conditionalFormatting sqref="A40">
    <cfRule type="containsText" dxfId="388" priority="27" operator="containsText" text="ok">
      <formula>NOT(ISERROR(SEARCH("ok",A40)))</formula>
    </cfRule>
  </conditionalFormatting>
  <conditionalFormatting sqref="C39">
    <cfRule type="containsText" dxfId="387" priority="26" operator="containsText" text="OK">
      <formula>NOT(ISERROR(SEARCH("OK",C39)))</formula>
    </cfRule>
  </conditionalFormatting>
  <conditionalFormatting sqref="C39">
    <cfRule type="containsText" dxfId="386" priority="25" operator="containsText" text="ok">
      <formula>NOT(ISERROR(SEARCH("ok",C39)))</formula>
    </cfRule>
  </conditionalFormatting>
  <conditionalFormatting sqref="A41">
    <cfRule type="containsText" dxfId="385" priority="24" operator="containsText" text="OK">
      <formula>NOT(ISERROR(SEARCH("OK",A41)))</formula>
    </cfRule>
  </conditionalFormatting>
  <conditionalFormatting sqref="A41">
    <cfRule type="containsText" dxfId="384" priority="23" operator="containsText" text="ok">
      <formula>NOT(ISERROR(SEARCH("ok",A41)))</formula>
    </cfRule>
  </conditionalFormatting>
  <conditionalFormatting sqref="A40">
    <cfRule type="containsText" dxfId="383" priority="22" operator="containsText" text="OK">
      <formula>NOT(ISERROR(SEARCH("OK",A40)))</formula>
    </cfRule>
  </conditionalFormatting>
  <conditionalFormatting sqref="A40">
    <cfRule type="containsText" dxfId="382" priority="21" operator="containsText" text="ok">
      <formula>NOT(ISERROR(SEARCH("ok",A40)))</formula>
    </cfRule>
  </conditionalFormatting>
  <conditionalFormatting sqref="A41">
    <cfRule type="containsText" dxfId="381" priority="20" operator="containsText" text="OK">
      <formula>NOT(ISERROR(SEARCH("OK",A41)))</formula>
    </cfRule>
  </conditionalFormatting>
  <conditionalFormatting sqref="A41">
    <cfRule type="containsText" dxfId="380" priority="19" operator="containsText" text="ok">
      <formula>NOT(ISERROR(SEARCH("ok",A41)))</formula>
    </cfRule>
  </conditionalFormatting>
  <conditionalFormatting sqref="A40">
    <cfRule type="containsText" dxfId="379" priority="18" operator="containsText" text="OK">
      <formula>NOT(ISERROR(SEARCH("OK",A40)))</formula>
    </cfRule>
  </conditionalFormatting>
  <conditionalFormatting sqref="A40">
    <cfRule type="containsText" dxfId="378" priority="17" operator="containsText" text="ok">
      <formula>NOT(ISERROR(SEARCH("ok",A40)))</formula>
    </cfRule>
  </conditionalFormatting>
  <conditionalFormatting sqref="A41">
    <cfRule type="containsText" dxfId="377" priority="16" operator="containsText" text="OK">
      <formula>NOT(ISERROR(SEARCH("OK",A41)))</formula>
    </cfRule>
  </conditionalFormatting>
  <conditionalFormatting sqref="A41">
    <cfRule type="containsText" dxfId="376" priority="15" operator="containsText" text="ok">
      <formula>NOT(ISERROR(SEARCH("ok",A41)))</formula>
    </cfRule>
  </conditionalFormatting>
  <conditionalFormatting sqref="C40">
    <cfRule type="containsText" dxfId="375" priority="14" operator="containsText" text="OK">
      <formula>NOT(ISERROR(SEARCH("OK",C40)))</formula>
    </cfRule>
  </conditionalFormatting>
  <conditionalFormatting sqref="C40">
    <cfRule type="containsText" dxfId="374" priority="13" operator="containsText" text="ok">
      <formula>NOT(ISERROR(SEARCH("ok",C40)))</formula>
    </cfRule>
  </conditionalFormatting>
  <conditionalFormatting sqref="A44">
    <cfRule type="containsText" dxfId="373" priority="12" operator="containsText" text="OK">
      <formula>NOT(ISERROR(SEARCH("OK",A44)))</formula>
    </cfRule>
  </conditionalFormatting>
  <conditionalFormatting sqref="A44">
    <cfRule type="containsText" dxfId="372" priority="11" operator="containsText" text="ok">
      <formula>NOT(ISERROR(SEARCH("ok",A44)))</formula>
    </cfRule>
  </conditionalFormatting>
  <conditionalFormatting sqref="A45">
    <cfRule type="containsText" dxfId="371" priority="10" operator="containsText" text="OK">
      <formula>NOT(ISERROR(SEARCH("OK",A45)))</formula>
    </cfRule>
  </conditionalFormatting>
  <conditionalFormatting sqref="A45">
    <cfRule type="containsText" dxfId="370" priority="9" operator="containsText" text="ok">
      <formula>NOT(ISERROR(SEARCH("ok",A45)))</formula>
    </cfRule>
  </conditionalFormatting>
  <conditionalFormatting sqref="A46">
    <cfRule type="containsText" dxfId="369" priority="8" operator="containsText" text="OK">
      <formula>NOT(ISERROR(SEARCH("OK",A46)))</formula>
    </cfRule>
  </conditionalFormatting>
  <conditionalFormatting sqref="A46">
    <cfRule type="containsText" dxfId="368" priority="7" operator="containsText" text="ok">
      <formula>NOT(ISERROR(SEARCH("ok",A46)))</formula>
    </cfRule>
  </conditionalFormatting>
  <conditionalFormatting sqref="A47">
    <cfRule type="containsText" dxfId="367" priority="6" operator="containsText" text="OK">
      <formula>NOT(ISERROR(SEARCH("OK",A47)))</formula>
    </cfRule>
  </conditionalFormatting>
  <conditionalFormatting sqref="A47">
    <cfRule type="containsText" dxfId="366" priority="5" operator="containsText" text="ok">
      <formula>NOT(ISERROR(SEARCH("ok",A47)))</formula>
    </cfRule>
  </conditionalFormatting>
  <conditionalFormatting sqref="A49">
    <cfRule type="containsText" dxfId="365" priority="4" operator="containsText" text="OK">
      <formula>NOT(ISERROR(SEARCH("OK",A49)))</formula>
    </cfRule>
  </conditionalFormatting>
  <conditionalFormatting sqref="A49">
    <cfRule type="containsText" dxfId="364" priority="3" operator="containsText" text="ok">
      <formula>NOT(ISERROR(SEARCH("ok",A49)))</formula>
    </cfRule>
  </conditionalFormatting>
  <conditionalFormatting sqref="A49">
    <cfRule type="containsText" dxfId="363" priority="2" operator="containsText" text="OK">
      <formula>NOT(ISERROR(SEARCH("OK",A49)))</formula>
    </cfRule>
  </conditionalFormatting>
  <conditionalFormatting sqref="A49">
    <cfRule type="containsText" dxfId="362" priority="1" operator="containsText" text="ok">
      <formula>NOT(ISERROR(SEARCH("ok",A49)))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33" max="16383" man="1"/>
  </rowBreaks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48434"/>
  <sheetViews>
    <sheetView tabSelected="1" zoomScale="86" zoomScaleNormal="86" workbookViewId="0">
      <pane xSplit="3" ySplit="3" topLeftCell="D60" activePane="bottomRight" state="frozen"/>
      <selection activeCell="C83" sqref="C83"/>
      <selection pane="topRight" activeCell="C83" sqref="C83"/>
      <selection pane="bottomLeft" activeCell="C83" sqref="C83"/>
      <selection pane="bottomRight" activeCell="M78" sqref="M78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187" customWidth="1"/>
    <col min="4" max="4" width="14.54296875" style="187" bestFit="1" customWidth="1"/>
    <col min="5" max="5" width="13.1796875" style="187" bestFit="1" customWidth="1"/>
    <col min="6" max="6" width="13.26953125" style="5" bestFit="1" customWidth="1"/>
    <col min="7" max="7" width="15.7265625" style="6" bestFit="1" customWidth="1"/>
    <col min="8" max="8" width="8.81640625" style="187" hidden="1" customWidth="1"/>
    <col min="9" max="9" width="13.26953125" style="187" hidden="1" customWidth="1"/>
    <col min="10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187" hidden="1" customWidth="1"/>
    <col min="21" max="21" width="10.26953125" style="7" hidden="1" customWidth="1"/>
    <col min="22" max="22" width="9.81640625" style="187" hidden="1" customWidth="1"/>
    <col min="23" max="23" width="18.81640625" style="187" hidden="1" customWidth="1"/>
    <col min="24" max="24" width="30.26953125" style="187" customWidth="1"/>
    <col min="25" max="25" width="14.7265625" style="187" bestFit="1" customWidth="1"/>
    <col min="26" max="26" width="5" style="187" bestFit="1" customWidth="1"/>
    <col min="27" max="27" width="14.26953125" style="187" customWidth="1"/>
    <col min="28" max="28" width="14" style="187" bestFit="1" customWidth="1"/>
    <col min="29" max="16384" width="9.1796875" style="187"/>
  </cols>
  <sheetData>
    <row r="1" spans="1:27" x14ac:dyDescent="0.35">
      <c r="A1" s="226" t="s">
        <v>2</v>
      </c>
      <c r="B1" s="192" t="s">
        <v>2</v>
      </c>
      <c r="C1" s="193"/>
      <c r="D1" s="320">
        <f>D102</f>
        <v>210</v>
      </c>
      <c r="E1" s="193"/>
      <c r="F1" s="193"/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19" t="s">
        <v>272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2" t="s">
        <v>16</v>
      </c>
      <c r="X2" s="718" t="s">
        <v>16</v>
      </c>
    </row>
    <row r="3" spans="1:27" ht="29.5" thickBot="1" x14ac:dyDescent="0.4">
      <c r="A3" s="717"/>
      <c r="B3" s="719"/>
      <c r="C3" s="719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2"/>
      <c r="X3" s="718"/>
      <c r="Y3" s="8"/>
    </row>
    <row r="4" spans="1:27" ht="15" customHeight="1" x14ac:dyDescent="0.35">
      <c r="A4" s="245">
        <v>45230</v>
      </c>
      <c r="B4" s="246"/>
      <c r="C4" s="212" t="s">
        <v>279</v>
      </c>
      <c r="D4" s="15"/>
      <c r="E4" s="15">
        <v>6</v>
      </c>
      <c r="F4" s="9">
        <v>780</v>
      </c>
      <c r="G4" s="29">
        <f t="shared" ref="G4:G61" si="0">(F4*D4)+(E4*F4)</f>
        <v>4680</v>
      </c>
      <c r="H4" s="11"/>
      <c r="I4" s="10"/>
      <c r="J4" s="29">
        <f t="shared" ref="J4:J61" si="1">H4*I4</f>
        <v>0</v>
      </c>
      <c r="K4" s="29"/>
      <c r="L4" s="223">
        <f>(J4+G4)-K4</f>
        <v>4680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>IF(O4&gt;0,SUM(O4-(L4+P4))," ")</f>
        <v xml:space="preserve"> </v>
      </c>
      <c r="S4" s="189"/>
      <c r="T4" s="253" t="s">
        <v>1</v>
      </c>
      <c r="U4" s="13">
        <v>0</v>
      </c>
      <c r="V4" s="253" t="s">
        <v>10</v>
      </c>
      <c r="W4" s="253"/>
      <c r="X4" s="14"/>
    </row>
    <row r="5" spans="1:27" ht="15" customHeight="1" x14ac:dyDescent="0.35">
      <c r="A5" s="245">
        <v>45231</v>
      </c>
      <c r="B5" s="246"/>
      <c r="C5" s="212" t="s">
        <v>322</v>
      </c>
      <c r="D5" s="15">
        <v>1</v>
      </c>
      <c r="E5" s="15"/>
      <c r="F5" s="9">
        <v>850</v>
      </c>
      <c r="G5" s="29">
        <f t="shared" si="0"/>
        <v>850</v>
      </c>
      <c r="H5" s="11"/>
      <c r="I5" s="10"/>
      <c r="J5" s="29">
        <f t="shared" si="1"/>
        <v>0</v>
      </c>
      <c r="K5" s="29"/>
      <c r="L5" s="223">
        <f t="shared" ref="L5:L61" si="2">(J5+G5)-K5</f>
        <v>850</v>
      </c>
      <c r="M5" s="12"/>
      <c r="N5" s="218" t="str">
        <f t="shared" ref="N5:N56" si="3">IF(M5&gt;0,SUM(L5-M5)," ")</f>
        <v xml:space="preserve"> </v>
      </c>
      <c r="O5" s="189"/>
      <c r="P5" s="189"/>
      <c r="Q5" s="189"/>
      <c r="R5" s="189" t="str">
        <f t="shared" ref="R5:R100" si="4">IF(O5&gt;0,SUM(O5-(L5+P5))," ")</f>
        <v xml:space="preserve"> </v>
      </c>
      <c r="S5" s="189"/>
      <c r="T5" s="253" t="s">
        <v>1</v>
      </c>
      <c r="U5" s="13">
        <v>0</v>
      </c>
      <c r="V5" s="253" t="s">
        <v>10</v>
      </c>
      <c r="W5" s="253"/>
      <c r="X5" s="14"/>
    </row>
    <row r="6" spans="1:27" ht="15" customHeight="1" x14ac:dyDescent="0.35">
      <c r="A6" s="245">
        <v>45231</v>
      </c>
      <c r="B6" s="246"/>
      <c r="C6" s="211" t="s">
        <v>318</v>
      </c>
      <c r="D6" s="15">
        <v>1</v>
      </c>
      <c r="E6" s="15"/>
      <c r="F6" s="9">
        <v>850</v>
      </c>
      <c r="G6" s="29">
        <f t="shared" si="0"/>
        <v>850</v>
      </c>
      <c r="H6" s="11"/>
      <c r="I6" s="10"/>
      <c r="J6" s="29">
        <f t="shared" si="1"/>
        <v>0</v>
      </c>
      <c r="K6" s="29"/>
      <c r="L6" s="223">
        <f t="shared" si="2"/>
        <v>850</v>
      </c>
      <c r="M6" s="213"/>
      <c r="N6" s="218" t="str">
        <f t="shared" si="3"/>
        <v xml:space="preserve"> </v>
      </c>
      <c r="O6" s="189"/>
      <c r="P6" s="189"/>
      <c r="Q6" s="189"/>
      <c r="R6" s="189" t="str">
        <f t="shared" si="4"/>
        <v xml:space="preserve"> </v>
      </c>
      <c r="S6" s="189"/>
      <c r="T6" s="253" t="s">
        <v>1</v>
      </c>
      <c r="U6" s="13">
        <v>0</v>
      </c>
      <c r="V6" s="253" t="s">
        <v>10</v>
      </c>
      <c r="W6" s="253"/>
      <c r="X6" s="17"/>
    </row>
    <row r="7" spans="1:27" ht="15" customHeight="1" x14ac:dyDescent="0.35">
      <c r="A7" s="245">
        <v>45231</v>
      </c>
      <c r="B7" s="245"/>
      <c r="C7" s="211" t="s">
        <v>153</v>
      </c>
      <c r="D7" s="15">
        <v>1</v>
      </c>
      <c r="E7" s="15"/>
      <c r="F7" s="9">
        <v>850</v>
      </c>
      <c r="G7" s="29">
        <f t="shared" si="0"/>
        <v>850</v>
      </c>
      <c r="H7" s="11"/>
      <c r="I7" s="10"/>
      <c r="J7" s="29">
        <f t="shared" si="1"/>
        <v>0</v>
      </c>
      <c r="K7" s="29"/>
      <c r="L7" s="223">
        <f t="shared" si="2"/>
        <v>850</v>
      </c>
      <c r="M7" s="12"/>
      <c r="N7" s="218" t="str">
        <f t="shared" si="3"/>
        <v xml:space="preserve"> </v>
      </c>
      <c r="O7" s="189"/>
      <c r="P7" s="189"/>
      <c r="Q7" s="189"/>
      <c r="R7" s="189" t="str">
        <f t="shared" si="4"/>
        <v xml:space="preserve"> </v>
      </c>
      <c r="S7" s="189"/>
      <c r="T7" s="253" t="s">
        <v>1</v>
      </c>
      <c r="U7" s="13">
        <v>0</v>
      </c>
      <c r="V7" s="253" t="s">
        <v>10</v>
      </c>
      <c r="W7" s="253"/>
      <c r="X7" s="16"/>
    </row>
    <row r="8" spans="1:27" ht="15" customHeight="1" x14ac:dyDescent="0.35">
      <c r="A8" s="245">
        <v>45232</v>
      </c>
      <c r="B8" s="245"/>
      <c r="C8" s="211" t="s">
        <v>330</v>
      </c>
      <c r="D8" s="15"/>
      <c r="E8" s="15">
        <v>6</v>
      </c>
      <c r="F8" s="9">
        <v>820</v>
      </c>
      <c r="G8" s="29">
        <f t="shared" si="0"/>
        <v>4920</v>
      </c>
      <c r="H8" s="11"/>
      <c r="I8" s="10"/>
      <c r="J8" s="29">
        <f t="shared" si="1"/>
        <v>0</v>
      </c>
      <c r="K8" s="29"/>
      <c r="L8" s="223">
        <f t="shared" si="2"/>
        <v>4920</v>
      </c>
      <c r="M8" s="12"/>
      <c r="N8" s="218" t="str">
        <f t="shared" si="3"/>
        <v xml:space="preserve"> </v>
      </c>
      <c r="O8" s="189">
        <v>1400</v>
      </c>
      <c r="P8" s="189"/>
      <c r="Q8" s="189"/>
      <c r="R8" s="189">
        <f t="shared" si="4"/>
        <v>-3520</v>
      </c>
      <c r="S8" s="189"/>
      <c r="T8" s="253" t="s">
        <v>83</v>
      </c>
      <c r="U8" s="13">
        <v>0</v>
      </c>
      <c r="V8" s="253" t="s">
        <v>10</v>
      </c>
      <c r="W8" s="253" t="s">
        <v>84</v>
      </c>
      <c r="X8" s="16"/>
      <c r="Y8" s="187" t="s">
        <v>0</v>
      </c>
      <c r="Z8" s="187" t="s">
        <v>8</v>
      </c>
      <c r="AA8" s="249">
        <f>G101</f>
        <v>172610</v>
      </c>
    </row>
    <row r="9" spans="1:27" ht="15" customHeight="1" x14ac:dyDescent="0.35">
      <c r="A9" s="245">
        <v>45233</v>
      </c>
      <c r="B9" s="245"/>
      <c r="C9" s="211" t="s">
        <v>457</v>
      </c>
      <c r="D9" s="15"/>
      <c r="E9" s="15">
        <v>2</v>
      </c>
      <c r="F9" s="9">
        <v>850</v>
      </c>
      <c r="G9" s="29">
        <f t="shared" si="0"/>
        <v>1700</v>
      </c>
      <c r="H9" s="11"/>
      <c r="I9" s="10"/>
      <c r="J9" s="29">
        <f t="shared" si="1"/>
        <v>0</v>
      </c>
      <c r="K9" s="29"/>
      <c r="L9" s="223">
        <f t="shared" si="2"/>
        <v>1700</v>
      </c>
      <c r="M9" s="12"/>
      <c r="N9" s="218" t="str">
        <f t="shared" si="3"/>
        <v xml:space="preserve"> </v>
      </c>
      <c r="O9" s="189"/>
      <c r="P9" s="189"/>
      <c r="Q9" s="189"/>
      <c r="R9" s="189" t="str">
        <f t="shared" si="4"/>
        <v xml:space="preserve"> </v>
      </c>
      <c r="S9" s="189"/>
      <c r="T9" s="18" t="s">
        <v>1</v>
      </c>
      <c r="U9" s="13">
        <v>0</v>
      </c>
      <c r="V9" s="253" t="s">
        <v>10</v>
      </c>
      <c r="W9" s="253"/>
      <c r="X9" s="16"/>
      <c r="Y9" s="187">
        <v>720</v>
      </c>
      <c r="AA9" s="191">
        <f>Y9*Z9</f>
        <v>0</v>
      </c>
    </row>
    <row r="10" spans="1:27" ht="15" customHeight="1" x14ac:dyDescent="0.35">
      <c r="A10" s="245">
        <v>45233</v>
      </c>
      <c r="B10" s="245"/>
      <c r="C10" s="212" t="s">
        <v>296</v>
      </c>
      <c r="D10" s="15">
        <v>4</v>
      </c>
      <c r="E10" s="15"/>
      <c r="F10" s="9">
        <v>840</v>
      </c>
      <c r="G10" s="29">
        <f t="shared" si="0"/>
        <v>3360</v>
      </c>
      <c r="H10" s="11"/>
      <c r="I10" s="10"/>
      <c r="J10" s="29">
        <f t="shared" si="1"/>
        <v>0</v>
      </c>
      <c r="K10" s="29"/>
      <c r="L10" s="223">
        <f t="shared" si="2"/>
        <v>3360</v>
      </c>
      <c r="M10" s="12"/>
      <c r="N10" s="218" t="str">
        <f t="shared" si="3"/>
        <v xml:space="preserve"> </v>
      </c>
      <c r="O10" s="189"/>
      <c r="P10" s="189"/>
      <c r="Q10" s="189"/>
      <c r="R10" s="189" t="str">
        <f t="shared" si="4"/>
        <v xml:space="preserve"> </v>
      </c>
      <c r="S10" s="189"/>
      <c r="T10" s="18" t="s">
        <v>1</v>
      </c>
      <c r="U10" s="13">
        <v>0</v>
      </c>
      <c r="V10" s="253" t="s">
        <v>10</v>
      </c>
      <c r="W10" s="253"/>
      <c r="X10" s="16"/>
      <c r="Y10" s="187">
        <v>750</v>
      </c>
      <c r="AA10" s="191">
        <f>Y10*Z10</f>
        <v>0</v>
      </c>
    </row>
    <row r="11" spans="1:27" ht="15" customHeight="1" x14ac:dyDescent="0.35">
      <c r="A11" s="246">
        <v>45233</v>
      </c>
      <c r="B11" s="245"/>
      <c r="C11" s="212" t="s">
        <v>458</v>
      </c>
      <c r="D11" s="15">
        <v>1</v>
      </c>
      <c r="E11" s="15"/>
      <c r="F11" s="9">
        <v>850</v>
      </c>
      <c r="G11" s="29">
        <f t="shared" si="0"/>
        <v>850</v>
      </c>
      <c r="H11" s="11"/>
      <c r="I11" s="10"/>
      <c r="J11" s="29">
        <f t="shared" si="1"/>
        <v>0</v>
      </c>
      <c r="K11" s="29"/>
      <c r="L11" s="223">
        <f t="shared" si="2"/>
        <v>850</v>
      </c>
      <c r="M11" s="213"/>
      <c r="N11" s="218" t="str">
        <f t="shared" si="3"/>
        <v xml:space="preserve"> </v>
      </c>
      <c r="O11" s="189"/>
      <c r="P11" s="189"/>
      <c r="Q11" s="189"/>
      <c r="R11" s="189" t="str">
        <f t="shared" si="4"/>
        <v xml:space="preserve"> </v>
      </c>
      <c r="S11" s="189"/>
      <c r="T11" s="18" t="s">
        <v>1</v>
      </c>
      <c r="U11" s="13">
        <v>0</v>
      </c>
      <c r="V11" s="253" t="s">
        <v>10</v>
      </c>
      <c r="W11" s="253"/>
      <c r="X11" s="16"/>
      <c r="Y11" s="187">
        <v>780</v>
      </c>
      <c r="AA11" s="191">
        <f>Y11*Z11</f>
        <v>0</v>
      </c>
    </row>
    <row r="12" spans="1:27" ht="15" customHeight="1" x14ac:dyDescent="0.35">
      <c r="A12" s="246">
        <v>45236</v>
      </c>
      <c r="B12" s="245"/>
      <c r="C12" s="212" t="s">
        <v>153</v>
      </c>
      <c r="D12" s="15"/>
      <c r="E12" s="15">
        <v>1</v>
      </c>
      <c r="F12" s="9">
        <v>850</v>
      </c>
      <c r="G12" s="29">
        <f t="shared" si="0"/>
        <v>850</v>
      </c>
      <c r="H12" s="11"/>
      <c r="I12" s="10"/>
      <c r="J12" s="29">
        <f t="shared" si="1"/>
        <v>0</v>
      </c>
      <c r="K12" s="29"/>
      <c r="L12" s="223">
        <f t="shared" si="2"/>
        <v>850</v>
      </c>
      <c r="M12" s="12"/>
      <c r="N12" s="218" t="str">
        <f t="shared" si="3"/>
        <v xml:space="preserve"> </v>
      </c>
      <c r="O12" s="189"/>
      <c r="P12" s="189"/>
      <c r="Q12" s="189"/>
      <c r="R12" s="189" t="str">
        <f t="shared" si="4"/>
        <v xml:space="preserve"> </v>
      </c>
      <c r="S12" s="189"/>
      <c r="T12" s="253" t="s">
        <v>1</v>
      </c>
      <c r="U12" s="13">
        <v>0</v>
      </c>
      <c r="V12" s="253" t="s">
        <v>10</v>
      </c>
      <c r="W12" s="253"/>
      <c r="X12" s="17"/>
      <c r="Y12" s="187">
        <v>800</v>
      </c>
      <c r="AA12" s="191">
        <f>Y12*Z12</f>
        <v>0</v>
      </c>
    </row>
    <row r="13" spans="1:27" ht="15" customHeight="1" x14ac:dyDescent="0.35">
      <c r="A13" s="246">
        <v>45236</v>
      </c>
      <c r="B13" s="245"/>
      <c r="C13" s="212" t="s">
        <v>331</v>
      </c>
      <c r="D13" s="15"/>
      <c r="E13" s="15">
        <v>1</v>
      </c>
      <c r="F13" s="9">
        <v>850</v>
      </c>
      <c r="G13" s="29">
        <f t="shared" si="0"/>
        <v>850</v>
      </c>
      <c r="H13" s="11"/>
      <c r="I13" s="10"/>
      <c r="J13" s="29">
        <f t="shared" si="1"/>
        <v>0</v>
      </c>
      <c r="K13" s="29"/>
      <c r="L13" s="223">
        <f t="shared" si="2"/>
        <v>850</v>
      </c>
      <c r="M13" s="213"/>
      <c r="N13" s="218" t="str">
        <f t="shared" si="3"/>
        <v xml:space="preserve"> </v>
      </c>
      <c r="O13" s="189">
        <v>440</v>
      </c>
      <c r="P13" s="189"/>
      <c r="Q13" s="189"/>
      <c r="R13" s="189">
        <f t="shared" si="4"/>
        <v>-410</v>
      </c>
      <c r="S13" s="189">
        <f>P13-Q13</f>
        <v>0</v>
      </c>
      <c r="T13" s="253" t="s">
        <v>1</v>
      </c>
      <c r="U13" s="13">
        <v>30</v>
      </c>
      <c r="V13" s="253" t="s">
        <v>10</v>
      </c>
      <c r="W13" s="253" t="s">
        <v>92</v>
      </c>
      <c r="X13" s="16"/>
      <c r="AA13" s="251">
        <f>AA8-(SUM(AA9:AA12))</f>
        <v>172610</v>
      </c>
    </row>
    <row r="14" spans="1:27" ht="15" customHeight="1" x14ac:dyDescent="0.35">
      <c r="A14" s="246">
        <v>45236</v>
      </c>
      <c r="B14" s="245"/>
      <c r="C14" s="212" t="s">
        <v>323</v>
      </c>
      <c r="D14" s="15">
        <v>1</v>
      </c>
      <c r="E14" s="15"/>
      <c r="F14" s="9">
        <v>850</v>
      </c>
      <c r="G14" s="29">
        <f t="shared" si="0"/>
        <v>850</v>
      </c>
      <c r="H14" s="11"/>
      <c r="I14" s="10"/>
      <c r="J14" s="29">
        <f t="shared" si="1"/>
        <v>0</v>
      </c>
      <c r="K14" s="29"/>
      <c r="L14" s="223">
        <f t="shared" si="2"/>
        <v>850</v>
      </c>
      <c r="M14" s="12"/>
      <c r="N14" s="218" t="str">
        <f t="shared" si="3"/>
        <v xml:space="preserve"> </v>
      </c>
      <c r="O14" s="190"/>
      <c r="P14" s="190"/>
      <c r="Q14" s="190"/>
      <c r="R14" s="189" t="str">
        <f t="shared" si="4"/>
        <v xml:space="preserve"> </v>
      </c>
      <c r="S14" s="190"/>
      <c r="T14" s="253"/>
      <c r="U14" s="19"/>
      <c r="V14" s="253"/>
      <c r="W14" s="253"/>
      <c r="X14" s="16"/>
    </row>
    <row r="15" spans="1:27" ht="15" customHeight="1" x14ac:dyDescent="0.35">
      <c r="A15" s="246">
        <v>45237</v>
      </c>
      <c r="B15" s="245"/>
      <c r="C15" s="212" t="s">
        <v>459</v>
      </c>
      <c r="D15" s="15">
        <v>1</v>
      </c>
      <c r="E15" s="15"/>
      <c r="F15" s="9">
        <v>850</v>
      </c>
      <c r="G15" s="29">
        <f t="shared" si="0"/>
        <v>850</v>
      </c>
      <c r="H15" s="11"/>
      <c r="I15" s="10"/>
      <c r="J15" s="29">
        <f t="shared" si="1"/>
        <v>0</v>
      </c>
      <c r="K15" s="29"/>
      <c r="L15" s="223">
        <f t="shared" si="2"/>
        <v>850</v>
      </c>
      <c r="M15" s="12"/>
      <c r="N15" s="218" t="str">
        <f t="shared" si="3"/>
        <v xml:space="preserve"> </v>
      </c>
      <c r="O15" s="189"/>
      <c r="P15" s="189"/>
      <c r="Q15" s="189"/>
      <c r="R15" s="189" t="str">
        <f t="shared" si="4"/>
        <v xml:space="preserve"> </v>
      </c>
      <c r="S15" s="189"/>
      <c r="T15" s="253"/>
      <c r="U15" s="13"/>
      <c r="V15" s="253"/>
      <c r="W15" s="253"/>
      <c r="X15" s="16"/>
    </row>
    <row r="16" spans="1:27" ht="15" customHeight="1" x14ac:dyDescent="0.35">
      <c r="A16" s="246">
        <v>45237</v>
      </c>
      <c r="B16" s="245"/>
      <c r="C16" s="212" t="s">
        <v>322</v>
      </c>
      <c r="D16" s="15">
        <v>1</v>
      </c>
      <c r="E16" s="15"/>
      <c r="F16" s="9">
        <v>850</v>
      </c>
      <c r="G16" s="29">
        <f t="shared" si="0"/>
        <v>850</v>
      </c>
      <c r="H16" s="11"/>
      <c r="I16" s="10"/>
      <c r="J16" s="29">
        <f t="shared" si="1"/>
        <v>0</v>
      </c>
      <c r="K16" s="29"/>
      <c r="L16" s="223">
        <f t="shared" si="2"/>
        <v>850</v>
      </c>
      <c r="M16" s="223"/>
      <c r="N16" s="218" t="str">
        <f t="shared" si="3"/>
        <v xml:space="preserve"> </v>
      </c>
      <c r="O16" s="189"/>
      <c r="P16" s="189"/>
      <c r="Q16" s="189"/>
      <c r="R16" s="189" t="str">
        <f t="shared" si="4"/>
        <v xml:space="preserve"> </v>
      </c>
      <c r="S16" s="189"/>
      <c r="T16" s="253"/>
      <c r="U16" s="13"/>
      <c r="V16" s="253"/>
      <c r="W16" s="253"/>
      <c r="X16" s="16"/>
    </row>
    <row r="17" spans="1:24" ht="15" customHeight="1" x14ac:dyDescent="0.35">
      <c r="A17" s="245">
        <v>45237</v>
      </c>
      <c r="B17" s="245"/>
      <c r="C17" s="212" t="s">
        <v>112</v>
      </c>
      <c r="D17" s="15">
        <v>10</v>
      </c>
      <c r="E17" s="15"/>
      <c r="F17" s="9">
        <v>820</v>
      </c>
      <c r="G17" s="29">
        <f t="shared" si="0"/>
        <v>8200</v>
      </c>
      <c r="H17" s="11"/>
      <c r="I17" s="10"/>
      <c r="J17" s="29">
        <f t="shared" si="1"/>
        <v>0</v>
      </c>
      <c r="K17" s="29"/>
      <c r="L17" s="223">
        <f t="shared" si="2"/>
        <v>8200</v>
      </c>
      <c r="M17" s="213"/>
      <c r="N17" s="218" t="str">
        <f t="shared" si="3"/>
        <v xml:space="preserve"> </v>
      </c>
      <c r="O17" s="189"/>
      <c r="P17" s="189"/>
      <c r="Q17" s="189"/>
      <c r="R17" s="189" t="str">
        <f t="shared" si="4"/>
        <v xml:space="preserve"> </v>
      </c>
      <c r="S17" s="189"/>
      <c r="T17" s="253"/>
      <c r="U17" s="13"/>
      <c r="V17" s="253"/>
      <c r="W17" s="253"/>
      <c r="X17" s="16"/>
    </row>
    <row r="18" spans="1:24" ht="15" customHeight="1" x14ac:dyDescent="0.35">
      <c r="A18" s="245">
        <v>45237</v>
      </c>
      <c r="B18" s="245"/>
      <c r="C18" s="212" t="s">
        <v>319</v>
      </c>
      <c r="D18" s="15"/>
      <c r="E18" s="15">
        <v>2</v>
      </c>
      <c r="F18" s="9">
        <v>830</v>
      </c>
      <c r="G18" s="29">
        <f t="shared" si="0"/>
        <v>1660</v>
      </c>
      <c r="H18" s="11"/>
      <c r="I18" s="10"/>
      <c r="J18" s="29">
        <f t="shared" si="1"/>
        <v>0</v>
      </c>
      <c r="K18" s="29"/>
      <c r="L18" s="223">
        <f t="shared" si="2"/>
        <v>1660</v>
      </c>
      <c r="M18" s="223"/>
      <c r="N18" s="218" t="str">
        <f t="shared" si="3"/>
        <v xml:space="preserve"> </v>
      </c>
      <c r="O18" s="189"/>
      <c r="P18" s="189"/>
      <c r="Q18" s="189"/>
      <c r="R18" s="189" t="str">
        <f t="shared" si="4"/>
        <v xml:space="preserve"> </v>
      </c>
      <c r="S18" s="189"/>
      <c r="T18" s="253"/>
      <c r="U18" s="13"/>
      <c r="V18" s="253"/>
      <c r="W18" s="253"/>
      <c r="X18" s="16"/>
    </row>
    <row r="19" spans="1:24" ht="15" customHeight="1" x14ac:dyDescent="0.35">
      <c r="A19" s="245">
        <v>45237</v>
      </c>
      <c r="B19" s="245"/>
      <c r="C19" s="212" t="s">
        <v>280</v>
      </c>
      <c r="D19" s="15"/>
      <c r="E19" s="15">
        <v>2</v>
      </c>
      <c r="F19" s="9">
        <v>830</v>
      </c>
      <c r="G19" s="29">
        <f t="shared" si="0"/>
        <v>1660</v>
      </c>
      <c r="H19" s="11"/>
      <c r="I19" s="10"/>
      <c r="J19" s="29">
        <f t="shared" si="1"/>
        <v>0</v>
      </c>
      <c r="K19" s="29"/>
      <c r="L19" s="223">
        <f t="shared" si="2"/>
        <v>1660</v>
      </c>
      <c r="M19" s="12"/>
      <c r="N19" s="218" t="str">
        <f t="shared" si="3"/>
        <v xml:space="preserve"> </v>
      </c>
      <c r="O19" s="189"/>
      <c r="P19" s="189"/>
      <c r="Q19" s="189"/>
      <c r="R19" s="189" t="str">
        <f t="shared" si="4"/>
        <v xml:space="preserve"> </v>
      </c>
      <c r="S19" s="189"/>
      <c r="T19" s="253"/>
      <c r="U19" s="13"/>
      <c r="V19" s="253"/>
      <c r="W19" s="253"/>
      <c r="X19" s="16"/>
    </row>
    <row r="20" spans="1:24" ht="15" customHeight="1" x14ac:dyDescent="0.35">
      <c r="A20" s="245">
        <v>45238</v>
      </c>
      <c r="B20" s="245"/>
      <c r="C20" s="212" t="s">
        <v>321</v>
      </c>
      <c r="D20" s="15">
        <v>3</v>
      </c>
      <c r="E20" s="15"/>
      <c r="F20" s="9">
        <v>850</v>
      </c>
      <c r="G20" s="29">
        <f t="shared" si="0"/>
        <v>2550</v>
      </c>
      <c r="H20" s="11"/>
      <c r="I20" s="10"/>
      <c r="J20" s="29">
        <f t="shared" si="1"/>
        <v>0</v>
      </c>
      <c r="K20" s="29"/>
      <c r="L20" s="223">
        <f t="shared" si="2"/>
        <v>2550</v>
      </c>
      <c r="M20" s="12"/>
      <c r="N20" s="218" t="str">
        <f t="shared" si="3"/>
        <v xml:space="preserve"> </v>
      </c>
      <c r="O20" s="189"/>
      <c r="P20" s="189"/>
      <c r="Q20" s="189"/>
      <c r="R20" s="189" t="str">
        <f t="shared" si="4"/>
        <v xml:space="preserve"> </v>
      </c>
      <c r="S20" s="189"/>
      <c r="T20" s="253"/>
      <c r="U20" s="13"/>
      <c r="V20" s="253"/>
      <c r="W20" s="253"/>
      <c r="X20" s="16"/>
    </row>
    <row r="21" spans="1:24" ht="15" customHeight="1" x14ac:dyDescent="0.35">
      <c r="A21" s="245">
        <v>45238</v>
      </c>
      <c r="B21" s="245"/>
      <c r="C21" s="212" t="s">
        <v>279</v>
      </c>
      <c r="D21" s="15"/>
      <c r="E21" s="15">
        <v>6</v>
      </c>
      <c r="F21" s="9">
        <v>780</v>
      </c>
      <c r="G21" s="29">
        <f t="shared" si="0"/>
        <v>4680</v>
      </c>
      <c r="H21" s="11"/>
      <c r="I21" s="10"/>
      <c r="J21" s="29">
        <f t="shared" si="1"/>
        <v>0</v>
      </c>
      <c r="K21" s="29"/>
      <c r="L21" s="223">
        <f t="shared" si="2"/>
        <v>4680</v>
      </c>
      <c r="M21" s="12"/>
      <c r="N21" s="218" t="str">
        <f t="shared" si="3"/>
        <v xml:space="preserve"> </v>
      </c>
      <c r="O21" s="189"/>
      <c r="P21" s="189"/>
      <c r="Q21" s="189"/>
      <c r="R21" s="189" t="str">
        <f t="shared" si="4"/>
        <v xml:space="preserve"> </v>
      </c>
      <c r="S21" s="189"/>
      <c r="T21" s="253"/>
      <c r="U21" s="13"/>
      <c r="V21" s="253"/>
      <c r="W21" s="253"/>
      <c r="X21" s="16"/>
    </row>
    <row r="22" spans="1:24" ht="15" customHeight="1" x14ac:dyDescent="0.35">
      <c r="A22" s="245">
        <v>45238</v>
      </c>
      <c r="B22" s="250"/>
      <c r="C22" s="212" t="s">
        <v>296</v>
      </c>
      <c r="D22" s="15"/>
      <c r="E22" s="15">
        <v>4</v>
      </c>
      <c r="F22" s="9">
        <v>840</v>
      </c>
      <c r="G22" s="29">
        <f t="shared" si="0"/>
        <v>3360</v>
      </c>
      <c r="H22" s="11"/>
      <c r="I22" s="10"/>
      <c r="J22" s="29">
        <f t="shared" si="1"/>
        <v>0</v>
      </c>
      <c r="K22" s="29"/>
      <c r="L22" s="223">
        <f t="shared" si="2"/>
        <v>3360</v>
      </c>
      <c r="M22" s="12"/>
      <c r="N22" s="218" t="str">
        <f t="shared" si="3"/>
        <v xml:space="preserve"> </v>
      </c>
      <c r="O22" s="189"/>
      <c r="P22" s="189"/>
      <c r="Q22" s="189"/>
      <c r="R22" s="189" t="str">
        <f t="shared" si="4"/>
        <v xml:space="preserve"> </v>
      </c>
      <c r="S22" s="189"/>
      <c r="T22" s="253"/>
      <c r="U22" s="13"/>
      <c r="V22" s="253"/>
      <c r="W22" s="253"/>
      <c r="X22" s="16"/>
    </row>
    <row r="23" spans="1:24" ht="15" customHeight="1" x14ac:dyDescent="0.35">
      <c r="A23" s="245">
        <v>45238</v>
      </c>
      <c r="B23" s="245"/>
      <c r="C23" s="211" t="s">
        <v>324</v>
      </c>
      <c r="D23" s="15"/>
      <c r="E23" s="15">
        <v>1</v>
      </c>
      <c r="F23" s="9">
        <v>850</v>
      </c>
      <c r="G23" s="29">
        <f t="shared" si="0"/>
        <v>850</v>
      </c>
      <c r="H23" s="11"/>
      <c r="I23" s="10"/>
      <c r="J23" s="29">
        <f t="shared" si="1"/>
        <v>0</v>
      </c>
      <c r="K23" s="29"/>
      <c r="L23" s="223">
        <f t="shared" si="2"/>
        <v>850</v>
      </c>
      <c r="M23" s="12"/>
      <c r="N23" s="218" t="str">
        <f t="shared" si="3"/>
        <v xml:space="preserve"> </v>
      </c>
      <c r="O23" s="189"/>
      <c r="P23" s="189"/>
      <c r="Q23" s="189"/>
      <c r="R23" s="189" t="str">
        <f t="shared" si="4"/>
        <v xml:space="preserve"> </v>
      </c>
      <c r="S23" s="189"/>
      <c r="T23" s="253"/>
      <c r="U23" s="13"/>
      <c r="V23" s="253"/>
      <c r="W23" s="253"/>
      <c r="X23" s="16"/>
    </row>
    <row r="24" spans="1:24" ht="15" customHeight="1" x14ac:dyDescent="0.35">
      <c r="A24" s="245">
        <v>45239</v>
      </c>
      <c r="B24" s="245"/>
      <c r="C24" s="211" t="s">
        <v>153</v>
      </c>
      <c r="D24" s="15">
        <v>1</v>
      </c>
      <c r="E24" s="15"/>
      <c r="F24" s="9">
        <v>850</v>
      </c>
      <c r="G24" s="29">
        <f t="shared" si="0"/>
        <v>850</v>
      </c>
      <c r="H24" s="11"/>
      <c r="I24" s="10"/>
      <c r="J24" s="29">
        <f t="shared" si="1"/>
        <v>0</v>
      </c>
      <c r="K24" s="29"/>
      <c r="L24" s="223">
        <f t="shared" si="2"/>
        <v>850</v>
      </c>
      <c r="M24" s="12"/>
      <c r="N24" s="218" t="str">
        <f t="shared" si="3"/>
        <v xml:space="preserve"> </v>
      </c>
      <c r="O24" s="189"/>
      <c r="P24" s="189"/>
      <c r="Q24" s="189"/>
      <c r="R24" s="189" t="str">
        <f t="shared" si="4"/>
        <v xml:space="preserve"> </v>
      </c>
      <c r="S24" s="189"/>
      <c r="T24" s="253"/>
      <c r="U24" s="13"/>
      <c r="V24" s="253"/>
      <c r="W24" s="253"/>
      <c r="X24" s="16"/>
    </row>
    <row r="25" spans="1:24" ht="15" customHeight="1" x14ac:dyDescent="0.35">
      <c r="A25" s="246">
        <v>45239</v>
      </c>
      <c r="B25" s="245"/>
      <c r="C25" s="211" t="s">
        <v>330</v>
      </c>
      <c r="D25" s="15"/>
      <c r="E25" s="15">
        <v>6</v>
      </c>
      <c r="F25" s="9">
        <v>820</v>
      </c>
      <c r="G25" s="29">
        <f t="shared" si="0"/>
        <v>4920</v>
      </c>
      <c r="H25" s="11"/>
      <c r="I25" s="10"/>
      <c r="J25" s="29">
        <f t="shared" si="1"/>
        <v>0</v>
      </c>
      <c r="K25" s="29"/>
      <c r="L25" s="223">
        <f t="shared" si="2"/>
        <v>4920</v>
      </c>
      <c r="M25" s="12"/>
      <c r="N25" s="218" t="str">
        <f t="shared" si="3"/>
        <v xml:space="preserve"> </v>
      </c>
      <c r="O25" s="189"/>
      <c r="P25" s="189"/>
      <c r="Q25" s="189"/>
      <c r="R25" s="189" t="str">
        <f t="shared" si="4"/>
        <v xml:space="preserve"> </v>
      </c>
      <c r="S25" s="189"/>
      <c r="T25" s="253"/>
      <c r="U25" s="13"/>
      <c r="V25" s="253"/>
      <c r="W25" s="253"/>
      <c r="X25" s="16"/>
    </row>
    <row r="26" spans="1:24" ht="15" customHeight="1" x14ac:dyDescent="0.35">
      <c r="A26" s="246">
        <v>45239</v>
      </c>
      <c r="B26" s="245"/>
      <c r="C26" s="212" t="s">
        <v>281</v>
      </c>
      <c r="D26" s="15"/>
      <c r="E26" s="15">
        <v>3</v>
      </c>
      <c r="F26" s="9">
        <v>800</v>
      </c>
      <c r="G26" s="29">
        <f t="shared" si="0"/>
        <v>2400</v>
      </c>
      <c r="H26" s="11"/>
      <c r="I26" s="10"/>
      <c r="J26" s="29">
        <f t="shared" si="1"/>
        <v>0</v>
      </c>
      <c r="K26" s="29"/>
      <c r="L26" s="223">
        <f t="shared" si="2"/>
        <v>2400</v>
      </c>
      <c r="M26" s="12"/>
      <c r="N26" s="218" t="str">
        <f t="shared" si="3"/>
        <v xml:space="preserve"> </v>
      </c>
      <c r="O26" s="189"/>
      <c r="P26" s="189"/>
      <c r="Q26" s="189"/>
      <c r="R26" s="189" t="str">
        <f t="shared" si="4"/>
        <v xml:space="preserve"> </v>
      </c>
      <c r="S26" s="189"/>
      <c r="T26" s="253"/>
      <c r="U26" s="13"/>
      <c r="V26" s="253"/>
      <c r="W26" s="253"/>
      <c r="X26" s="16"/>
    </row>
    <row r="27" spans="1:24" ht="15" customHeight="1" x14ac:dyDescent="0.35">
      <c r="A27" s="246">
        <v>45240</v>
      </c>
      <c r="B27" s="245"/>
      <c r="C27" s="212" t="s">
        <v>152</v>
      </c>
      <c r="D27" s="15">
        <v>8</v>
      </c>
      <c r="E27" s="15"/>
      <c r="F27" s="9">
        <v>830</v>
      </c>
      <c r="G27" s="29">
        <f t="shared" si="0"/>
        <v>6640</v>
      </c>
      <c r="H27" s="11"/>
      <c r="I27" s="10"/>
      <c r="J27" s="29">
        <f t="shared" si="1"/>
        <v>0</v>
      </c>
      <c r="K27" s="29"/>
      <c r="L27" s="223">
        <f t="shared" si="2"/>
        <v>6640</v>
      </c>
      <c r="M27" s="12"/>
      <c r="N27" s="218" t="str">
        <f t="shared" si="3"/>
        <v xml:space="preserve"> </v>
      </c>
      <c r="O27" s="189"/>
      <c r="P27" s="189"/>
      <c r="Q27" s="189"/>
      <c r="R27" s="189" t="str">
        <f t="shared" si="4"/>
        <v xml:space="preserve"> </v>
      </c>
      <c r="S27" s="189"/>
      <c r="T27" s="253"/>
      <c r="U27" s="13"/>
      <c r="V27" s="253"/>
      <c r="W27" s="253"/>
      <c r="X27" s="16"/>
    </row>
    <row r="28" spans="1:24" ht="15" customHeight="1" x14ac:dyDescent="0.35">
      <c r="A28" s="245">
        <v>45243</v>
      </c>
      <c r="B28" s="245"/>
      <c r="C28" s="248" t="s">
        <v>153</v>
      </c>
      <c r="D28" s="15">
        <v>1</v>
      </c>
      <c r="E28" s="15"/>
      <c r="F28" s="9">
        <v>850</v>
      </c>
      <c r="G28" s="29">
        <f t="shared" si="0"/>
        <v>850</v>
      </c>
      <c r="H28" s="11"/>
      <c r="I28" s="10"/>
      <c r="J28" s="29">
        <f t="shared" si="1"/>
        <v>0</v>
      </c>
      <c r="K28" s="29"/>
      <c r="L28" s="223">
        <f t="shared" si="2"/>
        <v>850</v>
      </c>
      <c r="M28" s="12"/>
      <c r="N28" s="239" t="str">
        <f t="shared" si="3"/>
        <v xml:space="preserve"> </v>
      </c>
      <c r="O28" s="189"/>
      <c r="P28" s="189"/>
      <c r="Q28" s="189"/>
      <c r="R28" s="189" t="str">
        <f t="shared" si="4"/>
        <v xml:space="preserve"> </v>
      </c>
      <c r="S28" s="189"/>
      <c r="T28" s="253"/>
      <c r="U28" s="13"/>
      <c r="V28" s="253"/>
      <c r="W28" s="253"/>
      <c r="X28" s="16"/>
    </row>
    <row r="29" spans="1:24" ht="15" customHeight="1" x14ac:dyDescent="0.35">
      <c r="A29" s="245">
        <v>45243</v>
      </c>
      <c r="B29" s="245"/>
      <c r="C29" s="248" t="s">
        <v>433</v>
      </c>
      <c r="D29" s="15">
        <v>1</v>
      </c>
      <c r="E29" s="15"/>
      <c r="F29" s="9">
        <v>850</v>
      </c>
      <c r="G29" s="29">
        <f t="shared" si="0"/>
        <v>850</v>
      </c>
      <c r="H29" s="11"/>
      <c r="I29" s="10"/>
      <c r="J29" s="29">
        <f t="shared" si="1"/>
        <v>0</v>
      </c>
      <c r="K29" s="29"/>
      <c r="L29" s="223">
        <f t="shared" si="2"/>
        <v>850</v>
      </c>
      <c r="M29" s="207"/>
      <c r="N29" s="218" t="str">
        <f t="shared" si="3"/>
        <v xml:space="preserve"> </v>
      </c>
      <c r="O29" s="189"/>
      <c r="P29" s="189"/>
      <c r="Q29" s="189"/>
      <c r="R29" s="189" t="str">
        <f t="shared" si="4"/>
        <v xml:space="preserve"> </v>
      </c>
      <c r="S29" s="189"/>
      <c r="T29" s="253"/>
      <c r="U29" s="13"/>
      <c r="V29" s="253"/>
      <c r="W29" s="253"/>
      <c r="X29" s="16"/>
    </row>
    <row r="30" spans="1:24" ht="15" customHeight="1" x14ac:dyDescent="0.35">
      <c r="A30" s="245">
        <v>45243</v>
      </c>
      <c r="B30" s="245"/>
      <c r="C30" s="212" t="s">
        <v>461</v>
      </c>
      <c r="D30" s="15">
        <v>1</v>
      </c>
      <c r="E30" s="15"/>
      <c r="F30" s="9">
        <v>850</v>
      </c>
      <c r="G30" s="29">
        <f t="shared" si="0"/>
        <v>850</v>
      </c>
      <c r="H30" s="11"/>
      <c r="I30" s="10"/>
      <c r="J30" s="29">
        <f t="shared" si="1"/>
        <v>0</v>
      </c>
      <c r="K30" s="29"/>
      <c r="L30" s="223">
        <f t="shared" si="2"/>
        <v>850</v>
      </c>
      <c r="M30" s="12"/>
      <c r="N30" s="218" t="str">
        <f t="shared" si="3"/>
        <v xml:space="preserve"> </v>
      </c>
      <c r="O30" s="189"/>
      <c r="P30" s="189"/>
      <c r="Q30" s="189"/>
      <c r="R30" s="189" t="str">
        <f t="shared" si="4"/>
        <v xml:space="preserve"> </v>
      </c>
      <c r="S30" s="189"/>
      <c r="T30" s="253"/>
      <c r="U30" s="13"/>
      <c r="V30" s="253"/>
      <c r="W30" s="253"/>
      <c r="X30" s="16"/>
    </row>
    <row r="31" spans="1:24" ht="15" customHeight="1" x14ac:dyDescent="0.35">
      <c r="A31" s="245">
        <v>45243</v>
      </c>
      <c r="B31" s="245"/>
      <c r="C31" s="211" t="s">
        <v>322</v>
      </c>
      <c r="D31" s="15">
        <v>1</v>
      </c>
      <c r="E31" s="15"/>
      <c r="F31" s="9">
        <v>850</v>
      </c>
      <c r="G31" s="29">
        <f t="shared" si="0"/>
        <v>850</v>
      </c>
      <c r="H31" s="11"/>
      <c r="I31" s="10"/>
      <c r="J31" s="29">
        <f t="shared" si="1"/>
        <v>0</v>
      </c>
      <c r="K31" s="29"/>
      <c r="L31" s="223">
        <f t="shared" si="2"/>
        <v>850</v>
      </c>
      <c r="M31" s="213"/>
      <c r="N31" s="218" t="str">
        <f t="shared" si="3"/>
        <v xml:space="preserve"> </v>
      </c>
      <c r="O31" s="189"/>
      <c r="P31" s="189"/>
      <c r="Q31" s="189"/>
      <c r="R31" s="189" t="str">
        <f t="shared" si="4"/>
        <v xml:space="preserve"> </v>
      </c>
      <c r="S31" s="189"/>
      <c r="T31" s="253"/>
      <c r="U31" s="13"/>
      <c r="V31" s="253"/>
      <c r="W31" s="253"/>
      <c r="X31" s="16"/>
    </row>
    <row r="32" spans="1:24" ht="15" customHeight="1" x14ac:dyDescent="0.35">
      <c r="A32" s="245">
        <v>45244</v>
      </c>
      <c r="B32" s="245"/>
      <c r="C32" s="211" t="s">
        <v>296</v>
      </c>
      <c r="D32" s="15"/>
      <c r="E32" s="15">
        <v>4</v>
      </c>
      <c r="F32" s="9">
        <v>840</v>
      </c>
      <c r="G32" s="29">
        <f t="shared" si="0"/>
        <v>3360</v>
      </c>
      <c r="H32" s="11"/>
      <c r="I32" s="10"/>
      <c r="J32" s="29">
        <f t="shared" si="1"/>
        <v>0</v>
      </c>
      <c r="K32" s="29"/>
      <c r="L32" s="223">
        <f t="shared" si="2"/>
        <v>3360</v>
      </c>
      <c r="M32" s="12"/>
      <c r="N32" s="218" t="str">
        <f t="shared" si="3"/>
        <v xml:space="preserve"> </v>
      </c>
      <c r="O32" s="189"/>
      <c r="P32" s="189"/>
      <c r="Q32" s="189"/>
      <c r="R32" s="189" t="str">
        <f t="shared" si="4"/>
        <v xml:space="preserve"> </v>
      </c>
      <c r="S32" s="189"/>
      <c r="T32" s="253"/>
      <c r="U32" s="13"/>
      <c r="V32" s="253"/>
      <c r="W32" s="253"/>
      <c r="X32" s="16"/>
    </row>
    <row r="33" spans="1:24" ht="15" customHeight="1" x14ac:dyDescent="0.35">
      <c r="A33" s="245">
        <v>45244</v>
      </c>
      <c r="B33" s="245"/>
      <c r="C33" s="212" t="s">
        <v>280</v>
      </c>
      <c r="D33" s="15"/>
      <c r="E33" s="15">
        <v>2</v>
      </c>
      <c r="F33" s="9">
        <v>820</v>
      </c>
      <c r="G33" s="29">
        <f t="shared" si="0"/>
        <v>1640</v>
      </c>
      <c r="H33" s="11"/>
      <c r="I33" s="10"/>
      <c r="J33" s="29">
        <f t="shared" si="1"/>
        <v>0</v>
      </c>
      <c r="K33" s="29"/>
      <c r="L33" s="223">
        <f t="shared" si="2"/>
        <v>1640</v>
      </c>
      <c r="M33" s="12"/>
      <c r="N33" s="218" t="str">
        <f t="shared" si="3"/>
        <v xml:space="preserve"> </v>
      </c>
      <c r="O33" s="189"/>
      <c r="P33" s="189"/>
      <c r="Q33" s="189"/>
      <c r="R33" s="189" t="str">
        <f t="shared" si="4"/>
        <v xml:space="preserve"> </v>
      </c>
      <c r="S33" s="189"/>
      <c r="T33" s="253"/>
      <c r="U33" s="13"/>
      <c r="V33" s="253"/>
      <c r="W33" s="253"/>
      <c r="X33" s="16"/>
    </row>
    <row r="34" spans="1:24" ht="15" customHeight="1" x14ac:dyDescent="0.35">
      <c r="A34" s="245">
        <v>45244</v>
      </c>
      <c r="B34" s="246"/>
      <c r="C34" s="211" t="s">
        <v>443</v>
      </c>
      <c r="D34" s="15"/>
      <c r="E34" s="15">
        <v>1</v>
      </c>
      <c r="F34" s="9">
        <v>810</v>
      </c>
      <c r="G34" s="29">
        <f t="shared" si="0"/>
        <v>810</v>
      </c>
      <c r="H34" s="11"/>
      <c r="I34" s="10"/>
      <c r="J34" s="29">
        <f t="shared" si="1"/>
        <v>0</v>
      </c>
      <c r="K34" s="29"/>
      <c r="L34" s="223">
        <f t="shared" si="2"/>
        <v>810</v>
      </c>
      <c r="M34" s="12"/>
      <c r="N34" s="218" t="str">
        <f t="shared" si="3"/>
        <v xml:space="preserve"> </v>
      </c>
      <c r="O34" s="189"/>
      <c r="P34" s="189"/>
      <c r="Q34" s="189"/>
      <c r="R34" s="189" t="str">
        <f t="shared" si="4"/>
        <v xml:space="preserve"> </v>
      </c>
      <c r="S34" s="189"/>
      <c r="T34" s="253"/>
      <c r="U34" s="13"/>
      <c r="V34" s="253"/>
      <c r="W34" s="253"/>
      <c r="X34" s="16"/>
    </row>
    <row r="35" spans="1:24" ht="15" customHeight="1" x14ac:dyDescent="0.35">
      <c r="A35" s="245">
        <v>45244</v>
      </c>
      <c r="B35" s="246"/>
      <c r="C35" s="212" t="s">
        <v>323</v>
      </c>
      <c r="D35" s="15">
        <v>1</v>
      </c>
      <c r="E35" s="15"/>
      <c r="F35" s="9">
        <v>850</v>
      </c>
      <c r="G35" s="29">
        <f t="shared" si="0"/>
        <v>850</v>
      </c>
      <c r="H35" s="11"/>
      <c r="I35" s="10"/>
      <c r="J35" s="29">
        <f t="shared" si="1"/>
        <v>0</v>
      </c>
      <c r="K35" s="29"/>
      <c r="L35" s="223">
        <f t="shared" si="2"/>
        <v>850</v>
      </c>
      <c r="M35" s="12"/>
      <c r="N35" s="218" t="str">
        <f t="shared" si="3"/>
        <v xml:space="preserve"> </v>
      </c>
      <c r="O35" s="189"/>
      <c r="P35" s="189"/>
      <c r="Q35" s="189"/>
      <c r="R35" s="189" t="str">
        <f t="shared" si="4"/>
        <v xml:space="preserve"> </v>
      </c>
      <c r="S35" s="189"/>
      <c r="T35" s="253"/>
      <c r="U35" s="13"/>
      <c r="V35" s="253"/>
      <c r="W35" s="253"/>
      <c r="X35" s="16"/>
    </row>
    <row r="36" spans="1:24" ht="15" customHeight="1" x14ac:dyDescent="0.35">
      <c r="A36" s="245">
        <v>45245</v>
      </c>
      <c r="B36" s="246"/>
      <c r="C36" s="212" t="s">
        <v>321</v>
      </c>
      <c r="D36" s="15">
        <v>3</v>
      </c>
      <c r="E36" s="15"/>
      <c r="F36" s="9">
        <v>850</v>
      </c>
      <c r="G36" s="29">
        <f t="shared" si="0"/>
        <v>2550</v>
      </c>
      <c r="H36" s="11"/>
      <c r="I36" s="10"/>
      <c r="J36" s="29">
        <f t="shared" si="1"/>
        <v>0</v>
      </c>
      <c r="K36" s="29"/>
      <c r="L36" s="223">
        <f t="shared" si="2"/>
        <v>2550</v>
      </c>
      <c r="M36" s="12"/>
      <c r="N36" s="218" t="str">
        <f t="shared" si="3"/>
        <v xml:space="preserve"> </v>
      </c>
      <c r="O36" s="189"/>
      <c r="P36" s="189"/>
      <c r="Q36" s="189"/>
      <c r="R36" s="189" t="str">
        <f t="shared" si="4"/>
        <v xml:space="preserve"> </v>
      </c>
      <c r="S36" s="189"/>
      <c r="T36" s="253"/>
      <c r="U36" s="13"/>
      <c r="V36" s="253"/>
      <c r="W36" s="253"/>
      <c r="X36" s="16"/>
    </row>
    <row r="37" spans="1:24" ht="15" customHeight="1" x14ac:dyDescent="0.35">
      <c r="A37" s="245">
        <v>45246</v>
      </c>
      <c r="B37" s="246"/>
      <c r="C37" s="211" t="s">
        <v>428</v>
      </c>
      <c r="D37" s="15">
        <v>2</v>
      </c>
      <c r="E37" s="15"/>
      <c r="F37" s="9">
        <v>800</v>
      </c>
      <c r="G37" s="29">
        <f t="shared" si="0"/>
        <v>1600</v>
      </c>
      <c r="H37" s="11"/>
      <c r="I37" s="10"/>
      <c r="J37" s="29">
        <f t="shared" si="1"/>
        <v>0</v>
      </c>
      <c r="K37" s="29"/>
      <c r="L37" s="223">
        <f t="shared" si="2"/>
        <v>1600</v>
      </c>
      <c r="M37" s="12"/>
      <c r="N37" s="218" t="str">
        <f t="shared" si="3"/>
        <v xml:space="preserve"> </v>
      </c>
      <c r="O37" s="189"/>
      <c r="P37" s="189"/>
      <c r="Q37" s="189"/>
      <c r="R37" s="189" t="str">
        <f t="shared" si="4"/>
        <v xml:space="preserve"> </v>
      </c>
      <c r="S37" s="189"/>
      <c r="T37" s="253"/>
      <c r="U37" s="13"/>
      <c r="V37" s="253"/>
      <c r="W37" s="253"/>
      <c r="X37" s="16"/>
    </row>
    <row r="38" spans="1:24" ht="15" customHeight="1" x14ac:dyDescent="0.35">
      <c r="A38" s="245">
        <v>45246</v>
      </c>
      <c r="B38" s="246"/>
      <c r="C38" s="212" t="s">
        <v>429</v>
      </c>
      <c r="D38" s="15">
        <v>2</v>
      </c>
      <c r="E38" s="15"/>
      <c r="F38" s="9">
        <v>800</v>
      </c>
      <c r="G38" s="29">
        <f t="shared" si="0"/>
        <v>1600</v>
      </c>
      <c r="H38" s="11"/>
      <c r="I38" s="10"/>
      <c r="J38" s="29">
        <f t="shared" si="1"/>
        <v>0</v>
      </c>
      <c r="K38" s="29"/>
      <c r="L38" s="223">
        <f t="shared" si="2"/>
        <v>1600</v>
      </c>
      <c r="M38" s="12"/>
      <c r="N38" s="218" t="str">
        <f t="shared" si="3"/>
        <v xml:space="preserve"> </v>
      </c>
      <c r="O38" s="189"/>
      <c r="P38" s="189"/>
      <c r="Q38" s="189"/>
      <c r="R38" s="189" t="str">
        <f t="shared" si="4"/>
        <v xml:space="preserve"> </v>
      </c>
      <c r="S38" s="189"/>
      <c r="T38" s="253"/>
      <c r="U38" s="13"/>
      <c r="V38" s="253"/>
      <c r="W38" s="253"/>
      <c r="X38" s="16"/>
    </row>
    <row r="39" spans="1:24" ht="15" customHeight="1" x14ac:dyDescent="0.35">
      <c r="A39" s="245">
        <v>45246</v>
      </c>
      <c r="B39" s="246"/>
      <c r="C39" s="212" t="s">
        <v>447</v>
      </c>
      <c r="D39" s="15">
        <v>1</v>
      </c>
      <c r="E39" s="15"/>
      <c r="F39" s="9">
        <v>850</v>
      </c>
      <c r="G39" s="29">
        <f t="shared" si="0"/>
        <v>850</v>
      </c>
      <c r="H39" s="11"/>
      <c r="I39" s="10"/>
      <c r="J39" s="29">
        <f t="shared" si="1"/>
        <v>0</v>
      </c>
      <c r="K39" s="29"/>
      <c r="L39" s="223">
        <f t="shared" si="2"/>
        <v>850</v>
      </c>
      <c r="M39" s="12"/>
      <c r="N39" s="218" t="str">
        <f t="shared" si="3"/>
        <v xml:space="preserve"> </v>
      </c>
      <c r="O39" s="189"/>
      <c r="P39" s="189"/>
      <c r="Q39" s="189"/>
      <c r="R39" s="189" t="str">
        <f t="shared" si="4"/>
        <v xml:space="preserve"> </v>
      </c>
      <c r="S39" s="189"/>
      <c r="T39" s="253"/>
      <c r="U39" s="13"/>
      <c r="V39" s="253"/>
      <c r="W39" s="253"/>
      <c r="X39" s="16"/>
    </row>
    <row r="40" spans="1:24" ht="15" customHeight="1" x14ac:dyDescent="0.35">
      <c r="A40" s="245">
        <v>45246</v>
      </c>
      <c r="B40" s="246"/>
      <c r="C40" s="211" t="s">
        <v>322</v>
      </c>
      <c r="D40" s="15">
        <v>1</v>
      </c>
      <c r="E40" s="15"/>
      <c r="F40" s="9">
        <v>850</v>
      </c>
      <c r="G40" s="29">
        <f t="shared" si="0"/>
        <v>850</v>
      </c>
      <c r="H40" s="11"/>
      <c r="I40" s="10"/>
      <c r="J40" s="29">
        <f t="shared" si="1"/>
        <v>0</v>
      </c>
      <c r="K40" s="29"/>
      <c r="L40" s="223">
        <f t="shared" si="2"/>
        <v>850</v>
      </c>
      <c r="M40" s="12"/>
      <c r="N40" s="218" t="str">
        <f t="shared" si="3"/>
        <v xml:space="preserve"> </v>
      </c>
      <c r="O40" s="189"/>
      <c r="P40" s="189"/>
      <c r="Q40" s="189"/>
      <c r="R40" s="189" t="str">
        <f t="shared" si="4"/>
        <v xml:space="preserve"> </v>
      </c>
      <c r="S40" s="189"/>
      <c r="T40" s="253"/>
      <c r="U40" s="13"/>
      <c r="V40" s="253"/>
      <c r="W40" s="253"/>
      <c r="X40" s="16"/>
    </row>
    <row r="41" spans="1:24" ht="15" customHeight="1" x14ac:dyDescent="0.35">
      <c r="A41" s="245">
        <v>45246</v>
      </c>
      <c r="B41" s="246"/>
      <c r="C41" s="211" t="s">
        <v>279</v>
      </c>
      <c r="D41" s="15"/>
      <c r="E41" s="15">
        <v>6</v>
      </c>
      <c r="F41" s="9">
        <v>780</v>
      </c>
      <c r="G41" s="29">
        <f t="shared" si="0"/>
        <v>4680</v>
      </c>
      <c r="H41" s="11"/>
      <c r="I41" s="10"/>
      <c r="J41" s="29">
        <f t="shared" si="1"/>
        <v>0</v>
      </c>
      <c r="K41" s="29"/>
      <c r="L41" s="223">
        <f t="shared" si="2"/>
        <v>4680</v>
      </c>
      <c r="M41" s="12"/>
      <c r="N41" s="218" t="str">
        <f t="shared" si="3"/>
        <v xml:space="preserve"> </v>
      </c>
      <c r="O41" s="189"/>
      <c r="P41" s="189"/>
      <c r="Q41" s="189"/>
      <c r="R41" s="189" t="str">
        <f t="shared" si="4"/>
        <v xml:space="preserve"> </v>
      </c>
      <c r="S41" s="189"/>
      <c r="T41" s="253"/>
      <c r="U41" s="13"/>
      <c r="V41" s="253"/>
      <c r="W41" s="253"/>
      <c r="X41" s="16"/>
    </row>
    <row r="42" spans="1:24" ht="15" customHeight="1" x14ac:dyDescent="0.35">
      <c r="A42" s="245">
        <v>45246</v>
      </c>
      <c r="B42" s="246"/>
      <c r="C42" s="212" t="s">
        <v>330</v>
      </c>
      <c r="D42" s="15"/>
      <c r="E42" s="15">
        <v>6</v>
      </c>
      <c r="F42" s="9">
        <v>820</v>
      </c>
      <c r="G42" s="29">
        <f t="shared" si="0"/>
        <v>4920</v>
      </c>
      <c r="H42" s="11"/>
      <c r="I42" s="10"/>
      <c r="J42" s="29">
        <f t="shared" si="1"/>
        <v>0</v>
      </c>
      <c r="K42" s="29"/>
      <c r="L42" s="223">
        <f t="shared" si="2"/>
        <v>4920</v>
      </c>
      <c r="M42" s="12"/>
      <c r="N42" s="218" t="str">
        <f t="shared" si="3"/>
        <v xml:space="preserve"> </v>
      </c>
      <c r="O42" s="189"/>
      <c r="P42" s="189"/>
      <c r="Q42" s="189"/>
      <c r="R42" s="189" t="str">
        <f t="shared" si="4"/>
        <v xml:space="preserve"> </v>
      </c>
      <c r="S42" s="189"/>
      <c r="T42" s="253"/>
      <c r="U42" s="13"/>
      <c r="V42" s="253"/>
      <c r="W42" s="253"/>
      <c r="X42" s="16"/>
    </row>
    <row r="43" spans="1:24" ht="15" customHeight="1" x14ac:dyDescent="0.35">
      <c r="A43" s="245">
        <v>45248</v>
      </c>
      <c r="B43" s="246"/>
      <c r="C43" s="212" t="s">
        <v>153</v>
      </c>
      <c r="D43" s="15"/>
      <c r="E43" s="15">
        <v>1</v>
      </c>
      <c r="F43" s="9">
        <v>850</v>
      </c>
      <c r="G43" s="29">
        <f t="shared" si="0"/>
        <v>850</v>
      </c>
      <c r="H43" s="11"/>
      <c r="I43" s="10"/>
      <c r="J43" s="29">
        <f t="shared" si="1"/>
        <v>0</v>
      </c>
      <c r="K43" s="29"/>
      <c r="L43" s="223">
        <f t="shared" si="2"/>
        <v>850</v>
      </c>
      <c r="M43" s="213"/>
      <c r="N43" s="218" t="str">
        <f t="shared" si="3"/>
        <v xml:space="preserve"> </v>
      </c>
      <c r="O43" s="189"/>
      <c r="P43" s="189"/>
      <c r="Q43" s="189"/>
      <c r="R43" s="189" t="str">
        <f t="shared" si="4"/>
        <v xml:space="preserve"> </v>
      </c>
      <c r="S43" s="189"/>
      <c r="T43" s="253"/>
      <c r="U43" s="13"/>
      <c r="V43" s="253"/>
      <c r="W43" s="253"/>
      <c r="X43" s="16"/>
    </row>
    <row r="44" spans="1:24" ht="15" customHeight="1" x14ac:dyDescent="0.35">
      <c r="A44" s="245">
        <v>45248</v>
      </c>
      <c r="B44" s="246"/>
      <c r="C44" s="211" t="s">
        <v>325</v>
      </c>
      <c r="D44" s="15">
        <v>1</v>
      </c>
      <c r="E44" s="15"/>
      <c r="F44" s="9">
        <v>850</v>
      </c>
      <c r="G44" s="29">
        <f t="shared" si="0"/>
        <v>850</v>
      </c>
      <c r="H44" s="11"/>
      <c r="I44" s="10"/>
      <c r="J44" s="29">
        <f t="shared" si="1"/>
        <v>0</v>
      </c>
      <c r="K44" s="29"/>
      <c r="L44" s="223">
        <f t="shared" si="2"/>
        <v>850</v>
      </c>
      <c r="M44" s="213"/>
      <c r="N44" s="218" t="str">
        <f t="shared" si="3"/>
        <v xml:space="preserve"> </v>
      </c>
      <c r="O44" s="189"/>
      <c r="P44" s="189"/>
      <c r="Q44" s="189"/>
      <c r="R44" s="189" t="str">
        <f t="shared" si="4"/>
        <v xml:space="preserve"> </v>
      </c>
      <c r="S44" s="189"/>
      <c r="T44" s="253"/>
      <c r="U44" s="13"/>
      <c r="V44" s="253"/>
      <c r="W44" s="253"/>
      <c r="X44" s="16"/>
    </row>
    <row r="45" spans="1:24" ht="15" customHeight="1" x14ac:dyDescent="0.35">
      <c r="A45" s="245">
        <v>45248</v>
      </c>
      <c r="B45" s="246"/>
      <c r="C45" s="212" t="s">
        <v>428</v>
      </c>
      <c r="D45" s="15">
        <v>1</v>
      </c>
      <c r="E45" s="15"/>
      <c r="F45" s="9">
        <v>800</v>
      </c>
      <c r="G45" s="29">
        <f t="shared" si="0"/>
        <v>800</v>
      </c>
      <c r="H45" s="11"/>
      <c r="I45" s="10"/>
      <c r="J45" s="29">
        <f t="shared" si="1"/>
        <v>0</v>
      </c>
      <c r="K45" s="29"/>
      <c r="L45" s="223">
        <f t="shared" si="2"/>
        <v>800</v>
      </c>
      <c r="M45" s="12"/>
      <c r="N45" s="218" t="str">
        <f>IF(M45&gt;0,SUM(L45-M45)," ")</f>
        <v xml:space="preserve"> </v>
      </c>
      <c r="O45" s="189"/>
      <c r="P45" s="189"/>
      <c r="Q45" s="189"/>
      <c r="R45" s="189" t="str">
        <f t="shared" si="4"/>
        <v xml:space="preserve"> </v>
      </c>
      <c r="S45" s="189"/>
      <c r="T45" s="253"/>
      <c r="U45" s="13"/>
      <c r="V45" s="253"/>
      <c r="W45" s="253"/>
      <c r="X45" s="16"/>
    </row>
    <row r="46" spans="1:24" ht="15" customHeight="1" x14ac:dyDescent="0.35">
      <c r="A46" s="245">
        <v>45250</v>
      </c>
      <c r="B46" s="246"/>
      <c r="C46" s="212" t="s">
        <v>428</v>
      </c>
      <c r="D46" s="15">
        <v>1</v>
      </c>
      <c r="E46" s="15"/>
      <c r="F46" s="9">
        <v>800</v>
      </c>
      <c r="G46" s="29">
        <f t="shared" si="0"/>
        <v>800</v>
      </c>
      <c r="H46" s="11"/>
      <c r="I46" s="10"/>
      <c r="J46" s="29">
        <f t="shared" si="1"/>
        <v>0</v>
      </c>
      <c r="K46" s="29"/>
      <c r="L46" s="223">
        <f t="shared" si="2"/>
        <v>800</v>
      </c>
      <c r="M46" s="12"/>
      <c r="N46" s="218" t="str">
        <f>IF(M46&gt;0,SUM(L46-M46)," ")</f>
        <v xml:space="preserve"> </v>
      </c>
      <c r="O46" s="189"/>
      <c r="P46" s="189"/>
      <c r="Q46" s="189"/>
      <c r="R46" s="189" t="str">
        <f t="shared" si="4"/>
        <v xml:space="preserve"> </v>
      </c>
      <c r="S46" s="189"/>
      <c r="T46" s="253"/>
      <c r="U46" s="13"/>
      <c r="V46" s="253"/>
      <c r="W46" s="253"/>
      <c r="X46" s="16"/>
    </row>
    <row r="47" spans="1:24" ht="15" customHeight="1" x14ac:dyDescent="0.35">
      <c r="A47" s="245">
        <v>45250</v>
      </c>
      <c r="B47" s="246"/>
      <c r="C47" s="211" t="s">
        <v>429</v>
      </c>
      <c r="D47" s="15">
        <v>2</v>
      </c>
      <c r="E47" s="15"/>
      <c r="F47" s="9">
        <v>800</v>
      </c>
      <c r="G47" s="29">
        <f t="shared" si="0"/>
        <v>1600</v>
      </c>
      <c r="H47" s="11"/>
      <c r="I47" s="10"/>
      <c r="J47" s="29">
        <f t="shared" si="1"/>
        <v>0</v>
      </c>
      <c r="K47" s="29"/>
      <c r="L47" s="223">
        <f t="shared" si="2"/>
        <v>1600</v>
      </c>
      <c r="M47" s="213"/>
      <c r="N47" s="218" t="str">
        <f t="shared" si="3"/>
        <v xml:space="preserve"> </v>
      </c>
      <c r="O47" s="189"/>
      <c r="P47" s="189"/>
      <c r="Q47" s="189"/>
      <c r="R47" s="189" t="str">
        <f t="shared" si="4"/>
        <v xml:space="preserve"> </v>
      </c>
      <c r="S47" s="189"/>
      <c r="T47" s="253"/>
      <c r="U47" s="13"/>
      <c r="V47" s="253"/>
      <c r="W47" s="253"/>
      <c r="X47" s="16"/>
    </row>
    <row r="48" spans="1:24" ht="15" customHeight="1" x14ac:dyDescent="0.35">
      <c r="A48" s="245">
        <v>45250</v>
      </c>
      <c r="B48" s="246"/>
      <c r="C48" s="212" t="s">
        <v>153</v>
      </c>
      <c r="D48" s="15">
        <v>1</v>
      </c>
      <c r="E48" s="15"/>
      <c r="F48" s="9">
        <v>850</v>
      </c>
      <c r="G48" s="29">
        <f t="shared" si="0"/>
        <v>850</v>
      </c>
      <c r="H48" s="11"/>
      <c r="I48" s="10"/>
      <c r="J48" s="29">
        <f t="shared" si="1"/>
        <v>0</v>
      </c>
      <c r="K48" s="29"/>
      <c r="L48" s="223">
        <f t="shared" si="2"/>
        <v>850</v>
      </c>
      <c r="M48" s="12"/>
      <c r="N48" s="218" t="str">
        <f t="shared" si="3"/>
        <v xml:space="preserve"> </v>
      </c>
      <c r="O48" s="189"/>
      <c r="P48" s="189"/>
      <c r="Q48" s="189"/>
      <c r="R48" s="189" t="str">
        <f t="shared" si="4"/>
        <v xml:space="preserve"> </v>
      </c>
      <c r="S48" s="189"/>
      <c r="T48" s="253"/>
      <c r="U48" s="13"/>
      <c r="V48" s="253"/>
      <c r="W48" s="253"/>
      <c r="X48" s="16"/>
    </row>
    <row r="49" spans="1:24" ht="15" customHeight="1" x14ac:dyDescent="0.35">
      <c r="A49" s="245">
        <v>45250</v>
      </c>
      <c r="B49" s="246"/>
      <c r="C49" s="211" t="s">
        <v>318</v>
      </c>
      <c r="D49" s="15">
        <v>1</v>
      </c>
      <c r="E49" s="15"/>
      <c r="F49" s="9">
        <v>850</v>
      </c>
      <c r="G49" s="29">
        <f t="shared" si="0"/>
        <v>850</v>
      </c>
      <c r="H49" s="11"/>
      <c r="I49" s="10"/>
      <c r="J49" s="29">
        <f t="shared" si="1"/>
        <v>0</v>
      </c>
      <c r="K49" s="29"/>
      <c r="L49" s="223">
        <f t="shared" si="2"/>
        <v>850</v>
      </c>
      <c r="M49" s="12"/>
      <c r="N49" s="218" t="str">
        <f t="shared" si="3"/>
        <v xml:space="preserve"> </v>
      </c>
      <c r="O49" s="189"/>
      <c r="P49" s="189"/>
      <c r="Q49" s="189"/>
      <c r="R49" s="189" t="str">
        <f t="shared" si="4"/>
        <v xml:space="preserve"> </v>
      </c>
      <c r="S49" s="189"/>
      <c r="T49" s="253"/>
      <c r="U49" s="13"/>
      <c r="V49" s="253"/>
      <c r="W49" s="253"/>
      <c r="X49" s="16"/>
    </row>
    <row r="50" spans="1:24" ht="15" customHeight="1" x14ac:dyDescent="0.35">
      <c r="A50" s="245">
        <v>45250</v>
      </c>
      <c r="B50" s="246"/>
      <c r="C50" s="211" t="s">
        <v>464</v>
      </c>
      <c r="D50" s="15">
        <v>3</v>
      </c>
      <c r="E50" s="15"/>
      <c r="F50" s="9">
        <v>830</v>
      </c>
      <c r="G50" s="29">
        <f t="shared" si="0"/>
        <v>2490</v>
      </c>
      <c r="H50" s="11"/>
      <c r="I50" s="10"/>
      <c r="J50" s="29">
        <f t="shared" si="1"/>
        <v>0</v>
      </c>
      <c r="K50" s="29"/>
      <c r="L50" s="223">
        <f t="shared" si="2"/>
        <v>2490</v>
      </c>
      <c r="M50" s="12"/>
      <c r="N50" s="218" t="str">
        <f t="shared" si="3"/>
        <v xml:space="preserve"> </v>
      </c>
      <c r="O50" s="189"/>
      <c r="P50" s="189"/>
      <c r="Q50" s="189"/>
      <c r="R50" s="189" t="str">
        <f t="shared" si="4"/>
        <v xml:space="preserve"> </v>
      </c>
      <c r="S50" s="189"/>
      <c r="T50" s="253"/>
      <c r="U50" s="13"/>
      <c r="V50" s="253"/>
      <c r="W50" s="253"/>
      <c r="X50" s="16"/>
    </row>
    <row r="51" spans="1:24" ht="15" customHeight="1" x14ac:dyDescent="0.35">
      <c r="A51" s="245">
        <v>45250</v>
      </c>
      <c r="B51" s="246"/>
      <c r="C51" s="211" t="s">
        <v>345</v>
      </c>
      <c r="D51" s="15"/>
      <c r="E51" s="15">
        <v>1</v>
      </c>
      <c r="F51" s="9">
        <v>820</v>
      </c>
      <c r="G51" s="29">
        <f t="shared" si="0"/>
        <v>820</v>
      </c>
      <c r="H51" s="11"/>
      <c r="I51" s="10"/>
      <c r="J51" s="29">
        <f t="shared" si="1"/>
        <v>0</v>
      </c>
      <c r="K51" s="29"/>
      <c r="L51" s="223">
        <f t="shared" si="2"/>
        <v>820</v>
      </c>
      <c r="M51" s="12"/>
      <c r="N51" s="218" t="str">
        <f t="shared" si="3"/>
        <v xml:space="preserve"> </v>
      </c>
      <c r="O51" s="189"/>
      <c r="P51" s="189"/>
      <c r="Q51" s="189"/>
      <c r="R51" s="189" t="str">
        <f t="shared" si="4"/>
        <v xml:space="preserve"> </v>
      </c>
      <c r="S51" s="189"/>
      <c r="T51" s="253"/>
      <c r="U51" s="13"/>
      <c r="V51" s="253"/>
      <c r="W51" s="253"/>
      <c r="X51" s="16"/>
    </row>
    <row r="52" spans="1:24" ht="15" customHeight="1" x14ac:dyDescent="0.35">
      <c r="A52" s="245">
        <v>45250</v>
      </c>
      <c r="B52" s="246"/>
      <c r="C52" s="211" t="s">
        <v>296</v>
      </c>
      <c r="D52" s="15"/>
      <c r="E52" s="15">
        <v>4</v>
      </c>
      <c r="F52" s="9">
        <v>840</v>
      </c>
      <c r="G52" s="29">
        <f t="shared" si="0"/>
        <v>3360</v>
      </c>
      <c r="H52" s="11"/>
      <c r="I52" s="10"/>
      <c r="J52" s="29">
        <f t="shared" si="1"/>
        <v>0</v>
      </c>
      <c r="K52" s="29"/>
      <c r="L52" s="223">
        <f t="shared" si="2"/>
        <v>3360</v>
      </c>
      <c r="M52" s="12"/>
      <c r="N52" s="218" t="str">
        <f t="shared" si="3"/>
        <v xml:space="preserve"> </v>
      </c>
      <c r="O52" s="189"/>
      <c r="P52" s="189"/>
      <c r="Q52" s="189"/>
      <c r="R52" s="189" t="str">
        <f t="shared" si="4"/>
        <v xml:space="preserve"> </v>
      </c>
      <c r="S52" s="189"/>
      <c r="T52" s="253"/>
      <c r="U52" s="13"/>
      <c r="V52" s="253"/>
      <c r="W52" s="253"/>
      <c r="X52" s="16"/>
    </row>
    <row r="53" spans="1:24" ht="15" customHeight="1" x14ac:dyDescent="0.35">
      <c r="A53" s="245">
        <v>45251</v>
      </c>
      <c r="B53" s="246"/>
      <c r="C53" s="211" t="s">
        <v>330</v>
      </c>
      <c r="D53" s="15"/>
      <c r="E53" s="15">
        <v>6</v>
      </c>
      <c r="F53" s="9">
        <v>820</v>
      </c>
      <c r="G53" s="29">
        <f t="shared" si="0"/>
        <v>4920</v>
      </c>
      <c r="H53" s="11"/>
      <c r="I53" s="10"/>
      <c r="J53" s="29">
        <f t="shared" si="1"/>
        <v>0</v>
      </c>
      <c r="K53" s="29"/>
      <c r="L53" s="223">
        <f t="shared" si="2"/>
        <v>4920</v>
      </c>
      <c r="M53" s="12"/>
      <c r="N53" s="218" t="str">
        <f t="shared" si="3"/>
        <v xml:space="preserve"> </v>
      </c>
      <c r="O53" s="189"/>
      <c r="P53" s="189"/>
      <c r="Q53" s="189"/>
      <c r="R53" s="189" t="str">
        <f t="shared" si="4"/>
        <v xml:space="preserve"> </v>
      </c>
      <c r="S53" s="189"/>
      <c r="T53" s="253"/>
      <c r="U53" s="13"/>
      <c r="V53" s="253"/>
      <c r="W53" s="253"/>
      <c r="X53" s="16"/>
    </row>
    <row r="54" spans="1:24" ht="15" customHeight="1" x14ac:dyDescent="0.35">
      <c r="A54" s="245">
        <v>45251</v>
      </c>
      <c r="B54" s="246"/>
      <c r="C54" s="212" t="s">
        <v>326</v>
      </c>
      <c r="D54" s="15"/>
      <c r="E54" s="15">
        <v>1</v>
      </c>
      <c r="F54" s="9">
        <v>840</v>
      </c>
      <c r="G54" s="29">
        <f t="shared" si="0"/>
        <v>840</v>
      </c>
      <c r="H54" s="11"/>
      <c r="I54" s="10"/>
      <c r="J54" s="29">
        <f t="shared" si="1"/>
        <v>0</v>
      </c>
      <c r="K54" s="29"/>
      <c r="L54" s="223">
        <f t="shared" si="2"/>
        <v>840</v>
      </c>
      <c r="M54" s="12"/>
      <c r="N54" s="239" t="str">
        <f t="shared" si="3"/>
        <v xml:space="preserve"> </v>
      </c>
      <c r="O54" s="189"/>
      <c r="P54" s="189"/>
      <c r="Q54" s="189"/>
      <c r="R54" s="189" t="str">
        <f t="shared" si="4"/>
        <v xml:space="preserve"> </v>
      </c>
      <c r="S54" s="189"/>
      <c r="T54" s="253"/>
      <c r="U54" s="13"/>
      <c r="V54" s="253"/>
      <c r="W54" s="253"/>
      <c r="X54" s="16"/>
    </row>
    <row r="55" spans="1:24" ht="15" customHeight="1" x14ac:dyDescent="0.35">
      <c r="A55" s="245">
        <v>45251</v>
      </c>
      <c r="B55" s="246"/>
      <c r="C55" s="211" t="s">
        <v>428</v>
      </c>
      <c r="D55" s="15">
        <v>1</v>
      </c>
      <c r="E55" s="15"/>
      <c r="F55" s="9">
        <v>800</v>
      </c>
      <c r="G55" s="29">
        <f t="shared" si="0"/>
        <v>800</v>
      </c>
      <c r="H55" s="11"/>
      <c r="I55" s="10"/>
      <c r="J55" s="29">
        <f t="shared" si="1"/>
        <v>0</v>
      </c>
      <c r="K55" s="29"/>
      <c r="L55" s="223">
        <f t="shared" si="2"/>
        <v>800</v>
      </c>
      <c r="M55" s="12"/>
      <c r="N55" s="218" t="str">
        <f t="shared" si="3"/>
        <v xml:space="preserve"> </v>
      </c>
      <c r="O55" s="189"/>
      <c r="P55" s="189"/>
      <c r="Q55" s="189"/>
      <c r="R55" s="189" t="str">
        <f t="shared" si="4"/>
        <v xml:space="preserve"> </v>
      </c>
      <c r="S55" s="189"/>
      <c r="T55" s="253"/>
      <c r="U55" s="13"/>
      <c r="V55" s="253"/>
      <c r="W55" s="253"/>
      <c r="X55" s="16"/>
    </row>
    <row r="56" spans="1:24" ht="15" customHeight="1" x14ac:dyDescent="0.35">
      <c r="A56" s="245">
        <v>45251</v>
      </c>
      <c r="B56" s="246"/>
      <c r="C56" s="212" t="s">
        <v>323</v>
      </c>
      <c r="D56" s="15">
        <v>1</v>
      </c>
      <c r="E56" s="15"/>
      <c r="F56" s="9">
        <v>850</v>
      </c>
      <c r="G56" s="29">
        <f t="shared" si="0"/>
        <v>850</v>
      </c>
      <c r="H56" s="11"/>
      <c r="I56" s="10"/>
      <c r="J56" s="29">
        <f t="shared" si="1"/>
        <v>0</v>
      </c>
      <c r="K56" s="29"/>
      <c r="L56" s="223">
        <f t="shared" si="2"/>
        <v>850</v>
      </c>
      <c r="M56" s="12"/>
      <c r="N56" s="218" t="str">
        <f t="shared" si="3"/>
        <v xml:space="preserve"> </v>
      </c>
      <c r="O56" s="189"/>
      <c r="P56" s="189"/>
      <c r="Q56" s="189"/>
      <c r="R56" s="189" t="str">
        <f>IF(O56&gt;0,SUM(O56-(L56+P56))," ")</f>
        <v xml:space="preserve"> </v>
      </c>
      <c r="S56" s="189"/>
      <c r="T56" s="253"/>
      <c r="U56" s="13"/>
      <c r="V56" s="253"/>
      <c r="W56" s="253"/>
      <c r="X56" s="16"/>
    </row>
    <row r="57" spans="1:24" ht="15" customHeight="1" x14ac:dyDescent="0.35">
      <c r="A57" s="245">
        <v>45252</v>
      </c>
      <c r="B57" s="246"/>
      <c r="C57" s="211" t="s">
        <v>152</v>
      </c>
      <c r="D57" s="15">
        <v>8</v>
      </c>
      <c r="E57" s="15"/>
      <c r="F57" s="9">
        <v>830</v>
      </c>
      <c r="G57" s="29">
        <f t="shared" si="0"/>
        <v>6640</v>
      </c>
      <c r="H57" s="11"/>
      <c r="I57" s="10"/>
      <c r="J57" s="29">
        <f t="shared" si="1"/>
        <v>0</v>
      </c>
      <c r="K57" s="29"/>
      <c r="L57" s="223">
        <f t="shared" si="2"/>
        <v>6640</v>
      </c>
      <c r="M57" s="213"/>
      <c r="N57" s="218" t="str">
        <f t="shared" ref="N57:N101" si="5">IF(M57&gt;0,SUM(L57-M57)," ")</f>
        <v xml:space="preserve"> </v>
      </c>
      <c r="O57" s="189"/>
      <c r="P57" s="189"/>
      <c r="Q57" s="189"/>
      <c r="R57" s="189" t="str">
        <f t="shared" ref="R57:R97" si="6">IF(O57&gt;0,SUM(O57-(L57+P57))," ")</f>
        <v xml:space="preserve"> </v>
      </c>
      <c r="S57" s="189"/>
      <c r="T57" s="253"/>
      <c r="U57" s="13"/>
      <c r="V57" s="253"/>
      <c r="W57" s="253"/>
      <c r="X57" s="16"/>
    </row>
    <row r="58" spans="1:24" ht="15" customHeight="1" x14ac:dyDescent="0.35">
      <c r="A58" s="245">
        <v>45252</v>
      </c>
      <c r="B58" s="246"/>
      <c r="C58" s="212" t="s">
        <v>322</v>
      </c>
      <c r="D58" s="15">
        <v>2</v>
      </c>
      <c r="E58" s="15"/>
      <c r="F58" s="9">
        <v>850</v>
      </c>
      <c r="G58" s="29">
        <f t="shared" si="0"/>
        <v>1700</v>
      </c>
      <c r="H58" s="11"/>
      <c r="I58" s="10"/>
      <c r="J58" s="29">
        <f t="shared" si="1"/>
        <v>0</v>
      </c>
      <c r="K58" s="29"/>
      <c r="L58" s="223">
        <f t="shared" si="2"/>
        <v>1700</v>
      </c>
      <c r="M58" s="12"/>
      <c r="N58" s="218" t="str">
        <f t="shared" si="5"/>
        <v xml:space="preserve"> </v>
      </c>
      <c r="O58" s="189"/>
      <c r="P58" s="189"/>
      <c r="Q58" s="189"/>
      <c r="R58" s="189" t="str">
        <f t="shared" si="6"/>
        <v xml:space="preserve"> </v>
      </c>
      <c r="S58" s="189"/>
      <c r="T58" s="253"/>
      <c r="U58" s="13"/>
      <c r="V58" s="253"/>
      <c r="W58" s="253"/>
      <c r="X58" s="16"/>
    </row>
    <row r="59" spans="1:24" ht="15" customHeight="1" x14ac:dyDescent="0.35">
      <c r="A59" s="245">
        <v>45252</v>
      </c>
      <c r="B59" s="246"/>
      <c r="C59" s="212" t="s">
        <v>321</v>
      </c>
      <c r="D59" s="15">
        <v>3</v>
      </c>
      <c r="E59" s="15"/>
      <c r="F59" s="9">
        <v>850</v>
      </c>
      <c r="G59" s="29">
        <f t="shared" si="0"/>
        <v>2550</v>
      </c>
      <c r="H59" s="11"/>
      <c r="I59" s="10"/>
      <c r="J59" s="29">
        <f t="shared" si="1"/>
        <v>0</v>
      </c>
      <c r="K59" s="29"/>
      <c r="L59" s="223">
        <f t="shared" si="2"/>
        <v>2550</v>
      </c>
      <c r="M59" s="12"/>
      <c r="N59" s="218" t="str">
        <f t="shared" si="5"/>
        <v xml:space="preserve"> </v>
      </c>
      <c r="O59" s="189"/>
      <c r="P59" s="189"/>
      <c r="Q59" s="189"/>
      <c r="R59" s="189" t="str">
        <f t="shared" si="6"/>
        <v xml:space="preserve"> </v>
      </c>
      <c r="S59" s="189"/>
      <c r="T59" s="253"/>
      <c r="U59" s="13"/>
      <c r="V59" s="253"/>
      <c r="W59" s="253"/>
      <c r="X59" s="16"/>
    </row>
    <row r="60" spans="1:24" ht="15" customHeight="1" x14ac:dyDescent="0.35">
      <c r="A60" s="245">
        <v>45252</v>
      </c>
      <c r="B60" s="246"/>
      <c r="C60" s="211" t="s">
        <v>428</v>
      </c>
      <c r="D60" s="15">
        <v>1</v>
      </c>
      <c r="E60" s="15"/>
      <c r="F60" s="9">
        <v>800</v>
      </c>
      <c r="G60" s="29">
        <f t="shared" si="0"/>
        <v>800</v>
      </c>
      <c r="H60" s="11"/>
      <c r="I60" s="10"/>
      <c r="J60" s="29">
        <f t="shared" si="1"/>
        <v>0</v>
      </c>
      <c r="K60" s="29"/>
      <c r="L60" s="223">
        <f t="shared" si="2"/>
        <v>800</v>
      </c>
      <c r="M60" s="12"/>
      <c r="N60" s="218" t="str">
        <f t="shared" si="5"/>
        <v xml:space="preserve"> </v>
      </c>
      <c r="O60" s="189"/>
      <c r="P60" s="189"/>
      <c r="Q60" s="189"/>
      <c r="R60" s="189" t="str">
        <f t="shared" si="6"/>
        <v xml:space="preserve"> </v>
      </c>
      <c r="S60" s="189"/>
      <c r="T60" s="253"/>
      <c r="U60" s="13"/>
      <c r="V60" s="253"/>
      <c r="W60" s="253"/>
      <c r="X60" s="16"/>
    </row>
    <row r="61" spans="1:24" ht="15" customHeight="1" x14ac:dyDescent="0.35">
      <c r="A61" s="245">
        <v>45253</v>
      </c>
      <c r="B61" s="246"/>
      <c r="C61" s="211" t="s">
        <v>464</v>
      </c>
      <c r="D61" s="15">
        <v>1</v>
      </c>
      <c r="E61" s="15"/>
      <c r="F61" s="9">
        <v>830</v>
      </c>
      <c r="G61" s="29">
        <f t="shared" si="0"/>
        <v>830</v>
      </c>
      <c r="H61" s="11"/>
      <c r="I61" s="10"/>
      <c r="J61" s="29">
        <f t="shared" si="1"/>
        <v>0</v>
      </c>
      <c r="K61" s="29"/>
      <c r="L61" s="223">
        <f t="shared" si="2"/>
        <v>830</v>
      </c>
      <c r="M61" s="12"/>
      <c r="N61" s="218" t="str">
        <f t="shared" si="5"/>
        <v xml:space="preserve"> </v>
      </c>
      <c r="O61" s="189"/>
      <c r="P61" s="189"/>
      <c r="Q61" s="189"/>
      <c r="R61" s="189" t="str">
        <f t="shared" si="6"/>
        <v xml:space="preserve"> </v>
      </c>
      <c r="S61" s="189"/>
      <c r="T61" s="253"/>
      <c r="U61" s="13"/>
      <c r="V61" s="253"/>
      <c r="W61" s="253"/>
      <c r="X61" s="16"/>
    </row>
    <row r="62" spans="1:24" ht="15" customHeight="1" x14ac:dyDescent="0.35">
      <c r="A62" s="245">
        <v>45253</v>
      </c>
      <c r="B62" s="246"/>
      <c r="C62" s="211" t="s">
        <v>153</v>
      </c>
      <c r="D62" s="15">
        <v>1</v>
      </c>
      <c r="E62" s="15"/>
      <c r="F62" s="9">
        <v>850</v>
      </c>
      <c r="G62" s="29">
        <f t="shared" ref="G62:G100" si="7">(F62*D62)+(E62*F62)</f>
        <v>850</v>
      </c>
      <c r="H62" s="11"/>
      <c r="I62" s="10"/>
      <c r="J62" s="29">
        <f t="shared" ref="J62:J100" si="8">H62*I62</f>
        <v>0</v>
      </c>
      <c r="K62" s="29"/>
      <c r="L62" s="223">
        <f t="shared" ref="L62:L100" si="9">(J62+G62)-K62</f>
        <v>850</v>
      </c>
      <c r="M62" s="12"/>
      <c r="N62" s="218" t="str">
        <f t="shared" si="5"/>
        <v xml:space="preserve"> </v>
      </c>
      <c r="O62" s="189"/>
      <c r="P62" s="189"/>
      <c r="Q62" s="189"/>
      <c r="R62" s="189" t="str">
        <f t="shared" si="6"/>
        <v xml:space="preserve"> </v>
      </c>
      <c r="S62" s="189"/>
      <c r="T62" s="253"/>
      <c r="U62" s="13"/>
      <c r="V62" s="253"/>
      <c r="W62" s="253"/>
      <c r="X62" s="16"/>
    </row>
    <row r="63" spans="1:24" ht="15" customHeight="1" x14ac:dyDescent="0.35">
      <c r="A63" s="245">
        <v>45253</v>
      </c>
      <c r="B63" s="246"/>
      <c r="C63" s="212" t="s">
        <v>279</v>
      </c>
      <c r="D63" s="15"/>
      <c r="E63" s="15">
        <v>6</v>
      </c>
      <c r="F63" s="9">
        <v>780</v>
      </c>
      <c r="G63" s="29">
        <f t="shared" si="7"/>
        <v>4680</v>
      </c>
      <c r="H63" s="11"/>
      <c r="I63" s="10"/>
      <c r="J63" s="29">
        <f t="shared" si="8"/>
        <v>0</v>
      </c>
      <c r="K63" s="29"/>
      <c r="L63" s="223">
        <f t="shared" si="9"/>
        <v>4680</v>
      </c>
      <c r="M63" s="12"/>
      <c r="N63" s="218" t="str">
        <f t="shared" si="5"/>
        <v xml:space="preserve"> </v>
      </c>
      <c r="O63" s="189"/>
      <c r="P63" s="189"/>
      <c r="Q63" s="189"/>
      <c r="R63" s="189" t="str">
        <f t="shared" si="6"/>
        <v xml:space="preserve"> </v>
      </c>
      <c r="S63" s="189"/>
      <c r="T63" s="253"/>
      <c r="U63" s="13"/>
      <c r="V63" s="253"/>
      <c r="W63" s="253"/>
      <c r="X63" s="16"/>
    </row>
    <row r="64" spans="1:24" ht="15" customHeight="1" x14ac:dyDescent="0.35">
      <c r="A64" s="245">
        <v>45253</v>
      </c>
      <c r="B64" s="246"/>
      <c r="C64" s="212" t="s">
        <v>281</v>
      </c>
      <c r="D64" s="15"/>
      <c r="E64" s="15">
        <v>2</v>
      </c>
      <c r="F64" s="9">
        <v>800</v>
      </c>
      <c r="G64" s="29">
        <f t="shared" si="7"/>
        <v>1600</v>
      </c>
      <c r="H64" s="11"/>
      <c r="I64" s="10"/>
      <c r="J64" s="29">
        <f t="shared" si="8"/>
        <v>0</v>
      </c>
      <c r="K64" s="29"/>
      <c r="L64" s="223">
        <f t="shared" si="9"/>
        <v>1600</v>
      </c>
      <c r="M64" s="12"/>
      <c r="N64" s="218" t="str">
        <f t="shared" si="5"/>
        <v xml:space="preserve"> </v>
      </c>
      <c r="O64" s="189"/>
      <c r="P64" s="189"/>
      <c r="Q64" s="189"/>
      <c r="R64" s="189" t="str">
        <f t="shared" si="6"/>
        <v xml:space="preserve"> </v>
      </c>
      <c r="S64" s="189"/>
      <c r="T64" s="253"/>
      <c r="U64" s="13"/>
      <c r="V64" s="253"/>
      <c r="W64" s="253"/>
      <c r="X64" s="16"/>
    </row>
    <row r="65" spans="1:24" ht="15" customHeight="1" x14ac:dyDescent="0.35">
      <c r="A65" s="245">
        <v>45253</v>
      </c>
      <c r="B65" s="246"/>
      <c r="C65" s="211" t="s">
        <v>296</v>
      </c>
      <c r="D65" s="15"/>
      <c r="E65" s="15">
        <v>4</v>
      </c>
      <c r="F65" s="9">
        <v>840</v>
      </c>
      <c r="G65" s="29">
        <f t="shared" si="7"/>
        <v>3360</v>
      </c>
      <c r="H65" s="11"/>
      <c r="I65" s="10"/>
      <c r="J65" s="29">
        <f t="shared" si="8"/>
        <v>0</v>
      </c>
      <c r="K65" s="29"/>
      <c r="L65" s="223">
        <f t="shared" si="9"/>
        <v>3360</v>
      </c>
      <c r="M65" s="12"/>
      <c r="N65" s="218" t="str">
        <f t="shared" si="5"/>
        <v xml:space="preserve"> </v>
      </c>
      <c r="O65" s="189"/>
      <c r="P65" s="189"/>
      <c r="Q65" s="189"/>
      <c r="R65" s="189" t="str">
        <f t="shared" si="6"/>
        <v xml:space="preserve"> </v>
      </c>
      <c r="S65" s="189"/>
      <c r="T65" s="253"/>
      <c r="U65" s="13"/>
      <c r="V65" s="253"/>
      <c r="W65" s="253"/>
      <c r="X65" s="16"/>
    </row>
    <row r="66" spans="1:24" ht="15" customHeight="1" x14ac:dyDescent="0.35">
      <c r="A66" s="245">
        <v>45254</v>
      </c>
      <c r="B66" s="246"/>
      <c r="C66" s="211" t="s">
        <v>428</v>
      </c>
      <c r="D66" s="15">
        <v>4</v>
      </c>
      <c r="E66" s="15"/>
      <c r="F66" s="9">
        <v>750</v>
      </c>
      <c r="G66" s="29">
        <f t="shared" si="7"/>
        <v>3000</v>
      </c>
      <c r="H66" s="11"/>
      <c r="I66" s="10"/>
      <c r="J66" s="29">
        <f t="shared" si="8"/>
        <v>0</v>
      </c>
      <c r="K66" s="29"/>
      <c r="L66" s="223">
        <f t="shared" si="9"/>
        <v>3000</v>
      </c>
      <c r="M66" s="12"/>
      <c r="N66" s="218" t="str">
        <f t="shared" si="5"/>
        <v xml:space="preserve"> </v>
      </c>
      <c r="O66" s="189"/>
      <c r="P66" s="189"/>
      <c r="Q66" s="189"/>
      <c r="R66" s="189" t="str">
        <f t="shared" si="6"/>
        <v xml:space="preserve"> </v>
      </c>
      <c r="S66" s="189"/>
      <c r="T66" s="253"/>
      <c r="U66" s="13"/>
      <c r="V66" s="253"/>
      <c r="W66" s="253"/>
      <c r="X66" s="16"/>
    </row>
    <row r="67" spans="1:24" ht="15" customHeight="1" x14ac:dyDescent="0.35">
      <c r="A67" s="245">
        <v>45254</v>
      </c>
      <c r="B67" s="246"/>
      <c r="C67" s="211" t="s">
        <v>324</v>
      </c>
      <c r="D67" s="15"/>
      <c r="E67" s="15">
        <v>1</v>
      </c>
      <c r="F67" s="9">
        <v>850</v>
      </c>
      <c r="G67" s="29">
        <f t="shared" si="7"/>
        <v>850</v>
      </c>
      <c r="H67" s="11"/>
      <c r="I67" s="10"/>
      <c r="J67" s="29">
        <f t="shared" si="8"/>
        <v>0</v>
      </c>
      <c r="K67" s="29"/>
      <c r="L67" s="223">
        <f t="shared" si="9"/>
        <v>850</v>
      </c>
      <c r="M67" s="12"/>
      <c r="N67" s="218" t="str">
        <f t="shared" si="5"/>
        <v xml:space="preserve"> </v>
      </c>
      <c r="O67" s="189"/>
      <c r="P67" s="189"/>
      <c r="Q67" s="189"/>
      <c r="R67" s="189" t="str">
        <f t="shared" si="6"/>
        <v xml:space="preserve"> </v>
      </c>
      <c r="S67" s="189"/>
      <c r="T67" s="253"/>
      <c r="U67" s="13"/>
      <c r="V67" s="253"/>
      <c r="W67" s="253"/>
      <c r="X67" s="16"/>
    </row>
    <row r="68" spans="1:24" ht="15" customHeight="1" x14ac:dyDescent="0.35">
      <c r="A68" s="245">
        <v>45257</v>
      </c>
      <c r="B68" s="246"/>
      <c r="C68" s="211" t="s">
        <v>153</v>
      </c>
      <c r="D68" s="15">
        <v>1</v>
      </c>
      <c r="E68" s="15"/>
      <c r="F68" s="9">
        <v>850</v>
      </c>
      <c r="G68" s="29">
        <f t="shared" si="7"/>
        <v>850</v>
      </c>
      <c r="H68" s="11"/>
      <c r="I68" s="10"/>
      <c r="J68" s="29">
        <f t="shared" si="8"/>
        <v>0</v>
      </c>
      <c r="K68" s="29"/>
      <c r="L68" s="223">
        <f t="shared" si="9"/>
        <v>850</v>
      </c>
      <c r="M68" s="12"/>
      <c r="N68" s="218" t="str">
        <f t="shared" si="5"/>
        <v xml:space="preserve"> </v>
      </c>
      <c r="O68" s="189"/>
      <c r="P68" s="189"/>
      <c r="Q68" s="189"/>
      <c r="R68" s="189" t="str">
        <f t="shared" si="6"/>
        <v xml:space="preserve"> </v>
      </c>
      <c r="S68" s="189"/>
      <c r="T68" s="253"/>
      <c r="U68" s="13"/>
      <c r="V68" s="253"/>
      <c r="W68" s="253"/>
      <c r="X68" s="16"/>
    </row>
    <row r="69" spans="1:24" ht="15" customHeight="1" x14ac:dyDescent="0.35">
      <c r="A69" s="245">
        <v>45257</v>
      </c>
      <c r="B69" s="246"/>
      <c r="C69" s="211" t="s">
        <v>330</v>
      </c>
      <c r="D69" s="15"/>
      <c r="E69" s="15">
        <v>6</v>
      </c>
      <c r="F69" s="9">
        <v>820</v>
      </c>
      <c r="G69" s="29">
        <f t="shared" si="7"/>
        <v>4920</v>
      </c>
      <c r="H69" s="11"/>
      <c r="I69" s="10"/>
      <c r="J69" s="29">
        <f t="shared" si="8"/>
        <v>0</v>
      </c>
      <c r="K69" s="29"/>
      <c r="L69" s="223">
        <f t="shared" si="9"/>
        <v>4920</v>
      </c>
      <c r="M69" s="12"/>
      <c r="N69" s="239" t="str">
        <f t="shared" si="5"/>
        <v xml:space="preserve"> </v>
      </c>
      <c r="O69" s="189"/>
      <c r="P69" s="189"/>
      <c r="Q69" s="189"/>
      <c r="R69" s="189" t="str">
        <f t="shared" si="6"/>
        <v xml:space="preserve"> </v>
      </c>
      <c r="S69" s="189"/>
      <c r="T69" s="253"/>
      <c r="U69" s="13"/>
      <c r="V69" s="253"/>
      <c r="W69" s="253"/>
      <c r="X69" s="16"/>
    </row>
    <row r="70" spans="1:24" ht="15" customHeight="1" x14ac:dyDescent="0.35">
      <c r="A70" s="245">
        <v>45257</v>
      </c>
      <c r="B70" s="246"/>
      <c r="C70" s="211" t="s">
        <v>447</v>
      </c>
      <c r="D70" s="15"/>
      <c r="E70" s="15">
        <v>2</v>
      </c>
      <c r="F70" s="9">
        <v>850</v>
      </c>
      <c r="G70" s="29">
        <f t="shared" si="7"/>
        <v>1700</v>
      </c>
      <c r="H70" s="11"/>
      <c r="I70" s="10"/>
      <c r="J70" s="29">
        <f t="shared" si="8"/>
        <v>0</v>
      </c>
      <c r="K70" s="29"/>
      <c r="L70" s="223">
        <f t="shared" si="9"/>
        <v>1700</v>
      </c>
      <c r="M70" s="12"/>
      <c r="N70" s="218" t="str">
        <f t="shared" si="5"/>
        <v xml:space="preserve"> </v>
      </c>
      <c r="O70" s="189"/>
      <c r="P70" s="189"/>
      <c r="Q70" s="189"/>
      <c r="R70" s="189" t="str">
        <f t="shared" si="6"/>
        <v xml:space="preserve"> </v>
      </c>
      <c r="S70" s="189"/>
      <c r="T70" s="253"/>
      <c r="U70" s="13"/>
      <c r="V70" s="253"/>
      <c r="W70" s="253"/>
      <c r="X70" s="16"/>
    </row>
    <row r="71" spans="1:24" ht="15" customHeight="1" x14ac:dyDescent="0.35">
      <c r="A71" s="245">
        <v>45258</v>
      </c>
      <c r="B71" s="246"/>
      <c r="C71" s="211" t="s">
        <v>112</v>
      </c>
      <c r="D71" s="15">
        <v>10</v>
      </c>
      <c r="E71" s="15"/>
      <c r="F71" s="9">
        <v>820</v>
      </c>
      <c r="G71" s="29">
        <f t="shared" si="7"/>
        <v>8200</v>
      </c>
      <c r="H71" s="11"/>
      <c r="I71" s="10"/>
      <c r="J71" s="29"/>
      <c r="K71" s="29"/>
      <c r="L71" s="223">
        <f t="shared" si="9"/>
        <v>8200</v>
      </c>
      <c r="M71" s="12"/>
      <c r="N71" s="218"/>
      <c r="O71" s="189"/>
      <c r="P71" s="189"/>
      <c r="Q71" s="189"/>
      <c r="R71" s="189"/>
      <c r="S71" s="189"/>
      <c r="T71" s="321"/>
      <c r="U71" s="13"/>
      <c r="V71" s="321"/>
      <c r="W71" s="321"/>
      <c r="X71" s="16"/>
    </row>
    <row r="72" spans="1:24" ht="15" customHeight="1" x14ac:dyDescent="0.35">
      <c r="A72" s="23">
        <v>45259</v>
      </c>
      <c r="B72" s="24"/>
      <c r="C72" s="211" t="s">
        <v>447</v>
      </c>
      <c r="D72" s="15">
        <v>1</v>
      </c>
      <c r="E72" s="15"/>
      <c r="F72" s="9">
        <v>850</v>
      </c>
      <c r="G72" s="29">
        <f t="shared" si="7"/>
        <v>850</v>
      </c>
      <c r="H72" s="11"/>
      <c r="I72" s="10"/>
      <c r="J72" s="29">
        <f t="shared" si="8"/>
        <v>0</v>
      </c>
      <c r="K72" s="29"/>
      <c r="L72" s="223">
        <f t="shared" si="9"/>
        <v>850</v>
      </c>
      <c r="M72" s="12"/>
      <c r="N72" s="218" t="str">
        <f t="shared" ref="N72:N87" si="10">IF(M72&gt;0,SUM(L72-M72)," ")</f>
        <v xml:space="preserve"> </v>
      </c>
      <c r="O72" s="189"/>
      <c r="P72" s="189"/>
      <c r="Q72" s="189"/>
      <c r="R72" s="189" t="str">
        <f t="shared" si="6"/>
        <v xml:space="preserve"> </v>
      </c>
      <c r="S72" s="189"/>
      <c r="T72" s="253"/>
      <c r="U72" s="13"/>
      <c r="V72" s="253"/>
      <c r="W72" s="253"/>
      <c r="X72" s="16"/>
    </row>
    <row r="73" spans="1:24" ht="15" customHeight="1" x14ac:dyDescent="0.35">
      <c r="A73" s="23">
        <v>45259</v>
      </c>
      <c r="B73" s="24"/>
      <c r="C73" s="211" t="s">
        <v>322</v>
      </c>
      <c r="D73" s="15">
        <v>1</v>
      </c>
      <c r="E73" s="15"/>
      <c r="F73" s="9">
        <v>850</v>
      </c>
      <c r="G73" s="29">
        <f t="shared" si="7"/>
        <v>850</v>
      </c>
      <c r="H73" s="11"/>
      <c r="I73" s="10"/>
      <c r="J73" s="29"/>
      <c r="K73" s="29"/>
      <c r="L73" s="223">
        <f t="shared" si="9"/>
        <v>850</v>
      </c>
      <c r="M73" s="12"/>
      <c r="N73" s="218"/>
      <c r="O73" s="189"/>
      <c r="P73" s="189"/>
      <c r="Q73" s="189"/>
      <c r="R73" s="189"/>
      <c r="S73" s="189"/>
      <c r="T73" s="321"/>
      <c r="U73" s="13"/>
      <c r="V73" s="321"/>
      <c r="W73" s="321"/>
      <c r="X73" s="16"/>
    </row>
    <row r="74" spans="1:24" ht="15" customHeight="1" x14ac:dyDescent="0.35">
      <c r="A74" s="23">
        <v>45259</v>
      </c>
      <c r="B74" s="24"/>
      <c r="C74" s="211" t="s">
        <v>280</v>
      </c>
      <c r="D74" s="15"/>
      <c r="E74" s="15">
        <v>2</v>
      </c>
      <c r="F74" s="9">
        <v>830</v>
      </c>
      <c r="G74" s="29">
        <f t="shared" si="7"/>
        <v>1660</v>
      </c>
      <c r="H74" s="11"/>
      <c r="I74" s="10"/>
      <c r="J74" s="29">
        <f t="shared" si="8"/>
        <v>0</v>
      </c>
      <c r="K74" s="29"/>
      <c r="L74" s="223">
        <f t="shared" si="9"/>
        <v>1660</v>
      </c>
      <c r="M74" s="12"/>
      <c r="N74" s="218" t="str">
        <f t="shared" si="10"/>
        <v xml:space="preserve"> </v>
      </c>
      <c r="O74" s="189"/>
      <c r="P74" s="189"/>
      <c r="Q74" s="189"/>
      <c r="R74" s="189" t="str">
        <f t="shared" si="6"/>
        <v xml:space="preserve"> </v>
      </c>
      <c r="S74" s="189"/>
      <c r="T74" s="253"/>
      <c r="U74" s="13"/>
      <c r="V74" s="253"/>
      <c r="W74" s="253"/>
      <c r="X74" s="16"/>
    </row>
    <row r="75" spans="1:24" ht="15" customHeight="1" x14ac:dyDescent="0.35">
      <c r="A75" s="23">
        <v>45259</v>
      </c>
      <c r="B75" s="24"/>
      <c r="C75" s="211" t="s">
        <v>321</v>
      </c>
      <c r="D75" s="15"/>
      <c r="E75" s="15">
        <v>3</v>
      </c>
      <c r="F75" s="9">
        <v>850</v>
      </c>
      <c r="G75" s="29">
        <f t="shared" si="7"/>
        <v>2550</v>
      </c>
      <c r="H75" s="11"/>
      <c r="I75" s="10"/>
      <c r="J75" s="29"/>
      <c r="K75" s="29"/>
      <c r="L75" s="223">
        <f t="shared" si="9"/>
        <v>2550</v>
      </c>
      <c r="M75" s="12"/>
      <c r="N75" s="218"/>
      <c r="O75" s="189"/>
      <c r="P75" s="189"/>
      <c r="Q75" s="189"/>
      <c r="R75" s="189"/>
      <c r="S75" s="189"/>
      <c r="T75" s="321"/>
      <c r="U75" s="13"/>
      <c r="V75" s="321"/>
      <c r="W75" s="321"/>
      <c r="X75" s="16"/>
    </row>
    <row r="76" spans="1:24" ht="15" customHeight="1" x14ac:dyDescent="0.35">
      <c r="A76" s="23">
        <v>45260</v>
      </c>
      <c r="B76" s="24"/>
      <c r="C76" s="211" t="s">
        <v>296</v>
      </c>
      <c r="D76" s="15">
        <v>4</v>
      </c>
      <c r="E76" s="15"/>
      <c r="F76" s="9">
        <v>840</v>
      </c>
      <c r="G76" s="29">
        <f t="shared" si="7"/>
        <v>3360</v>
      </c>
      <c r="H76" s="11"/>
      <c r="I76" s="10"/>
      <c r="J76" s="29">
        <f t="shared" si="8"/>
        <v>0</v>
      </c>
      <c r="K76" s="29"/>
      <c r="L76" s="223">
        <f t="shared" si="9"/>
        <v>3360</v>
      </c>
      <c r="M76" s="12"/>
      <c r="N76" s="218" t="str">
        <f t="shared" si="10"/>
        <v xml:space="preserve"> </v>
      </c>
      <c r="O76" s="189"/>
      <c r="P76" s="189"/>
      <c r="Q76" s="189"/>
      <c r="R76" s="189" t="str">
        <f t="shared" si="6"/>
        <v xml:space="preserve"> </v>
      </c>
      <c r="S76" s="189"/>
      <c r="T76" s="253"/>
      <c r="U76" s="13"/>
      <c r="V76" s="253"/>
      <c r="W76" s="253"/>
      <c r="X76" s="16"/>
    </row>
    <row r="77" spans="1:24" ht="15" customHeight="1" x14ac:dyDescent="0.35">
      <c r="A77" s="23">
        <v>45260</v>
      </c>
      <c r="B77" s="24"/>
      <c r="C77" s="211" t="s">
        <v>152</v>
      </c>
      <c r="D77" s="15">
        <v>7</v>
      </c>
      <c r="E77" s="15"/>
      <c r="F77" s="9">
        <v>830</v>
      </c>
      <c r="G77" s="29">
        <f t="shared" si="7"/>
        <v>5810</v>
      </c>
      <c r="H77" s="11"/>
      <c r="I77" s="10"/>
      <c r="J77" s="29"/>
      <c r="K77" s="29"/>
      <c r="L77" s="223">
        <f t="shared" si="9"/>
        <v>5810</v>
      </c>
      <c r="M77" s="12"/>
      <c r="N77" s="218"/>
      <c r="O77" s="189"/>
      <c r="P77" s="189"/>
      <c r="Q77" s="189"/>
      <c r="R77" s="189"/>
      <c r="S77" s="189"/>
      <c r="T77" s="321"/>
      <c r="U77" s="13"/>
      <c r="V77" s="321"/>
      <c r="W77" s="321"/>
      <c r="X77" s="16"/>
    </row>
    <row r="78" spans="1:24" ht="15" customHeight="1" x14ac:dyDescent="0.35">
      <c r="A78" s="23">
        <v>45260</v>
      </c>
      <c r="B78" s="23"/>
      <c r="C78" s="188" t="s">
        <v>323</v>
      </c>
      <c r="D78" s="15">
        <v>1</v>
      </c>
      <c r="E78" s="15"/>
      <c r="F78" s="9">
        <v>850</v>
      </c>
      <c r="G78" s="29">
        <f t="shared" si="7"/>
        <v>850</v>
      </c>
      <c r="H78" s="11"/>
      <c r="I78" s="10"/>
      <c r="J78" s="29">
        <f t="shared" si="8"/>
        <v>0</v>
      </c>
      <c r="K78" s="29"/>
      <c r="L78" s="223">
        <f t="shared" si="9"/>
        <v>850</v>
      </c>
      <c r="M78" s="12"/>
      <c r="N78" s="218" t="str">
        <f t="shared" si="10"/>
        <v xml:space="preserve"> </v>
      </c>
      <c r="O78" s="189"/>
      <c r="P78" s="189"/>
      <c r="Q78" s="189"/>
      <c r="R78" s="189" t="str">
        <f t="shared" si="6"/>
        <v xml:space="preserve"> </v>
      </c>
      <c r="S78" s="189"/>
      <c r="T78" s="253"/>
      <c r="U78" s="13"/>
      <c r="V78" s="253"/>
      <c r="W78" s="253"/>
      <c r="X78" s="16"/>
    </row>
    <row r="79" spans="1:24" ht="15" customHeight="1" x14ac:dyDescent="0.35">
      <c r="A79" s="23">
        <v>45260</v>
      </c>
      <c r="B79" s="23"/>
      <c r="C79" s="188" t="s">
        <v>465</v>
      </c>
      <c r="D79" s="15">
        <v>2</v>
      </c>
      <c r="E79" s="15"/>
      <c r="F79" s="9">
        <v>800</v>
      </c>
      <c r="G79" s="29">
        <f t="shared" si="7"/>
        <v>1600</v>
      </c>
      <c r="H79" s="11"/>
      <c r="I79" s="10"/>
      <c r="J79" s="29"/>
      <c r="K79" s="29"/>
      <c r="L79" s="223">
        <f t="shared" si="9"/>
        <v>1600</v>
      </c>
      <c r="M79" s="12"/>
      <c r="N79" s="218"/>
      <c r="O79" s="189"/>
      <c r="P79" s="189"/>
      <c r="Q79" s="189"/>
      <c r="R79" s="189"/>
      <c r="S79" s="189"/>
      <c r="T79" s="321"/>
      <c r="U79" s="13"/>
      <c r="V79" s="321"/>
      <c r="W79" s="321"/>
      <c r="X79" s="16"/>
    </row>
    <row r="80" spans="1:24" ht="15" customHeight="1" x14ac:dyDescent="0.35">
      <c r="A80" s="23">
        <v>45260</v>
      </c>
      <c r="B80" s="23"/>
      <c r="C80" s="211" t="s">
        <v>279</v>
      </c>
      <c r="D80" s="15"/>
      <c r="E80" s="15">
        <v>6</v>
      </c>
      <c r="F80" s="9">
        <v>780</v>
      </c>
      <c r="G80" s="29">
        <f t="shared" si="7"/>
        <v>4680</v>
      </c>
      <c r="H80" s="11"/>
      <c r="I80" s="10"/>
      <c r="J80" s="29">
        <f t="shared" si="8"/>
        <v>0</v>
      </c>
      <c r="K80" s="29"/>
      <c r="L80" s="223">
        <f t="shared" si="9"/>
        <v>4680</v>
      </c>
      <c r="M80" s="12"/>
      <c r="N80" s="218" t="str">
        <f t="shared" si="10"/>
        <v xml:space="preserve"> </v>
      </c>
      <c r="O80" s="189"/>
      <c r="P80" s="189"/>
      <c r="Q80" s="189"/>
      <c r="R80" s="189" t="str">
        <f t="shared" si="6"/>
        <v xml:space="preserve"> </v>
      </c>
      <c r="S80" s="189"/>
      <c r="T80" s="253"/>
      <c r="U80" s="13"/>
      <c r="V80" s="253"/>
      <c r="W80" s="253"/>
      <c r="X80" s="16"/>
    </row>
    <row r="81" spans="1:24" ht="15" customHeight="1" x14ac:dyDescent="0.35">
      <c r="A81" s="23"/>
      <c r="B81" s="23"/>
      <c r="C81" s="211"/>
      <c r="D81" s="15"/>
      <c r="E81" s="15"/>
      <c r="F81" s="9">
        <v>820</v>
      </c>
      <c r="G81" s="29">
        <f t="shared" si="7"/>
        <v>0</v>
      </c>
      <c r="H81" s="11"/>
      <c r="I81" s="10"/>
      <c r="J81" s="29"/>
      <c r="K81" s="29"/>
      <c r="L81" s="223">
        <f t="shared" si="9"/>
        <v>0</v>
      </c>
      <c r="M81" s="12"/>
      <c r="N81" s="218"/>
      <c r="O81" s="189"/>
      <c r="P81" s="189"/>
      <c r="Q81" s="189"/>
      <c r="R81" s="189"/>
      <c r="S81" s="189"/>
      <c r="T81" s="321"/>
      <c r="U81" s="13"/>
      <c r="V81" s="321"/>
      <c r="W81" s="321"/>
      <c r="X81" s="16"/>
    </row>
    <row r="82" spans="1:24" ht="15" customHeight="1" x14ac:dyDescent="0.35">
      <c r="A82" s="23"/>
      <c r="B82" s="24"/>
      <c r="C82" s="211"/>
      <c r="D82" s="15"/>
      <c r="E82" s="15"/>
      <c r="F82" s="9">
        <v>800</v>
      </c>
      <c r="G82" s="29">
        <f t="shared" si="7"/>
        <v>0</v>
      </c>
      <c r="H82" s="11"/>
      <c r="I82" s="10"/>
      <c r="J82" s="29">
        <f t="shared" si="8"/>
        <v>0</v>
      </c>
      <c r="K82" s="29"/>
      <c r="L82" s="223">
        <f t="shared" si="9"/>
        <v>0</v>
      </c>
      <c r="M82" s="12"/>
      <c r="N82" s="218" t="str">
        <f t="shared" si="10"/>
        <v xml:space="preserve"> </v>
      </c>
      <c r="O82" s="189"/>
      <c r="P82" s="189"/>
      <c r="Q82" s="189"/>
      <c r="R82" s="189" t="str">
        <f t="shared" si="6"/>
        <v xml:space="preserve"> </v>
      </c>
      <c r="S82" s="189"/>
      <c r="T82" s="253"/>
      <c r="U82" s="13"/>
      <c r="V82" s="253"/>
      <c r="W82" s="253"/>
      <c r="X82" s="16"/>
    </row>
    <row r="83" spans="1:24" ht="15" customHeight="1" x14ac:dyDescent="0.35">
      <c r="A83" s="23"/>
      <c r="B83" s="24"/>
      <c r="C83" s="211"/>
      <c r="D83" s="15"/>
      <c r="E83" s="15"/>
      <c r="F83" s="9">
        <v>800</v>
      </c>
      <c r="G83" s="29">
        <f t="shared" si="7"/>
        <v>0</v>
      </c>
      <c r="H83" s="11"/>
      <c r="I83" s="10"/>
      <c r="J83" s="29"/>
      <c r="K83" s="29"/>
      <c r="L83" s="223">
        <f t="shared" si="9"/>
        <v>0</v>
      </c>
      <c r="M83" s="12"/>
      <c r="N83" s="218"/>
      <c r="O83" s="189"/>
      <c r="P83" s="189"/>
      <c r="Q83" s="189"/>
      <c r="R83" s="189"/>
      <c r="S83" s="189"/>
      <c r="T83" s="321"/>
      <c r="U83" s="13"/>
      <c r="V83" s="321"/>
      <c r="W83" s="321"/>
      <c r="X83" s="16"/>
    </row>
    <row r="84" spans="1:24" ht="15" customHeight="1" x14ac:dyDescent="0.35">
      <c r="A84" s="23"/>
      <c r="B84" s="24"/>
      <c r="C84" s="211"/>
      <c r="D84" s="15"/>
      <c r="E84" s="15"/>
      <c r="F84" s="9">
        <v>800</v>
      </c>
      <c r="G84" s="29">
        <f t="shared" si="7"/>
        <v>0</v>
      </c>
      <c r="H84" s="11"/>
      <c r="I84" s="10"/>
      <c r="J84" s="29">
        <f t="shared" si="8"/>
        <v>0</v>
      </c>
      <c r="K84" s="29"/>
      <c r="L84" s="223">
        <f t="shared" si="9"/>
        <v>0</v>
      </c>
      <c r="M84" s="12"/>
      <c r="N84" s="218" t="str">
        <f t="shared" si="10"/>
        <v xml:space="preserve"> </v>
      </c>
      <c r="O84" s="189"/>
      <c r="P84" s="189"/>
      <c r="Q84" s="189"/>
      <c r="R84" s="189" t="str">
        <f t="shared" si="6"/>
        <v xml:space="preserve"> </v>
      </c>
      <c r="S84" s="189"/>
      <c r="T84" s="253"/>
      <c r="U84" s="13"/>
      <c r="V84" s="253"/>
      <c r="W84" s="253"/>
      <c r="X84" s="16"/>
    </row>
    <row r="85" spans="1:24" ht="15" customHeight="1" x14ac:dyDescent="0.35">
      <c r="A85" s="23"/>
      <c r="B85" s="24"/>
      <c r="C85" s="211"/>
      <c r="D85" s="15"/>
      <c r="E85" s="15"/>
      <c r="F85" s="9">
        <v>800</v>
      </c>
      <c r="G85" s="29">
        <f t="shared" si="7"/>
        <v>0</v>
      </c>
      <c r="H85" s="11"/>
      <c r="I85" s="10"/>
      <c r="J85" s="29"/>
      <c r="K85" s="29"/>
      <c r="L85" s="223">
        <f t="shared" si="9"/>
        <v>0</v>
      </c>
      <c r="M85" s="12"/>
      <c r="N85" s="218"/>
      <c r="O85" s="189"/>
      <c r="P85" s="189"/>
      <c r="Q85" s="189"/>
      <c r="R85" s="189"/>
      <c r="S85" s="189"/>
      <c r="T85" s="321"/>
      <c r="U85" s="13"/>
      <c r="V85" s="321"/>
      <c r="W85" s="321"/>
      <c r="X85" s="16"/>
    </row>
    <row r="86" spans="1:24" ht="15" customHeight="1" x14ac:dyDescent="0.35">
      <c r="A86" s="227"/>
      <c r="B86" s="23"/>
      <c r="C86" s="212"/>
      <c r="D86" s="15"/>
      <c r="E86" s="15"/>
      <c r="F86" s="9">
        <v>800</v>
      </c>
      <c r="G86" s="29">
        <f t="shared" si="7"/>
        <v>0</v>
      </c>
      <c r="H86" s="11"/>
      <c r="I86" s="10"/>
      <c r="J86" s="29">
        <f t="shared" si="8"/>
        <v>0</v>
      </c>
      <c r="K86" s="29"/>
      <c r="L86" s="223">
        <f t="shared" si="9"/>
        <v>0</v>
      </c>
      <c r="M86" s="12"/>
      <c r="N86" s="218" t="str">
        <f t="shared" si="10"/>
        <v xml:space="preserve"> </v>
      </c>
      <c r="O86" s="189"/>
      <c r="P86" s="189"/>
      <c r="Q86" s="189"/>
      <c r="R86" s="189" t="str">
        <f t="shared" si="6"/>
        <v xml:space="preserve"> </v>
      </c>
      <c r="S86" s="189"/>
      <c r="T86" s="253"/>
      <c r="U86" s="13"/>
      <c r="V86" s="253"/>
      <c r="W86" s="253"/>
      <c r="X86" s="16"/>
    </row>
    <row r="87" spans="1:24" ht="15" customHeight="1" x14ac:dyDescent="0.35">
      <c r="A87" s="23"/>
      <c r="B87" s="24"/>
      <c r="C87" s="211"/>
      <c r="D87" s="15"/>
      <c r="E87" s="15"/>
      <c r="F87" s="9">
        <v>800</v>
      </c>
      <c r="G87" s="29">
        <f t="shared" si="7"/>
        <v>0</v>
      </c>
      <c r="H87" s="11"/>
      <c r="I87" s="10"/>
      <c r="J87" s="29">
        <f t="shared" si="8"/>
        <v>0</v>
      </c>
      <c r="K87" s="29"/>
      <c r="L87" s="223">
        <f t="shared" si="9"/>
        <v>0</v>
      </c>
      <c r="M87" s="12"/>
      <c r="N87" s="218" t="str">
        <f t="shared" si="10"/>
        <v xml:space="preserve"> </v>
      </c>
      <c r="O87" s="189"/>
      <c r="P87" s="189"/>
      <c r="Q87" s="189"/>
      <c r="R87" s="189" t="str">
        <f t="shared" si="6"/>
        <v xml:space="preserve"> </v>
      </c>
      <c r="S87" s="189"/>
      <c r="T87" s="253"/>
      <c r="U87" s="13"/>
      <c r="V87" s="253"/>
      <c r="W87" s="253"/>
      <c r="X87" s="16"/>
    </row>
    <row r="88" spans="1:24" ht="15" customHeight="1" x14ac:dyDescent="0.35">
      <c r="A88" s="23"/>
      <c r="B88" s="24"/>
      <c r="C88" s="211"/>
      <c r="D88" s="15"/>
      <c r="E88" s="15"/>
      <c r="F88" s="9">
        <v>800</v>
      </c>
      <c r="G88" s="29">
        <f t="shared" si="7"/>
        <v>0</v>
      </c>
      <c r="H88" s="11"/>
      <c r="I88" s="10"/>
      <c r="J88" s="29">
        <f t="shared" si="8"/>
        <v>0</v>
      </c>
      <c r="K88" s="29"/>
      <c r="L88" s="223">
        <f t="shared" si="9"/>
        <v>0</v>
      </c>
      <c r="M88" s="12"/>
      <c r="N88" s="218" t="str">
        <f t="shared" si="5"/>
        <v xml:space="preserve"> </v>
      </c>
      <c r="O88" s="189"/>
      <c r="P88" s="189"/>
      <c r="Q88" s="189"/>
      <c r="R88" s="189" t="str">
        <f t="shared" si="6"/>
        <v xml:space="preserve"> </v>
      </c>
      <c r="S88" s="189"/>
      <c r="T88" s="253"/>
      <c r="U88" s="13"/>
      <c r="V88" s="253"/>
      <c r="W88" s="253"/>
      <c r="X88" s="16"/>
    </row>
    <row r="89" spans="1:24" ht="15" customHeight="1" x14ac:dyDescent="0.35">
      <c r="A89" s="23"/>
      <c r="B89" s="24"/>
      <c r="C89" s="211"/>
      <c r="D89" s="15"/>
      <c r="E89" s="15"/>
      <c r="F89" s="9">
        <v>800</v>
      </c>
      <c r="G89" s="29">
        <f t="shared" si="7"/>
        <v>0</v>
      </c>
      <c r="H89" s="11"/>
      <c r="I89" s="10"/>
      <c r="J89" s="29">
        <f t="shared" si="8"/>
        <v>0</v>
      </c>
      <c r="K89" s="29"/>
      <c r="L89" s="223">
        <f t="shared" si="9"/>
        <v>0</v>
      </c>
      <c r="M89" s="12"/>
      <c r="N89" s="218" t="str">
        <f t="shared" si="5"/>
        <v xml:space="preserve"> </v>
      </c>
      <c r="O89" s="189"/>
      <c r="P89" s="189"/>
      <c r="Q89" s="189"/>
      <c r="R89" s="189" t="str">
        <f t="shared" si="6"/>
        <v xml:space="preserve"> </v>
      </c>
      <c r="S89" s="189"/>
      <c r="T89" s="253"/>
      <c r="U89" s="13"/>
      <c r="V89" s="253"/>
      <c r="W89" s="253"/>
      <c r="X89" s="16"/>
    </row>
    <row r="90" spans="1:24" ht="15" customHeight="1" x14ac:dyDescent="0.35">
      <c r="A90" s="227"/>
      <c r="B90" s="23"/>
      <c r="C90" s="212"/>
      <c r="D90" s="15"/>
      <c r="E90" s="15"/>
      <c r="F90" s="9">
        <v>800</v>
      </c>
      <c r="G90" s="29">
        <f t="shared" si="7"/>
        <v>0</v>
      </c>
      <c r="H90" s="11"/>
      <c r="I90" s="10"/>
      <c r="J90" s="29">
        <f t="shared" si="8"/>
        <v>0</v>
      </c>
      <c r="K90" s="29"/>
      <c r="L90" s="223">
        <f t="shared" si="9"/>
        <v>0</v>
      </c>
      <c r="M90" s="12"/>
      <c r="N90" s="218" t="str">
        <f t="shared" si="5"/>
        <v xml:space="preserve"> </v>
      </c>
      <c r="O90" s="189"/>
      <c r="P90" s="189"/>
      <c r="Q90" s="189"/>
      <c r="R90" s="189" t="str">
        <f t="shared" si="6"/>
        <v xml:space="preserve"> </v>
      </c>
      <c r="S90" s="189"/>
      <c r="T90" s="253"/>
      <c r="U90" s="13"/>
      <c r="V90" s="253"/>
      <c r="W90" s="253"/>
      <c r="X90" s="16"/>
    </row>
    <row r="91" spans="1:24" ht="15" customHeight="1" x14ac:dyDescent="0.35">
      <c r="A91" s="23"/>
      <c r="B91" s="24"/>
      <c r="C91" s="211"/>
      <c r="D91" s="15"/>
      <c r="E91" s="15"/>
      <c r="F91" s="9">
        <v>800</v>
      </c>
      <c r="G91" s="29">
        <f t="shared" si="7"/>
        <v>0</v>
      </c>
      <c r="H91" s="11"/>
      <c r="I91" s="10"/>
      <c r="J91" s="29">
        <f t="shared" si="8"/>
        <v>0</v>
      </c>
      <c r="K91" s="29"/>
      <c r="L91" s="223">
        <f t="shared" si="9"/>
        <v>0</v>
      </c>
      <c r="M91" s="12"/>
      <c r="N91" s="218" t="str">
        <f t="shared" si="5"/>
        <v xml:space="preserve"> </v>
      </c>
      <c r="O91" s="189"/>
      <c r="P91" s="189"/>
      <c r="Q91" s="189"/>
      <c r="R91" s="189" t="str">
        <f t="shared" si="6"/>
        <v xml:space="preserve"> </v>
      </c>
      <c r="S91" s="189"/>
      <c r="T91" s="253"/>
      <c r="U91" s="13"/>
      <c r="V91" s="253"/>
      <c r="W91" s="253"/>
      <c r="X91" s="16"/>
    </row>
    <row r="92" spans="1:24" ht="15" customHeight="1" x14ac:dyDescent="0.35">
      <c r="A92" s="227"/>
      <c r="B92" s="24"/>
      <c r="C92" s="211"/>
      <c r="D92" s="15"/>
      <c r="E92" s="15"/>
      <c r="F92" s="9">
        <v>800</v>
      </c>
      <c r="G92" s="29">
        <f t="shared" si="7"/>
        <v>0</v>
      </c>
      <c r="H92" s="11"/>
      <c r="I92" s="10"/>
      <c r="J92" s="29">
        <f t="shared" si="8"/>
        <v>0</v>
      </c>
      <c r="K92" s="29"/>
      <c r="L92" s="223">
        <f t="shared" si="9"/>
        <v>0</v>
      </c>
      <c r="M92" s="12"/>
      <c r="N92" s="218" t="str">
        <f t="shared" si="5"/>
        <v xml:space="preserve"> </v>
      </c>
      <c r="O92" s="189"/>
      <c r="P92" s="189"/>
      <c r="Q92" s="189"/>
      <c r="R92" s="189" t="str">
        <f t="shared" si="6"/>
        <v xml:space="preserve"> </v>
      </c>
      <c r="S92" s="189"/>
      <c r="T92" s="253"/>
      <c r="U92" s="13"/>
      <c r="V92" s="253"/>
      <c r="W92" s="253"/>
      <c r="X92" s="16"/>
    </row>
    <row r="93" spans="1:24" ht="15" customHeight="1" x14ac:dyDescent="0.35">
      <c r="A93" s="227"/>
      <c r="B93" s="24"/>
      <c r="C93" s="212"/>
      <c r="D93" s="15"/>
      <c r="E93" s="15"/>
      <c r="F93" s="9">
        <v>800</v>
      </c>
      <c r="G93" s="29">
        <f t="shared" si="7"/>
        <v>0</v>
      </c>
      <c r="H93" s="11"/>
      <c r="I93" s="10"/>
      <c r="J93" s="29">
        <f t="shared" si="8"/>
        <v>0</v>
      </c>
      <c r="K93" s="29"/>
      <c r="L93" s="223">
        <f t="shared" si="9"/>
        <v>0</v>
      </c>
      <c r="M93" s="12"/>
      <c r="N93" s="218" t="str">
        <f t="shared" si="5"/>
        <v xml:space="preserve"> </v>
      </c>
      <c r="O93" s="189"/>
      <c r="P93" s="189"/>
      <c r="Q93" s="189"/>
      <c r="R93" s="189" t="str">
        <f t="shared" si="6"/>
        <v xml:space="preserve"> </v>
      </c>
      <c r="S93" s="189"/>
      <c r="T93" s="253"/>
      <c r="U93" s="13"/>
      <c r="V93" s="253"/>
      <c r="W93" s="253"/>
      <c r="X93" s="16"/>
    </row>
    <row r="94" spans="1:24" ht="15" customHeight="1" x14ac:dyDescent="0.35">
      <c r="A94" s="227"/>
      <c r="B94" s="24"/>
      <c r="C94" s="211"/>
      <c r="D94" s="15"/>
      <c r="E94" s="15"/>
      <c r="F94" s="9">
        <v>800</v>
      </c>
      <c r="G94" s="29">
        <f t="shared" si="7"/>
        <v>0</v>
      </c>
      <c r="H94" s="11"/>
      <c r="I94" s="10"/>
      <c r="J94" s="29">
        <f t="shared" si="8"/>
        <v>0</v>
      </c>
      <c r="K94" s="29"/>
      <c r="L94" s="223">
        <f t="shared" si="9"/>
        <v>0</v>
      </c>
      <c r="M94" s="12"/>
      <c r="N94" s="218" t="str">
        <f t="shared" si="5"/>
        <v xml:space="preserve"> </v>
      </c>
      <c r="O94" s="189"/>
      <c r="P94" s="189"/>
      <c r="Q94" s="189"/>
      <c r="R94" s="189" t="str">
        <f t="shared" si="6"/>
        <v xml:space="preserve"> </v>
      </c>
      <c r="S94" s="189"/>
      <c r="T94" s="253"/>
      <c r="U94" s="13"/>
      <c r="V94" s="253"/>
      <c r="W94" s="253"/>
      <c r="X94" s="16"/>
    </row>
    <row r="95" spans="1:24" ht="15" customHeight="1" x14ac:dyDescent="0.35">
      <c r="A95" s="227"/>
      <c r="B95" s="24"/>
      <c r="C95" s="212"/>
      <c r="D95" s="15"/>
      <c r="E95" s="15"/>
      <c r="F95" s="9">
        <v>800</v>
      </c>
      <c r="G95" s="29">
        <f>(F95*D95)+(E95*F95)</f>
        <v>0</v>
      </c>
      <c r="H95" s="11"/>
      <c r="I95" s="10"/>
      <c r="J95" s="29">
        <f>H95*I95</f>
        <v>0</v>
      </c>
      <c r="K95" s="29"/>
      <c r="L95" s="223">
        <f>(J95+G95)-K95</f>
        <v>0</v>
      </c>
      <c r="M95" s="12"/>
      <c r="N95" s="218" t="str">
        <f>IF(M95&gt;0,SUM(L95-M95)," ")</f>
        <v xml:space="preserve"> </v>
      </c>
      <c r="O95" s="189"/>
      <c r="P95" s="189"/>
      <c r="Q95" s="189"/>
      <c r="R95" s="189" t="str">
        <f>IF(O95&gt;0,SUM(O95-(L95+P95))," ")</f>
        <v xml:space="preserve"> </v>
      </c>
      <c r="S95" s="189"/>
      <c r="T95" s="321"/>
      <c r="U95" s="13"/>
      <c r="V95" s="321"/>
      <c r="W95" s="321"/>
      <c r="X95" s="16"/>
    </row>
    <row r="96" spans="1:24" ht="15" customHeight="1" x14ac:dyDescent="0.35">
      <c r="A96" s="227"/>
      <c r="B96" s="24"/>
      <c r="C96" s="212"/>
      <c r="D96" s="15"/>
      <c r="E96" s="15"/>
      <c r="F96" s="9">
        <v>800</v>
      </c>
      <c r="G96" s="29">
        <f t="shared" si="7"/>
        <v>0</v>
      </c>
      <c r="H96" s="11"/>
      <c r="I96" s="10"/>
      <c r="J96" s="29">
        <f t="shared" si="8"/>
        <v>0</v>
      </c>
      <c r="K96" s="29"/>
      <c r="L96" s="223">
        <f t="shared" si="9"/>
        <v>0</v>
      </c>
      <c r="M96" s="12"/>
      <c r="N96" s="218" t="str">
        <f>IF(M96&gt;0,SUM(L96-M96)," ")</f>
        <v xml:space="preserve"> </v>
      </c>
      <c r="O96" s="189"/>
      <c r="P96" s="189"/>
      <c r="Q96" s="189"/>
      <c r="R96" s="189" t="str">
        <f t="shared" si="6"/>
        <v xml:space="preserve"> </v>
      </c>
      <c r="S96" s="189"/>
      <c r="T96" s="253"/>
      <c r="U96" s="13"/>
      <c r="V96" s="253"/>
      <c r="W96" s="253"/>
      <c r="X96" s="16"/>
    </row>
    <row r="97" spans="1:24" ht="15" customHeight="1" x14ac:dyDescent="0.35">
      <c r="A97" s="227"/>
      <c r="B97" s="24"/>
      <c r="C97" s="211"/>
      <c r="D97" s="15"/>
      <c r="E97" s="15"/>
      <c r="F97" s="9">
        <v>800</v>
      </c>
      <c r="G97" s="29">
        <f t="shared" si="7"/>
        <v>0</v>
      </c>
      <c r="H97" s="11"/>
      <c r="I97" s="10"/>
      <c r="J97" s="29">
        <f t="shared" si="8"/>
        <v>0</v>
      </c>
      <c r="K97" s="29"/>
      <c r="L97" s="223">
        <f t="shared" si="9"/>
        <v>0</v>
      </c>
      <c r="M97" s="12"/>
      <c r="N97" s="218" t="str">
        <f>IF(M97&gt;0,SUM(L97-M97)," ")</f>
        <v xml:space="preserve"> </v>
      </c>
      <c r="O97" s="189"/>
      <c r="P97" s="189"/>
      <c r="Q97" s="189"/>
      <c r="R97" s="189" t="str">
        <f t="shared" si="6"/>
        <v xml:space="preserve"> </v>
      </c>
      <c r="S97" s="189"/>
      <c r="T97" s="253"/>
      <c r="U97" s="13"/>
      <c r="V97" s="253"/>
      <c r="W97" s="253"/>
      <c r="X97" s="16"/>
    </row>
    <row r="98" spans="1:24" ht="15" customHeight="1" x14ac:dyDescent="0.35">
      <c r="A98" s="227"/>
      <c r="B98" s="24"/>
      <c r="C98" s="206"/>
      <c r="D98" s="15"/>
      <c r="E98" s="15"/>
      <c r="F98" s="9">
        <v>800</v>
      </c>
      <c r="G98" s="29">
        <f t="shared" si="7"/>
        <v>0</v>
      </c>
      <c r="H98" s="11"/>
      <c r="I98" s="10"/>
      <c r="J98" s="29">
        <f t="shared" si="8"/>
        <v>0</v>
      </c>
      <c r="K98" s="29"/>
      <c r="L98" s="223">
        <f t="shared" si="9"/>
        <v>0</v>
      </c>
      <c r="M98" s="12"/>
      <c r="N98" s="218" t="str">
        <f t="shared" si="5"/>
        <v xml:space="preserve"> </v>
      </c>
      <c r="O98" s="189"/>
      <c r="P98" s="189"/>
      <c r="Q98" s="189"/>
      <c r="R98" s="189" t="str">
        <f t="shared" si="4"/>
        <v xml:space="preserve"> </v>
      </c>
      <c r="S98" s="189"/>
      <c r="T98" s="253"/>
      <c r="U98" s="13"/>
      <c r="V98" s="253"/>
      <c r="W98" s="253"/>
      <c r="X98" s="16"/>
    </row>
    <row r="99" spans="1:24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7"/>
        <v>0</v>
      </c>
      <c r="H99" s="11"/>
      <c r="I99" s="10"/>
      <c r="J99" s="29">
        <f t="shared" si="8"/>
        <v>0</v>
      </c>
      <c r="K99" s="29"/>
      <c r="L99" s="223">
        <f t="shared" si="9"/>
        <v>0</v>
      </c>
      <c r="M99" s="12"/>
      <c r="N99" s="218" t="str">
        <f t="shared" si="5"/>
        <v xml:space="preserve"> </v>
      </c>
      <c r="O99" s="189"/>
      <c r="P99" s="189"/>
      <c r="Q99" s="189"/>
      <c r="R99" s="189" t="str">
        <f t="shared" si="4"/>
        <v xml:space="preserve"> </v>
      </c>
      <c r="S99" s="189"/>
      <c r="T99" s="253"/>
      <c r="U99" s="13"/>
      <c r="V99" s="253"/>
      <c r="W99" s="253"/>
      <c r="X99" s="16"/>
    </row>
    <row r="100" spans="1:24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7"/>
        <v>0</v>
      </c>
      <c r="H100" s="11"/>
      <c r="I100" s="10"/>
      <c r="J100" s="29">
        <f t="shared" si="8"/>
        <v>0</v>
      </c>
      <c r="K100" s="29"/>
      <c r="L100" s="223">
        <f t="shared" si="9"/>
        <v>0</v>
      </c>
      <c r="M100" s="12"/>
      <c r="N100" s="218" t="str">
        <f t="shared" si="5"/>
        <v xml:space="preserve"> </v>
      </c>
      <c r="O100" s="189"/>
      <c r="P100" s="189"/>
      <c r="Q100" s="189"/>
      <c r="R100" s="189" t="str">
        <f t="shared" si="4"/>
        <v xml:space="preserve"> </v>
      </c>
      <c r="S100" s="189"/>
      <c r="T100" s="253"/>
      <c r="U100" s="13"/>
      <c r="V100" s="253"/>
      <c r="W100" s="253"/>
      <c r="X100" s="16"/>
    </row>
    <row r="101" spans="1:24" ht="16" x14ac:dyDescent="0.5">
      <c r="D101" s="21">
        <f>SUM(D4:D100)</f>
        <v>106</v>
      </c>
      <c r="E101" s="21">
        <f>SUM(E4:E100)</f>
        <v>104</v>
      </c>
      <c r="G101" s="198">
        <f>SUM(G4:G100)</f>
        <v>172610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172610</v>
      </c>
      <c r="M101" s="198"/>
      <c r="N101" s="218" t="str">
        <f t="shared" si="5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-3930</v>
      </c>
      <c r="S101" s="199">
        <f>SUM(S4:S100)</f>
        <v>0</v>
      </c>
    </row>
    <row r="102" spans="1:24" x14ac:dyDescent="0.35">
      <c r="D102" s="290">
        <f>D101+E101</f>
        <v>210</v>
      </c>
      <c r="E102" s="291"/>
      <c r="G102" s="22"/>
      <c r="I102" s="5"/>
      <c r="J102" s="22"/>
      <c r="K102" s="22"/>
    </row>
    <row r="103" spans="1:24" x14ac:dyDescent="0.35">
      <c r="I103" s="5"/>
      <c r="J103" s="6"/>
      <c r="K103" s="6"/>
    </row>
    <row r="108" spans="1:24" x14ac:dyDescent="0.35">
      <c r="C108" s="211" t="s">
        <v>82</v>
      </c>
    </row>
    <row r="109" spans="1:24" x14ac:dyDescent="0.35">
      <c r="C109" s="211" t="s">
        <v>103</v>
      </c>
    </row>
    <row r="110" spans="1:24" x14ac:dyDescent="0.35">
      <c r="C110" s="211" t="s">
        <v>82</v>
      </c>
    </row>
    <row r="111" spans="1:24" x14ac:dyDescent="0.35">
      <c r="C111" s="211" t="s">
        <v>15</v>
      </c>
    </row>
    <row r="112" spans="1:24" x14ac:dyDescent="0.35">
      <c r="C112" s="212" t="s">
        <v>100</v>
      </c>
    </row>
    <row r="113" spans="3:3" x14ac:dyDescent="0.35">
      <c r="C113" s="211" t="s">
        <v>81</v>
      </c>
    </row>
    <row r="114" spans="3:3" x14ac:dyDescent="0.35">
      <c r="C114" s="211" t="s">
        <v>82</v>
      </c>
    </row>
    <row r="115" spans="3:3" x14ac:dyDescent="0.35">
      <c r="C115" s="211" t="s">
        <v>82</v>
      </c>
    </row>
    <row r="116" spans="3:3" x14ac:dyDescent="0.35">
      <c r="C116" s="211" t="s">
        <v>82</v>
      </c>
    </row>
    <row r="117" spans="3:3" x14ac:dyDescent="0.35">
      <c r="C117" s="211" t="s">
        <v>103</v>
      </c>
    </row>
    <row r="118" spans="3:3" x14ac:dyDescent="0.35">
      <c r="C118" s="212"/>
    </row>
    <row r="119" spans="3:3" x14ac:dyDescent="0.35">
      <c r="C119" s="211"/>
    </row>
    <row r="120" spans="3:3" x14ac:dyDescent="0.35">
      <c r="C120" s="212" t="s">
        <v>112</v>
      </c>
    </row>
    <row r="121" spans="3:3" x14ac:dyDescent="0.35">
      <c r="C121" s="211" t="s">
        <v>102</v>
      </c>
    </row>
    <row r="122" spans="3:3" x14ac:dyDescent="0.35">
      <c r="C122" s="211" t="s">
        <v>15</v>
      </c>
    </row>
    <row r="123" spans="3:3" x14ac:dyDescent="0.35">
      <c r="C123" s="211"/>
    </row>
    <row r="124" spans="3:3" x14ac:dyDescent="0.35">
      <c r="C124" s="211"/>
    </row>
    <row r="125" spans="3:3" x14ac:dyDescent="0.35">
      <c r="C125" s="211" t="s">
        <v>82</v>
      </c>
    </row>
    <row r="126" spans="3:3" x14ac:dyDescent="0.35">
      <c r="C126" s="212" t="s">
        <v>100</v>
      </c>
    </row>
    <row r="127" spans="3:3" x14ac:dyDescent="0.35">
      <c r="C127" s="211" t="s">
        <v>82</v>
      </c>
    </row>
    <row r="128" spans="3:3" x14ac:dyDescent="0.35">
      <c r="C128" s="211" t="s">
        <v>81</v>
      </c>
    </row>
    <row r="129" spans="3:3" x14ac:dyDescent="0.35">
      <c r="C129" s="211" t="s">
        <v>115</v>
      </c>
    </row>
    <row r="130" spans="3:3" x14ac:dyDescent="0.35">
      <c r="C130" s="212" t="s">
        <v>101</v>
      </c>
    </row>
    <row r="131" spans="3:3" x14ac:dyDescent="0.35">
      <c r="C131" s="211" t="s">
        <v>82</v>
      </c>
    </row>
    <row r="132" spans="3:3" x14ac:dyDescent="0.35">
      <c r="C132" s="211" t="s">
        <v>111</v>
      </c>
    </row>
    <row r="133" spans="3:3" x14ac:dyDescent="0.35">
      <c r="C133" s="206"/>
    </row>
    <row r="134" spans="3:3" x14ac:dyDescent="0.35">
      <c r="C134" s="212"/>
    </row>
    <row r="135" spans="3:3" x14ac:dyDescent="0.35">
      <c r="C135" s="212" t="s">
        <v>101</v>
      </c>
    </row>
    <row r="136" spans="3:3" x14ac:dyDescent="0.35">
      <c r="C136" s="212" t="s">
        <v>15</v>
      </c>
    </row>
    <row r="137" spans="3:3" x14ac:dyDescent="0.35">
      <c r="C137" s="211" t="s">
        <v>81</v>
      </c>
    </row>
    <row r="138" spans="3:3" x14ac:dyDescent="0.35">
      <c r="C138" s="211"/>
    </row>
    <row r="1048434" spans="15:21" x14ac:dyDescent="0.35">
      <c r="O1048434" s="189"/>
      <c r="P1048434" s="189"/>
      <c r="Q1048434" s="189"/>
      <c r="R1048434" s="189"/>
      <c r="S1048434" s="189"/>
      <c r="U1048434" s="13"/>
    </row>
  </sheetData>
  <autoFilter ref="B3:AA102" xr:uid="{00000000-0009-0000-0000-000011000000}"/>
  <mergeCells count="15">
    <mergeCell ref="A2:A3"/>
    <mergeCell ref="B2:B3"/>
    <mergeCell ref="C2:C3"/>
    <mergeCell ref="D2:G2"/>
    <mergeCell ref="H2:J2"/>
    <mergeCell ref="K2:K3"/>
    <mergeCell ref="V2:V3"/>
    <mergeCell ref="X2:X3"/>
    <mergeCell ref="O3:O4"/>
    <mergeCell ref="L2:L3"/>
    <mergeCell ref="M2:M3"/>
    <mergeCell ref="N2:N3"/>
    <mergeCell ref="O2:S2"/>
    <mergeCell ref="T2:T3"/>
    <mergeCell ref="U2:U3"/>
  </mergeCells>
  <conditionalFormatting sqref="B2 B100:B1048576 A92:A93 A76:A90 A67 A69:A73 A57 A61:A62 A28:A29 A37:A40 B51:B59 A51:A55 A17:A24">
    <cfRule type="containsText" dxfId="361" priority="228" operator="containsText" text="OK">
      <formula>NOT(ISERROR(SEARCH("OK",A2)))</formula>
    </cfRule>
  </conditionalFormatting>
  <conditionalFormatting sqref="B2 B100:B1048576 A92:A93 A76:A90 A67 A69:A73 A57 A61:A62 A28:A29 A37:A40 B51:B59 A51:A55 A17:A24">
    <cfRule type="containsText" dxfId="360" priority="227" operator="containsText" text="ok">
      <formula>NOT(ISERROR(SEARCH("ok",A2)))</formula>
    </cfRule>
  </conditionalFormatting>
  <conditionalFormatting sqref="B61">
    <cfRule type="containsText" dxfId="359" priority="226" operator="containsText" text="OK">
      <formula>NOT(ISERROR(SEARCH("OK",B61)))</formula>
    </cfRule>
  </conditionalFormatting>
  <conditionalFormatting sqref="B61">
    <cfRule type="containsText" dxfId="358" priority="225" operator="containsText" text="ok">
      <formula>NOT(ISERROR(SEARCH("ok",B61)))</formula>
    </cfRule>
  </conditionalFormatting>
  <conditionalFormatting sqref="B90">
    <cfRule type="containsText" dxfId="357" priority="224" operator="containsText" text="OK">
      <formula>NOT(ISERROR(SEARCH("OK",B90)))</formula>
    </cfRule>
  </conditionalFormatting>
  <conditionalFormatting sqref="B90">
    <cfRule type="containsText" dxfId="356" priority="223" operator="containsText" text="ok">
      <formula>NOT(ISERROR(SEARCH("ok",B90)))</formula>
    </cfRule>
  </conditionalFormatting>
  <conditionalFormatting sqref="A2 A100:A1048576">
    <cfRule type="containsText" dxfId="355" priority="222" operator="containsText" text="OK">
      <formula>NOT(ISERROR(SEARCH("OK",A2)))</formula>
    </cfRule>
  </conditionalFormatting>
  <conditionalFormatting sqref="A2 A100:A1048576">
    <cfRule type="containsText" dxfId="354" priority="221" operator="containsText" text="ok">
      <formula>NOT(ISERROR(SEARCH("ok",A2)))</formula>
    </cfRule>
  </conditionalFormatting>
  <conditionalFormatting sqref="A94">
    <cfRule type="containsText" dxfId="353" priority="220" operator="containsText" text="OK">
      <formula>NOT(ISERROR(SEARCH("OK",A94)))</formula>
    </cfRule>
  </conditionalFormatting>
  <conditionalFormatting sqref="A94">
    <cfRule type="containsText" dxfId="352" priority="219" operator="containsText" text="ok">
      <formula>NOT(ISERROR(SEARCH("ok",A94)))</formula>
    </cfRule>
  </conditionalFormatting>
  <conditionalFormatting sqref="A96">
    <cfRule type="containsText" dxfId="351" priority="218" operator="containsText" text="OK">
      <formula>NOT(ISERROR(SEARCH("OK",A96)))</formula>
    </cfRule>
  </conditionalFormatting>
  <conditionalFormatting sqref="A96">
    <cfRule type="containsText" dxfId="350" priority="217" operator="containsText" text="ok">
      <formula>NOT(ISERROR(SEARCH("ok",A96)))</formula>
    </cfRule>
  </conditionalFormatting>
  <conditionalFormatting sqref="A97">
    <cfRule type="containsText" dxfId="349" priority="216" operator="containsText" text="OK">
      <formula>NOT(ISERROR(SEARCH("OK",A97)))</formula>
    </cfRule>
  </conditionalFormatting>
  <conditionalFormatting sqref="A97">
    <cfRule type="containsText" dxfId="348" priority="215" operator="containsText" text="ok">
      <formula>NOT(ISERROR(SEARCH("ok",A97)))</formula>
    </cfRule>
  </conditionalFormatting>
  <conditionalFormatting sqref="A98">
    <cfRule type="containsText" dxfId="347" priority="214" operator="containsText" text="OK">
      <formula>NOT(ISERROR(SEARCH("OK",A98)))</formula>
    </cfRule>
  </conditionalFormatting>
  <conditionalFormatting sqref="A98">
    <cfRule type="containsText" dxfId="346" priority="213" operator="containsText" text="ok">
      <formula>NOT(ISERROR(SEARCH("ok",A98)))</formula>
    </cfRule>
  </conditionalFormatting>
  <conditionalFormatting sqref="A99">
    <cfRule type="containsText" dxfId="345" priority="212" operator="containsText" text="OK">
      <formula>NOT(ISERROR(SEARCH("OK",A99)))</formula>
    </cfRule>
  </conditionalFormatting>
  <conditionalFormatting sqref="A99">
    <cfRule type="containsText" dxfId="344" priority="211" operator="containsText" text="ok">
      <formula>NOT(ISERROR(SEARCH("ok",A99)))</formula>
    </cfRule>
  </conditionalFormatting>
  <conditionalFormatting sqref="B86">
    <cfRule type="containsText" dxfId="343" priority="210" operator="containsText" text="OK">
      <formula>NOT(ISERROR(SEARCH("OK",B86)))</formula>
    </cfRule>
  </conditionalFormatting>
  <conditionalFormatting sqref="B86">
    <cfRule type="containsText" dxfId="342" priority="209" operator="containsText" text="ok">
      <formula>NOT(ISERROR(SEARCH("ok",B86)))</formula>
    </cfRule>
  </conditionalFormatting>
  <conditionalFormatting sqref="B76:B77">
    <cfRule type="containsText" dxfId="341" priority="208" operator="containsText" text="OK">
      <formula>NOT(ISERROR(SEARCH("OK",B76)))</formula>
    </cfRule>
  </conditionalFormatting>
  <conditionalFormatting sqref="B76:B77">
    <cfRule type="containsText" dxfId="340" priority="207" operator="containsText" text="ok">
      <formula>NOT(ISERROR(SEARCH("ok",B76)))</formula>
    </cfRule>
  </conditionalFormatting>
  <conditionalFormatting sqref="B78:B79">
    <cfRule type="containsText" dxfId="339" priority="206" operator="containsText" text="OK">
      <formula>NOT(ISERROR(SEARCH("OK",B78)))</formula>
    </cfRule>
  </conditionalFormatting>
  <conditionalFormatting sqref="B78:B79">
    <cfRule type="containsText" dxfId="338" priority="205" operator="containsText" text="ok">
      <formula>NOT(ISERROR(SEARCH("ok",B78)))</formula>
    </cfRule>
  </conditionalFormatting>
  <conditionalFormatting sqref="B80:B81">
    <cfRule type="containsText" dxfId="337" priority="204" operator="containsText" text="OK">
      <formula>NOT(ISERROR(SEARCH("OK",B80)))</formula>
    </cfRule>
  </conditionalFormatting>
  <conditionalFormatting sqref="B80:B81">
    <cfRule type="containsText" dxfId="336" priority="203" operator="containsText" text="ok">
      <formula>NOT(ISERROR(SEARCH("ok",B80)))</formula>
    </cfRule>
  </conditionalFormatting>
  <conditionalFormatting sqref="B82:B83">
    <cfRule type="containsText" dxfId="335" priority="202" operator="containsText" text="OK">
      <formula>NOT(ISERROR(SEARCH("OK",B82)))</formula>
    </cfRule>
  </conditionalFormatting>
  <conditionalFormatting sqref="B82:B83">
    <cfRule type="containsText" dxfId="334" priority="201" operator="containsText" text="ok">
      <formula>NOT(ISERROR(SEARCH("ok",B82)))</formula>
    </cfRule>
  </conditionalFormatting>
  <conditionalFormatting sqref="B84:B85">
    <cfRule type="containsText" dxfId="333" priority="200" operator="containsText" text="OK">
      <formula>NOT(ISERROR(SEARCH("OK",B84)))</formula>
    </cfRule>
  </conditionalFormatting>
  <conditionalFormatting sqref="B84:B85">
    <cfRule type="containsText" dxfId="332" priority="199" operator="containsText" text="ok">
      <formula>NOT(ISERROR(SEARCH("ok",B84)))</formula>
    </cfRule>
  </conditionalFormatting>
  <conditionalFormatting sqref="B62">
    <cfRule type="containsText" dxfId="331" priority="196" operator="containsText" text="OK">
      <formula>NOT(ISERROR(SEARCH("OK",B62)))</formula>
    </cfRule>
  </conditionalFormatting>
  <conditionalFormatting sqref="B62">
    <cfRule type="containsText" dxfId="330" priority="195" operator="containsText" text="ok">
      <formula>NOT(ISERROR(SEARCH("ok",B62)))</formula>
    </cfRule>
  </conditionalFormatting>
  <conditionalFormatting sqref="B87">
    <cfRule type="containsText" dxfId="329" priority="194" operator="containsText" text="OK">
      <formula>NOT(ISERROR(SEARCH("OK",B87)))</formula>
    </cfRule>
  </conditionalFormatting>
  <conditionalFormatting sqref="B87">
    <cfRule type="containsText" dxfId="328" priority="193" operator="containsText" text="ok">
      <formula>NOT(ISERROR(SEARCH("ok",B87)))</formula>
    </cfRule>
  </conditionalFormatting>
  <conditionalFormatting sqref="A91">
    <cfRule type="containsText" dxfId="327" priority="192" operator="containsText" text="OK">
      <formula>NOT(ISERROR(SEARCH("OK",A91)))</formula>
    </cfRule>
  </conditionalFormatting>
  <conditionalFormatting sqref="A91">
    <cfRule type="containsText" dxfId="326" priority="191" operator="containsText" text="ok">
      <formula>NOT(ISERROR(SEARCH("ok",A91)))</formula>
    </cfRule>
  </conditionalFormatting>
  <conditionalFormatting sqref="B86">
    <cfRule type="containsText" dxfId="325" priority="190" operator="containsText" text="OK">
      <formula>NOT(ISERROR(SEARCH("OK",B86)))</formula>
    </cfRule>
  </conditionalFormatting>
  <conditionalFormatting sqref="B86">
    <cfRule type="containsText" dxfId="324" priority="189" operator="containsText" text="ok">
      <formula>NOT(ISERROR(SEARCH("ok",B86)))</formula>
    </cfRule>
  </conditionalFormatting>
  <conditionalFormatting sqref="B78:B79">
    <cfRule type="containsText" dxfId="323" priority="188" operator="containsText" text="OK">
      <formula>NOT(ISERROR(SEARCH("OK",B78)))</formula>
    </cfRule>
  </conditionalFormatting>
  <conditionalFormatting sqref="B78:B79">
    <cfRule type="containsText" dxfId="322" priority="187" operator="containsText" text="ok">
      <formula>NOT(ISERROR(SEARCH("ok",B78)))</formula>
    </cfRule>
  </conditionalFormatting>
  <conditionalFormatting sqref="B80:B81">
    <cfRule type="containsText" dxfId="321" priority="186" operator="containsText" text="OK">
      <formula>NOT(ISERROR(SEARCH("OK",B80)))</formula>
    </cfRule>
  </conditionalFormatting>
  <conditionalFormatting sqref="B80:B81">
    <cfRule type="containsText" dxfId="320" priority="185" operator="containsText" text="ok">
      <formula>NOT(ISERROR(SEARCH("ok",B80)))</formula>
    </cfRule>
  </conditionalFormatting>
  <conditionalFormatting sqref="A87">
    <cfRule type="containsText" dxfId="319" priority="184" operator="containsText" text="OK">
      <formula>NOT(ISERROR(SEARCH("OK",A87)))</formula>
    </cfRule>
  </conditionalFormatting>
  <conditionalFormatting sqref="A87">
    <cfRule type="containsText" dxfId="318" priority="183" operator="containsText" text="ok">
      <formula>NOT(ISERROR(SEARCH("ok",A87)))</formula>
    </cfRule>
  </conditionalFormatting>
  <conditionalFormatting sqref="A74:A75">
    <cfRule type="containsText" dxfId="317" priority="182" operator="containsText" text="OK">
      <formula>NOT(ISERROR(SEARCH("OK",A74)))</formula>
    </cfRule>
  </conditionalFormatting>
  <conditionalFormatting sqref="A74:A75">
    <cfRule type="containsText" dxfId="316" priority="181" operator="containsText" text="ok">
      <formula>NOT(ISERROR(SEARCH("ok",A74)))</formula>
    </cfRule>
  </conditionalFormatting>
  <conditionalFormatting sqref="B74:B75">
    <cfRule type="containsText" dxfId="315" priority="180" operator="containsText" text="OK">
      <formula>NOT(ISERROR(SEARCH("OK",B74)))</formula>
    </cfRule>
  </conditionalFormatting>
  <conditionalFormatting sqref="B74:B75">
    <cfRule type="containsText" dxfId="314" priority="179" operator="containsText" text="ok">
      <formula>NOT(ISERROR(SEARCH("ok",B74)))</formula>
    </cfRule>
  </conditionalFormatting>
  <conditionalFormatting sqref="A56">
    <cfRule type="containsText" dxfId="313" priority="178" operator="containsText" text="OK">
      <formula>NOT(ISERROR(SEARCH("OK",A56)))</formula>
    </cfRule>
  </conditionalFormatting>
  <conditionalFormatting sqref="A56">
    <cfRule type="containsText" dxfId="312" priority="177" operator="containsText" text="ok">
      <formula>NOT(ISERROR(SEARCH("ok",A56)))</formula>
    </cfRule>
  </conditionalFormatting>
  <conditionalFormatting sqref="B60">
    <cfRule type="containsText" dxfId="311" priority="174" operator="containsText" text="OK">
      <formula>NOT(ISERROR(SEARCH("OK",B60)))</formula>
    </cfRule>
  </conditionalFormatting>
  <conditionalFormatting sqref="B60">
    <cfRule type="containsText" dxfId="310" priority="173" operator="containsText" text="ok">
      <formula>NOT(ISERROR(SEARCH("ok",B60)))</formula>
    </cfRule>
  </conditionalFormatting>
  <conditionalFormatting sqref="B67">
    <cfRule type="containsText" dxfId="309" priority="170" operator="containsText" text="OK">
      <formula>NOT(ISERROR(SEARCH("OK",B67)))</formula>
    </cfRule>
  </conditionalFormatting>
  <conditionalFormatting sqref="B67">
    <cfRule type="containsText" dxfId="308" priority="169" operator="containsText" text="ok">
      <formula>NOT(ISERROR(SEARCH("ok",B67)))</formula>
    </cfRule>
  </conditionalFormatting>
  <conditionalFormatting sqref="B66">
    <cfRule type="containsText" dxfId="307" priority="172" operator="containsText" text="OK">
      <formula>NOT(ISERROR(SEARCH("OK",B66)))</formula>
    </cfRule>
  </conditionalFormatting>
  <conditionalFormatting sqref="B66">
    <cfRule type="containsText" dxfId="306" priority="171" operator="containsText" text="ok">
      <formula>NOT(ISERROR(SEARCH("ok",B66)))</formula>
    </cfRule>
  </conditionalFormatting>
  <conditionalFormatting sqref="B68">
    <cfRule type="containsText" dxfId="305" priority="166" operator="containsText" text="OK">
      <formula>NOT(ISERROR(SEARCH("OK",B68)))</formula>
    </cfRule>
  </conditionalFormatting>
  <conditionalFormatting sqref="B68">
    <cfRule type="containsText" dxfId="304" priority="165" operator="containsText" text="ok">
      <formula>NOT(ISERROR(SEARCH("ok",B68)))</formula>
    </cfRule>
  </conditionalFormatting>
  <conditionalFormatting sqref="B69">
    <cfRule type="containsText" dxfId="303" priority="164" operator="containsText" text="OK">
      <formula>NOT(ISERROR(SEARCH("OK",B69)))</formula>
    </cfRule>
  </conditionalFormatting>
  <conditionalFormatting sqref="B69">
    <cfRule type="containsText" dxfId="302" priority="163" operator="containsText" text="ok">
      <formula>NOT(ISERROR(SEARCH("ok",B69)))</formula>
    </cfRule>
  </conditionalFormatting>
  <conditionalFormatting sqref="A68">
    <cfRule type="containsText" dxfId="301" priority="162" operator="containsText" text="OK">
      <formula>NOT(ISERROR(SEARCH("OK",A68)))</formula>
    </cfRule>
  </conditionalFormatting>
  <conditionalFormatting sqref="A68">
    <cfRule type="containsText" dxfId="300" priority="161" operator="containsText" text="ok">
      <formula>NOT(ISERROR(SEARCH("ok",A68)))</formula>
    </cfRule>
  </conditionalFormatting>
  <conditionalFormatting sqref="A66">
    <cfRule type="containsText" dxfId="299" priority="158" operator="containsText" text="OK">
      <formula>NOT(ISERROR(SEARCH("OK",A66)))</formula>
    </cfRule>
  </conditionalFormatting>
  <conditionalFormatting sqref="A66">
    <cfRule type="containsText" dxfId="298" priority="157" operator="containsText" text="ok">
      <formula>NOT(ISERROR(SEARCH("ok",A66)))</formula>
    </cfRule>
  </conditionalFormatting>
  <conditionalFormatting sqref="A58">
    <cfRule type="containsText" dxfId="297" priority="154" operator="containsText" text="OK">
      <formula>NOT(ISERROR(SEARCH("OK",A58)))</formula>
    </cfRule>
  </conditionalFormatting>
  <conditionalFormatting sqref="A58">
    <cfRule type="containsText" dxfId="296" priority="153" operator="containsText" text="ok">
      <formula>NOT(ISERROR(SEARCH("ok",A58)))</formula>
    </cfRule>
  </conditionalFormatting>
  <conditionalFormatting sqref="A37">
    <cfRule type="containsText" dxfId="295" priority="152" operator="containsText" text="OK">
      <formula>NOT(ISERROR(SEARCH("OK",A37)))</formula>
    </cfRule>
  </conditionalFormatting>
  <conditionalFormatting sqref="A37">
    <cfRule type="containsText" dxfId="294" priority="151" operator="containsText" text="ok">
      <formula>NOT(ISERROR(SEARCH("ok",A37)))</formula>
    </cfRule>
  </conditionalFormatting>
  <conditionalFormatting sqref="B60">
    <cfRule type="containsText" dxfId="293" priority="140" operator="containsText" text="OK">
      <formula>NOT(ISERROR(SEARCH("OK",B60)))</formula>
    </cfRule>
  </conditionalFormatting>
  <conditionalFormatting sqref="B60">
    <cfRule type="containsText" dxfId="292" priority="139" operator="containsText" text="ok">
      <formula>NOT(ISERROR(SEARCH("ok",B60)))</formula>
    </cfRule>
  </conditionalFormatting>
  <conditionalFormatting sqref="B59">
    <cfRule type="containsText" dxfId="291" priority="136" operator="containsText" text="OK">
      <formula>NOT(ISERROR(SEARCH("OK",B59)))</formula>
    </cfRule>
  </conditionalFormatting>
  <conditionalFormatting sqref="B59">
    <cfRule type="containsText" dxfId="290" priority="135" operator="containsText" text="ok">
      <formula>NOT(ISERROR(SEARCH("ok",B59)))</formula>
    </cfRule>
  </conditionalFormatting>
  <conditionalFormatting sqref="A61">
    <cfRule type="containsText" dxfId="289" priority="134" operator="containsText" text="OK">
      <formula>NOT(ISERROR(SEARCH("OK",A61)))</formula>
    </cfRule>
  </conditionalFormatting>
  <conditionalFormatting sqref="A61">
    <cfRule type="containsText" dxfId="288" priority="133" operator="containsText" text="ok">
      <formula>NOT(ISERROR(SEARCH("ok",A61)))</formula>
    </cfRule>
  </conditionalFormatting>
  <conditionalFormatting sqref="B61">
    <cfRule type="containsText" dxfId="287" priority="132" operator="containsText" text="OK">
      <formula>NOT(ISERROR(SEARCH("OK",B61)))</formula>
    </cfRule>
  </conditionalFormatting>
  <conditionalFormatting sqref="B61">
    <cfRule type="containsText" dxfId="286" priority="131" operator="containsText" text="ok">
      <formula>NOT(ISERROR(SEARCH("ok",B61)))</formula>
    </cfRule>
  </conditionalFormatting>
  <conditionalFormatting sqref="B63">
    <cfRule type="containsText" dxfId="285" priority="130" operator="containsText" text="OK">
      <formula>NOT(ISERROR(SEARCH("OK",B63)))</formula>
    </cfRule>
  </conditionalFormatting>
  <conditionalFormatting sqref="B63">
    <cfRule type="containsText" dxfId="284" priority="129" operator="containsText" text="ok">
      <formula>NOT(ISERROR(SEARCH("ok",B63)))</formula>
    </cfRule>
  </conditionalFormatting>
  <conditionalFormatting sqref="A63">
    <cfRule type="containsText" dxfId="283" priority="128" operator="containsText" text="OK">
      <formula>NOT(ISERROR(SEARCH("OK",A63)))</formula>
    </cfRule>
  </conditionalFormatting>
  <conditionalFormatting sqref="A63">
    <cfRule type="containsText" dxfId="282" priority="127" operator="containsText" text="ok">
      <formula>NOT(ISERROR(SEARCH("ok",A63)))</formula>
    </cfRule>
  </conditionalFormatting>
  <conditionalFormatting sqref="A64">
    <cfRule type="containsText" dxfId="281" priority="118" operator="containsText" text="OK">
      <formula>NOT(ISERROR(SEARCH("OK",A64)))</formula>
    </cfRule>
  </conditionalFormatting>
  <conditionalFormatting sqref="A64">
    <cfRule type="containsText" dxfId="280" priority="117" operator="containsText" text="ok">
      <formula>NOT(ISERROR(SEARCH("ok",A64)))</formula>
    </cfRule>
  </conditionalFormatting>
  <conditionalFormatting sqref="B64">
    <cfRule type="containsText" dxfId="279" priority="116" operator="containsText" text="OK">
      <formula>NOT(ISERROR(SEARCH("OK",B64)))</formula>
    </cfRule>
  </conditionalFormatting>
  <conditionalFormatting sqref="B64">
    <cfRule type="containsText" dxfId="278" priority="115" operator="containsText" text="ok">
      <formula>NOT(ISERROR(SEARCH("ok",B64)))</formula>
    </cfRule>
  </conditionalFormatting>
  <conditionalFormatting sqref="B65">
    <cfRule type="containsText" dxfId="277" priority="112" operator="containsText" text="OK">
      <formula>NOT(ISERROR(SEARCH("OK",B65)))</formula>
    </cfRule>
  </conditionalFormatting>
  <conditionalFormatting sqref="B65">
    <cfRule type="containsText" dxfId="276" priority="111" operator="containsText" text="ok">
      <formula>NOT(ISERROR(SEARCH("ok",B65)))</formula>
    </cfRule>
  </conditionalFormatting>
  <conditionalFormatting sqref="A65">
    <cfRule type="containsText" dxfId="275" priority="114" operator="containsText" text="OK">
      <formula>NOT(ISERROR(SEARCH("OK",A65)))</formula>
    </cfRule>
  </conditionalFormatting>
  <conditionalFormatting sqref="A65">
    <cfRule type="containsText" dxfId="274" priority="113" operator="containsText" text="ok">
      <formula>NOT(ISERROR(SEARCH("ok",A65)))</formula>
    </cfRule>
  </conditionalFormatting>
  <conditionalFormatting sqref="A65">
    <cfRule type="containsText" dxfId="273" priority="110" operator="containsText" text="OK">
      <formula>NOT(ISERROR(SEARCH("OK",A65)))</formula>
    </cfRule>
  </conditionalFormatting>
  <conditionalFormatting sqref="A65">
    <cfRule type="containsText" dxfId="272" priority="109" operator="containsText" text="ok">
      <formula>NOT(ISERROR(SEARCH("ok",A65)))</formula>
    </cfRule>
  </conditionalFormatting>
  <conditionalFormatting sqref="B65">
    <cfRule type="containsText" dxfId="271" priority="108" operator="containsText" text="OK">
      <formula>NOT(ISERROR(SEARCH("OK",B65)))</formula>
    </cfRule>
  </conditionalFormatting>
  <conditionalFormatting sqref="B65">
    <cfRule type="containsText" dxfId="270" priority="107" operator="containsText" text="ok">
      <formula>NOT(ISERROR(SEARCH("ok",B65)))</formula>
    </cfRule>
  </conditionalFormatting>
  <conditionalFormatting sqref="B64">
    <cfRule type="containsText" dxfId="269" priority="104" operator="containsText" text="OK">
      <formula>NOT(ISERROR(SEARCH("OK",B64)))</formula>
    </cfRule>
  </conditionalFormatting>
  <conditionalFormatting sqref="B64">
    <cfRule type="containsText" dxfId="268" priority="103" operator="containsText" text="ok">
      <formula>NOT(ISERROR(SEARCH("ok",B64)))</formula>
    </cfRule>
  </conditionalFormatting>
  <conditionalFormatting sqref="A64">
    <cfRule type="containsText" dxfId="267" priority="106" operator="containsText" text="OK">
      <formula>NOT(ISERROR(SEARCH("OK",A64)))</formula>
    </cfRule>
  </conditionalFormatting>
  <conditionalFormatting sqref="A64">
    <cfRule type="containsText" dxfId="266" priority="105" operator="containsText" text="ok">
      <formula>NOT(ISERROR(SEARCH("ok",A64)))</formula>
    </cfRule>
  </conditionalFormatting>
  <conditionalFormatting sqref="B4">
    <cfRule type="containsText" dxfId="265" priority="102" operator="containsText" text="OK">
      <formula>NOT(ISERROR(SEARCH("OK",B4)))</formula>
    </cfRule>
  </conditionalFormatting>
  <conditionalFormatting sqref="B4">
    <cfRule type="containsText" dxfId="264" priority="101" operator="containsText" text="ok">
      <formula>NOT(ISERROR(SEARCH("ok",B4)))</formula>
    </cfRule>
  </conditionalFormatting>
  <conditionalFormatting sqref="A4">
    <cfRule type="containsText" dxfId="263" priority="100" operator="containsText" text="OK">
      <formula>NOT(ISERROR(SEARCH("OK",A4)))</formula>
    </cfRule>
  </conditionalFormatting>
  <conditionalFormatting sqref="A4">
    <cfRule type="containsText" dxfId="262" priority="99" operator="containsText" text="ok">
      <formula>NOT(ISERROR(SEARCH("ok",A4)))</formula>
    </cfRule>
  </conditionalFormatting>
  <conditionalFormatting sqref="A5">
    <cfRule type="containsText" dxfId="261" priority="98" operator="containsText" text="OK">
      <formula>NOT(ISERROR(SEARCH("OK",A5)))</formula>
    </cfRule>
  </conditionalFormatting>
  <conditionalFormatting sqref="A5">
    <cfRule type="containsText" dxfId="260" priority="97" operator="containsText" text="ok">
      <formula>NOT(ISERROR(SEARCH("ok",A5)))</formula>
    </cfRule>
  </conditionalFormatting>
  <conditionalFormatting sqref="B5">
    <cfRule type="containsText" dxfId="259" priority="96" operator="containsText" text="OK">
      <formula>NOT(ISERROR(SEARCH("OK",B5)))</formula>
    </cfRule>
  </conditionalFormatting>
  <conditionalFormatting sqref="B5">
    <cfRule type="containsText" dxfId="258" priority="95" operator="containsText" text="ok">
      <formula>NOT(ISERROR(SEARCH("ok",B5)))</formula>
    </cfRule>
  </conditionalFormatting>
  <conditionalFormatting sqref="B6">
    <cfRule type="containsText" dxfId="257" priority="92" operator="containsText" text="OK">
      <formula>NOT(ISERROR(SEARCH("OK",B6)))</formula>
    </cfRule>
  </conditionalFormatting>
  <conditionalFormatting sqref="B6">
    <cfRule type="containsText" dxfId="256" priority="91" operator="containsText" text="ok">
      <formula>NOT(ISERROR(SEARCH("ok",B6)))</formula>
    </cfRule>
  </conditionalFormatting>
  <conditionalFormatting sqref="B6">
    <cfRule type="containsText" dxfId="255" priority="88" operator="containsText" text="OK">
      <formula>NOT(ISERROR(SEARCH("OK",B6)))</formula>
    </cfRule>
  </conditionalFormatting>
  <conditionalFormatting sqref="B6">
    <cfRule type="containsText" dxfId="254" priority="87" operator="containsText" text="ok">
      <formula>NOT(ISERROR(SEARCH("ok",B6)))</formula>
    </cfRule>
  </conditionalFormatting>
  <conditionalFormatting sqref="B5">
    <cfRule type="containsText" dxfId="253" priority="84" operator="containsText" text="OK">
      <formula>NOT(ISERROR(SEARCH("OK",B5)))</formula>
    </cfRule>
  </conditionalFormatting>
  <conditionalFormatting sqref="B5">
    <cfRule type="containsText" dxfId="252" priority="83" operator="containsText" text="ok">
      <formula>NOT(ISERROR(SEARCH("ok",B5)))</formula>
    </cfRule>
  </conditionalFormatting>
  <conditionalFormatting sqref="A5">
    <cfRule type="containsText" dxfId="251" priority="86" operator="containsText" text="OK">
      <formula>NOT(ISERROR(SEARCH("OK",A5)))</formula>
    </cfRule>
  </conditionalFormatting>
  <conditionalFormatting sqref="A5">
    <cfRule type="containsText" dxfId="250" priority="85" operator="containsText" text="ok">
      <formula>NOT(ISERROR(SEARCH("ok",A5)))</formula>
    </cfRule>
  </conditionalFormatting>
  <conditionalFormatting sqref="A30">
    <cfRule type="containsText" dxfId="249" priority="82" operator="containsText" text="OK">
      <formula>NOT(ISERROR(SEARCH("OK",A30)))</formula>
    </cfRule>
  </conditionalFormatting>
  <conditionalFormatting sqref="A30">
    <cfRule type="containsText" dxfId="248" priority="81" operator="containsText" text="ok">
      <formula>NOT(ISERROR(SEARCH("ok",A30)))</formula>
    </cfRule>
  </conditionalFormatting>
  <conditionalFormatting sqref="A31">
    <cfRule type="containsText" dxfId="247" priority="80" operator="containsText" text="OK">
      <formula>NOT(ISERROR(SEARCH("OK",A31)))</formula>
    </cfRule>
  </conditionalFormatting>
  <conditionalFormatting sqref="A31">
    <cfRule type="containsText" dxfId="246" priority="79" operator="containsText" text="ok">
      <formula>NOT(ISERROR(SEARCH("ok",A31)))</formula>
    </cfRule>
  </conditionalFormatting>
  <conditionalFormatting sqref="A32">
    <cfRule type="containsText" dxfId="245" priority="78" operator="containsText" text="OK">
      <formula>NOT(ISERROR(SEARCH("OK",A32)))</formula>
    </cfRule>
  </conditionalFormatting>
  <conditionalFormatting sqref="A32">
    <cfRule type="containsText" dxfId="244" priority="77" operator="containsText" text="ok">
      <formula>NOT(ISERROR(SEARCH("ok",A32)))</formula>
    </cfRule>
  </conditionalFormatting>
  <conditionalFormatting sqref="A33">
    <cfRule type="containsText" dxfId="243" priority="76" operator="containsText" text="OK">
      <formula>NOT(ISERROR(SEARCH("OK",A33)))</formula>
    </cfRule>
  </conditionalFormatting>
  <conditionalFormatting sqref="A33">
    <cfRule type="containsText" dxfId="242" priority="75" operator="containsText" text="ok">
      <formula>NOT(ISERROR(SEARCH("ok",A33)))</formula>
    </cfRule>
  </conditionalFormatting>
  <conditionalFormatting sqref="A34">
    <cfRule type="containsText" dxfId="241" priority="74" operator="containsText" text="OK">
      <formula>NOT(ISERROR(SEARCH("OK",A34)))</formula>
    </cfRule>
  </conditionalFormatting>
  <conditionalFormatting sqref="A34">
    <cfRule type="containsText" dxfId="240" priority="73" operator="containsText" text="ok">
      <formula>NOT(ISERROR(SEARCH("ok",A34)))</formula>
    </cfRule>
  </conditionalFormatting>
  <conditionalFormatting sqref="A35">
    <cfRule type="containsText" dxfId="239" priority="72" operator="containsText" text="OK">
      <formula>NOT(ISERROR(SEARCH("OK",A35)))</formula>
    </cfRule>
  </conditionalFormatting>
  <conditionalFormatting sqref="A35">
    <cfRule type="containsText" dxfId="238" priority="71" operator="containsText" text="ok">
      <formula>NOT(ISERROR(SEARCH("ok",A35)))</formula>
    </cfRule>
  </conditionalFormatting>
  <conditionalFormatting sqref="A36">
    <cfRule type="containsText" dxfId="237" priority="70" operator="containsText" text="OK">
      <formula>NOT(ISERROR(SEARCH("OK",A36)))</formula>
    </cfRule>
  </conditionalFormatting>
  <conditionalFormatting sqref="A36">
    <cfRule type="containsText" dxfId="236" priority="69" operator="containsText" text="ok">
      <formula>NOT(ISERROR(SEARCH("ok",A36)))</formula>
    </cfRule>
  </conditionalFormatting>
  <conditionalFormatting sqref="A38">
    <cfRule type="containsText" dxfId="235" priority="68" operator="containsText" text="OK">
      <formula>NOT(ISERROR(SEARCH("OK",A38)))</formula>
    </cfRule>
  </conditionalFormatting>
  <conditionalFormatting sqref="A38">
    <cfRule type="containsText" dxfId="234" priority="67" operator="containsText" text="ok">
      <formula>NOT(ISERROR(SEARCH("ok",A38)))</formula>
    </cfRule>
  </conditionalFormatting>
  <conditionalFormatting sqref="A36">
    <cfRule type="containsText" dxfId="233" priority="66" operator="containsText" text="OK">
      <formula>NOT(ISERROR(SEARCH("OK",A36)))</formula>
    </cfRule>
  </conditionalFormatting>
  <conditionalFormatting sqref="A36">
    <cfRule type="containsText" dxfId="232" priority="65" operator="containsText" text="ok">
      <formula>NOT(ISERROR(SEARCH("ok",A36)))</formula>
    </cfRule>
  </conditionalFormatting>
  <conditionalFormatting sqref="A37">
    <cfRule type="containsText" dxfId="231" priority="64" operator="containsText" text="OK">
      <formula>NOT(ISERROR(SEARCH("OK",A37)))</formula>
    </cfRule>
  </conditionalFormatting>
  <conditionalFormatting sqref="A37">
    <cfRule type="containsText" dxfId="230" priority="63" operator="containsText" text="ok">
      <formula>NOT(ISERROR(SEARCH("ok",A37)))</formula>
    </cfRule>
  </conditionalFormatting>
  <conditionalFormatting sqref="A44:A45">
    <cfRule type="containsText" dxfId="229" priority="62" operator="containsText" text="OK">
      <formula>NOT(ISERROR(SEARCH("OK",A44)))</formula>
    </cfRule>
  </conditionalFormatting>
  <conditionalFormatting sqref="A44:A45">
    <cfRule type="containsText" dxfId="228" priority="61" operator="containsText" text="ok">
      <formula>NOT(ISERROR(SEARCH("ok",A44)))</formula>
    </cfRule>
  </conditionalFormatting>
  <conditionalFormatting sqref="A44">
    <cfRule type="containsText" dxfId="227" priority="60" operator="containsText" text="OK">
      <formula>NOT(ISERROR(SEARCH("OK",A44)))</formula>
    </cfRule>
  </conditionalFormatting>
  <conditionalFormatting sqref="A44">
    <cfRule type="containsText" dxfId="226" priority="59" operator="containsText" text="ok">
      <formula>NOT(ISERROR(SEARCH("ok",A44)))</formula>
    </cfRule>
  </conditionalFormatting>
  <conditionalFormatting sqref="A41">
    <cfRule type="containsText" dxfId="225" priority="58" operator="containsText" text="OK">
      <formula>NOT(ISERROR(SEARCH("OK",A41)))</formula>
    </cfRule>
  </conditionalFormatting>
  <conditionalFormatting sqref="A41">
    <cfRule type="containsText" dxfId="224" priority="57" operator="containsText" text="ok">
      <formula>NOT(ISERROR(SEARCH("ok",A41)))</formula>
    </cfRule>
  </conditionalFormatting>
  <conditionalFormatting sqref="A42">
    <cfRule type="containsText" dxfId="223" priority="56" operator="containsText" text="OK">
      <formula>NOT(ISERROR(SEARCH("OK",A42)))</formula>
    </cfRule>
  </conditionalFormatting>
  <conditionalFormatting sqref="A42">
    <cfRule type="containsText" dxfId="222" priority="55" operator="containsText" text="ok">
      <formula>NOT(ISERROR(SEARCH("ok",A42)))</formula>
    </cfRule>
  </conditionalFormatting>
  <conditionalFormatting sqref="A43">
    <cfRule type="containsText" dxfId="221" priority="54" operator="containsText" text="OK">
      <formula>NOT(ISERROR(SEARCH("OK",A43)))</formula>
    </cfRule>
  </conditionalFormatting>
  <conditionalFormatting sqref="A43">
    <cfRule type="containsText" dxfId="220" priority="53" operator="containsText" text="ok">
      <formula>NOT(ISERROR(SEARCH("ok",A43)))</formula>
    </cfRule>
  </conditionalFormatting>
  <conditionalFormatting sqref="A45">
    <cfRule type="containsText" dxfId="219" priority="52" operator="containsText" text="OK">
      <formula>NOT(ISERROR(SEARCH("OK",A45)))</formula>
    </cfRule>
  </conditionalFormatting>
  <conditionalFormatting sqref="A45">
    <cfRule type="containsText" dxfId="218" priority="51" operator="containsText" text="ok">
      <formula>NOT(ISERROR(SEARCH("ok",A45)))</formula>
    </cfRule>
  </conditionalFormatting>
  <conditionalFormatting sqref="A43">
    <cfRule type="containsText" dxfId="217" priority="50" operator="containsText" text="OK">
      <formula>NOT(ISERROR(SEARCH("OK",A43)))</formula>
    </cfRule>
  </conditionalFormatting>
  <conditionalFormatting sqref="A43">
    <cfRule type="containsText" dxfId="216" priority="49" operator="containsText" text="ok">
      <formula>NOT(ISERROR(SEARCH("ok",A43)))</formula>
    </cfRule>
  </conditionalFormatting>
  <conditionalFormatting sqref="A44">
    <cfRule type="containsText" dxfId="215" priority="48" operator="containsText" text="OK">
      <formula>NOT(ISERROR(SEARCH("OK",A44)))</formula>
    </cfRule>
  </conditionalFormatting>
  <conditionalFormatting sqref="A44">
    <cfRule type="containsText" dxfId="214" priority="47" operator="containsText" text="ok">
      <formula>NOT(ISERROR(SEARCH("ok",A44)))</formula>
    </cfRule>
  </conditionalFormatting>
  <conditionalFormatting sqref="A46">
    <cfRule type="containsText" dxfId="213" priority="46" operator="containsText" text="OK">
      <formula>NOT(ISERROR(SEARCH("OK",A46)))</formula>
    </cfRule>
  </conditionalFormatting>
  <conditionalFormatting sqref="A46">
    <cfRule type="containsText" dxfId="212" priority="45" operator="containsText" text="ok">
      <formula>NOT(ISERROR(SEARCH("ok",A46)))</formula>
    </cfRule>
  </conditionalFormatting>
  <conditionalFormatting sqref="A46">
    <cfRule type="containsText" dxfId="211" priority="44" operator="containsText" text="OK">
      <formula>NOT(ISERROR(SEARCH("OK",A46)))</formula>
    </cfRule>
  </conditionalFormatting>
  <conditionalFormatting sqref="A46">
    <cfRule type="containsText" dxfId="210" priority="43" operator="containsText" text="ok">
      <formula>NOT(ISERROR(SEARCH("ok",A46)))</formula>
    </cfRule>
  </conditionalFormatting>
  <conditionalFormatting sqref="A59">
    <cfRule type="containsText" dxfId="209" priority="42" operator="containsText" text="OK">
      <formula>NOT(ISERROR(SEARCH("OK",A59)))</formula>
    </cfRule>
  </conditionalFormatting>
  <conditionalFormatting sqref="A59">
    <cfRule type="containsText" dxfId="208" priority="41" operator="containsText" text="ok">
      <formula>NOT(ISERROR(SEARCH("ok",A59)))</formula>
    </cfRule>
  </conditionalFormatting>
  <conditionalFormatting sqref="A60">
    <cfRule type="containsText" dxfId="207" priority="40" operator="containsText" text="OK">
      <formula>NOT(ISERROR(SEARCH("OK",A60)))</formula>
    </cfRule>
  </conditionalFormatting>
  <conditionalFormatting sqref="A60">
    <cfRule type="containsText" dxfId="206" priority="39" operator="containsText" text="ok">
      <formula>NOT(ISERROR(SEARCH("ok",A60)))</formula>
    </cfRule>
  </conditionalFormatting>
  <conditionalFormatting sqref="A95">
    <cfRule type="containsText" dxfId="205" priority="38" operator="containsText" text="OK">
      <formula>NOT(ISERROR(SEARCH("OK",A95)))</formula>
    </cfRule>
  </conditionalFormatting>
  <conditionalFormatting sqref="A95">
    <cfRule type="containsText" dxfId="204" priority="37" operator="containsText" text="ok">
      <formula>NOT(ISERROR(SEARCH("ok",A95)))</formula>
    </cfRule>
  </conditionalFormatting>
  <conditionalFormatting sqref="A6">
    <cfRule type="containsText" dxfId="203" priority="36" operator="containsText" text="OK">
      <formula>NOT(ISERROR(SEARCH("OK",A6)))</formula>
    </cfRule>
  </conditionalFormatting>
  <conditionalFormatting sqref="A6">
    <cfRule type="containsText" dxfId="202" priority="35" operator="containsText" text="ok">
      <formula>NOT(ISERROR(SEARCH("ok",A6)))</formula>
    </cfRule>
  </conditionalFormatting>
  <conditionalFormatting sqref="A6">
    <cfRule type="containsText" dxfId="201" priority="34" operator="containsText" text="OK">
      <formula>NOT(ISERROR(SEARCH("OK",A6)))</formula>
    </cfRule>
  </conditionalFormatting>
  <conditionalFormatting sqref="A6">
    <cfRule type="containsText" dxfId="200" priority="33" operator="containsText" text="ok">
      <formula>NOT(ISERROR(SEARCH("ok",A6)))</formula>
    </cfRule>
  </conditionalFormatting>
  <conditionalFormatting sqref="A7">
    <cfRule type="containsText" dxfId="199" priority="32" operator="containsText" text="OK">
      <formula>NOT(ISERROR(SEARCH("OK",A7)))</formula>
    </cfRule>
  </conditionalFormatting>
  <conditionalFormatting sqref="A7">
    <cfRule type="containsText" dxfId="198" priority="31" operator="containsText" text="ok">
      <formula>NOT(ISERROR(SEARCH("ok",A7)))</formula>
    </cfRule>
  </conditionalFormatting>
  <conditionalFormatting sqref="A7">
    <cfRule type="containsText" dxfId="197" priority="30" operator="containsText" text="OK">
      <formula>NOT(ISERROR(SEARCH("OK",A7)))</formula>
    </cfRule>
  </conditionalFormatting>
  <conditionalFormatting sqref="A7">
    <cfRule type="containsText" dxfId="196" priority="29" operator="containsText" text="ok">
      <formula>NOT(ISERROR(SEARCH("ok",A7)))</formula>
    </cfRule>
  </conditionalFormatting>
  <conditionalFormatting sqref="A8">
    <cfRule type="containsText" dxfId="195" priority="28" operator="containsText" text="OK">
      <formula>NOT(ISERROR(SEARCH("OK",A8)))</formula>
    </cfRule>
  </conditionalFormatting>
  <conditionalFormatting sqref="A8">
    <cfRule type="containsText" dxfId="194" priority="27" operator="containsText" text="ok">
      <formula>NOT(ISERROR(SEARCH("ok",A8)))</formula>
    </cfRule>
  </conditionalFormatting>
  <conditionalFormatting sqref="A8">
    <cfRule type="containsText" dxfId="193" priority="26" operator="containsText" text="OK">
      <formula>NOT(ISERROR(SEARCH("OK",A8)))</formula>
    </cfRule>
  </conditionalFormatting>
  <conditionalFormatting sqref="A8">
    <cfRule type="containsText" dxfId="192" priority="25" operator="containsText" text="ok">
      <formula>NOT(ISERROR(SEARCH("ok",A8)))</formula>
    </cfRule>
  </conditionalFormatting>
  <conditionalFormatting sqref="A9">
    <cfRule type="containsText" dxfId="191" priority="24" operator="containsText" text="OK">
      <formula>NOT(ISERROR(SEARCH("OK",A9)))</formula>
    </cfRule>
  </conditionalFormatting>
  <conditionalFormatting sqref="A9">
    <cfRule type="containsText" dxfId="190" priority="23" operator="containsText" text="ok">
      <formula>NOT(ISERROR(SEARCH("ok",A9)))</formula>
    </cfRule>
  </conditionalFormatting>
  <conditionalFormatting sqref="A9">
    <cfRule type="containsText" dxfId="189" priority="22" operator="containsText" text="OK">
      <formula>NOT(ISERROR(SEARCH("OK",A9)))</formula>
    </cfRule>
  </conditionalFormatting>
  <conditionalFormatting sqref="A9">
    <cfRule type="containsText" dxfId="188" priority="21" operator="containsText" text="ok">
      <formula>NOT(ISERROR(SEARCH("ok",A9)))</formula>
    </cfRule>
  </conditionalFormatting>
  <conditionalFormatting sqref="A23">
    <cfRule type="containsText" dxfId="187" priority="20" operator="containsText" text="OK">
      <formula>NOT(ISERROR(SEARCH("OK",A23)))</formula>
    </cfRule>
  </conditionalFormatting>
  <conditionalFormatting sqref="A23">
    <cfRule type="containsText" dxfId="186" priority="19" operator="containsText" text="ok">
      <formula>NOT(ISERROR(SEARCH("ok",A23)))</formula>
    </cfRule>
  </conditionalFormatting>
  <conditionalFormatting sqref="A22">
    <cfRule type="containsText" dxfId="185" priority="18" operator="containsText" text="OK">
      <formula>NOT(ISERROR(SEARCH("OK",A22)))</formula>
    </cfRule>
  </conditionalFormatting>
  <conditionalFormatting sqref="A22">
    <cfRule type="containsText" dxfId="184" priority="17" operator="containsText" text="ok">
      <formula>NOT(ISERROR(SEARCH("ok",A22)))</formula>
    </cfRule>
  </conditionalFormatting>
  <conditionalFormatting sqref="A47">
    <cfRule type="containsText" dxfId="183" priority="16" operator="containsText" text="OK">
      <formula>NOT(ISERROR(SEARCH("OK",A47)))</formula>
    </cfRule>
  </conditionalFormatting>
  <conditionalFormatting sqref="A47">
    <cfRule type="containsText" dxfId="182" priority="15" operator="containsText" text="ok">
      <formula>NOT(ISERROR(SEARCH("ok",A47)))</formula>
    </cfRule>
  </conditionalFormatting>
  <conditionalFormatting sqref="A47">
    <cfRule type="containsText" dxfId="181" priority="14" operator="containsText" text="OK">
      <formula>NOT(ISERROR(SEARCH("OK",A47)))</formula>
    </cfRule>
  </conditionalFormatting>
  <conditionalFormatting sqref="A47">
    <cfRule type="containsText" dxfId="180" priority="13" operator="containsText" text="ok">
      <formula>NOT(ISERROR(SEARCH("ok",A47)))</formula>
    </cfRule>
  </conditionalFormatting>
  <conditionalFormatting sqref="A48">
    <cfRule type="containsText" dxfId="179" priority="12" operator="containsText" text="OK">
      <formula>NOT(ISERROR(SEARCH("OK",A48)))</formula>
    </cfRule>
  </conditionalFormatting>
  <conditionalFormatting sqref="A48">
    <cfRule type="containsText" dxfId="178" priority="11" operator="containsText" text="ok">
      <formula>NOT(ISERROR(SEARCH("ok",A48)))</formula>
    </cfRule>
  </conditionalFormatting>
  <conditionalFormatting sqref="A48">
    <cfRule type="containsText" dxfId="177" priority="10" operator="containsText" text="OK">
      <formula>NOT(ISERROR(SEARCH("OK",A48)))</formula>
    </cfRule>
  </conditionalFormatting>
  <conditionalFormatting sqref="A48">
    <cfRule type="containsText" dxfId="176" priority="9" operator="containsText" text="ok">
      <formula>NOT(ISERROR(SEARCH("ok",A48)))</formula>
    </cfRule>
  </conditionalFormatting>
  <conditionalFormatting sqref="A49">
    <cfRule type="containsText" dxfId="175" priority="8" operator="containsText" text="OK">
      <formula>NOT(ISERROR(SEARCH("OK",A49)))</formula>
    </cfRule>
  </conditionalFormatting>
  <conditionalFormatting sqref="A49">
    <cfRule type="containsText" dxfId="174" priority="7" operator="containsText" text="ok">
      <formula>NOT(ISERROR(SEARCH("ok",A49)))</formula>
    </cfRule>
  </conditionalFormatting>
  <conditionalFormatting sqref="A49">
    <cfRule type="containsText" dxfId="173" priority="6" operator="containsText" text="OK">
      <formula>NOT(ISERROR(SEARCH("OK",A49)))</formula>
    </cfRule>
  </conditionalFormatting>
  <conditionalFormatting sqref="A49">
    <cfRule type="containsText" dxfId="172" priority="5" operator="containsText" text="ok">
      <formula>NOT(ISERROR(SEARCH("ok",A49)))</formula>
    </cfRule>
  </conditionalFormatting>
  <conditionalFormatting sqref="A50">
    <cfRule type="containsText" dxfId="171" priority="4" operator="containsText" text="OK">
      <formula>NOT(ISERROR(SEARCH("OK",A50)))</formula>
    </cfRule>
  </conditionalFormatting>
  <conditionalFormatting sqref="A50">
    <cfRule type="containsText" dxfId="170" priority="3" operator="containsText" text="ok">
      <formula>NOT(ISERROR(SEARCH("ok",A50)))</formula>
    </cfRule>
  </conditionalFormatting>
  <conditionalFormatting sqref="A50">
    <cfRule type="containsText" dxfId="169" priority="2" operator="containsText" text="OK">
      <formula>NOT(ISERROR(SEARCH("OK",A50)))</formula>
    </cfRule>
  </conditionalFormatting>
  <conditionalFormatting sqref="A50">
    <cfRule type="containsText" dxfId="168" priority="1" operator="containsText" text="ok">
      <formula>NOT(ISERROR(SEARCH("ok",A50)))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32" max="16383" man="1"/>
  </rowBreaks>
  <colBreaks count="1" manualBreakCount="1">
    <brk id="1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48434"/>
  <sheetViews>
    <sheetView zoomScale="86" zoomScaleNormal="86" workbookViewId="0">
      <pane xSplit="3" ySplit="3" topLeftCell="D48" activePane="bottomRight" state="frozen"/>
      <selection activeCell="L13" sqref="L13:L16"/>
      <selection pane="topRight" activeCell="L13" sqref="L13:L16"/>
      <selection pane="bottomLeft" activeCell="L13" sqref="L13:L16"/>
      <selection pane="bottomRight" activeCell="L13" sqref="L13:L16"/>
    </sheetView>
  </sheetViews>
  <sheetFormatPr defaultColWidth="9.1796875" defaultRowHeight="14.5" x14ac:dyDescent="0.35"/>
  <cols>
    <col min="1" max="1" width="8" style="228" customWidth="1"/>
    <col min="2" max="2" width="11.26953125" style="20" hidden="1" customWidth="1"/>
    <col min="3" max="3" width="42.7265625" style="187" customWidth="1"/>
    <col min="4" max="4" width="14.54296875" style="187" bestFit="1" customWidth="1"/>
    <col min="5" max="5" width="13.1796875" style="187" bestFit="1" customWidth="1"/>
    <col min="6" max="6" width="13.26953125" style="5" bestFit="1" customWidth="1"/>
    <col min="7" max="7" width="14.453125" style="6" bestFit="1" customWidth="1"/>
    <col min="8" max="8" width="8.81640625" style="187" hidden="1" customWidth="1"/>
    <col min="9" max="9" width="13.26953125" style="187" hidden="1" customWidth="1"/>
    <col min="10" max="11" width="14.81640625" style="187" hidden="1" customWidth="1"/>
    <col min="12" max="12" width="15.7265625" style="225" bestFit="1" customWidth="1"/>
    <col min="13" max="14" width="15.7265625" style="187" customWidth="1"/>
    <col min="15" max="15" width="16" style="191" hidden="1" customWidth="1"/>
    <col min="16" max="16" width="17" style="191" hidden="1" customWidth="1"/>
    <col min="17" max="17" width="16.26953125" style="191" hidden="1" customWidth="1"/>
    <col min="18" max="18" width="19.26953125" style="191" hidden="1" customWidth="1"/>
    <col min="19" max="19" width="16.81640625" style="191" hidden="1" customWidth="1"/>
    <col min="20" max="20" width="13.26953125" style="187" hidden="1" customWidth="1"/>
    <col min="21" max="21" width="10.26953125" style="7" hidden="1" customWidth="1"/>
    <col min="22" max="22" width="9.81640625" style="187" hidden="1" customWidth="1"/>
    <col min="23" max="23" width="18.81640625" style="187" hidden="1" customWidth="1"/>
    <col min="24" max="24" width="30.26953125" style="187" customWidth="1"/>
    <col min="25" max="25" width="14.7265625" style="187" bestFit="1" customWidth="1"/>
    <col min="26" max="26" width="5" style="187" bestFit="1" customWidth="1"/>
    <col min="27" max="27" width="14.26953125" style="187" customWidth="1"/>
    <col min="28" max="28" width="14" style="187" bestFit="1" customWidth="1"/>
    <col min="29" max="16384" width="9.1796875" style="187"/>
  </cols>
  <sheetData>
    <row r="1" spans="1:27" x14ac:dyDescent="0.35">
      <c r="A1" s="226" t="s">
        <v>2</v>
      </c>
      <c r="B1" s="192" t="s">
        <v>2</v>
      </c>
      <c r="C1" s="193"/>
      <c r="D1" s="320">
        <f>D102</f>
        <v>180</v>
      </c>
      <c r="E1" s="193"/>
      <c r="F1" s="193"/>
      <c r="G1" s="193"/>
      <c r="H1" s="193"/>
      <c r="I1" s="193"/>
      <c r="J1" s="193"/>
      <c r="K1" s="193"/>
      <c r="L1" s="22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</row>
    <row r="2" spans="1:27" ht="15.75" customHeight="1" x14ac:dyDescent="0.35">
      <c r="A2" s="717" t="s">
        <v>14</v>
      </c>
      <c r="B2" s="719" t="s">
        <v>114</v>
      </c>
      <c r="C2" s="719" t="s">
        <v>467</v>
      </c>
      <c r="D2" s="720" t="s">
        <v>12</v>
      </c>
      <c r="E2" s="720"/>
      <c r="F2" s="720"/>
      <c r="G2" s="720"/>
      <c r="H2" s="721" t="s">
        <v>13</v>
      </c>
      <c r="I2" s="721"/>
      <c r="J2" s="721"/>
      <c r="K2" s="729" t="s">
        <v>109</v>
      </c>
      <c r="L2" s="722" t="s">
        <v>4</v>
      </c>
      <c r="M2" s="726" t="s">
        <v>108</v>
      </c>
      <c r="N2" s="728" t="s">
        <v>105</v>
      </c>
      <c r="O2" s="723" t="s">
        <v>90</v>
      </c>
      <c r="P2" s="724"/>
      <c r="Q2" s="724"/>
      <c r="R2" s="724"/>
      <c r="S2" s="725"/>
      <c r="T2" s="718" t="s">
        <v>5</v>
      </c>
      <c r="U2" s="718" t="s">
        <v>6</v>
      </c>
      <c r="V2" s="718" t="s">
        <v>7</v>
      </c>
      <c r="W2" s="252" t="s">
        <v>16</v>
      </c>
      <c r="X2" s="718" t="s">
        <v>16</v>
      </c>
    </row>
    <row r="3" spans="1:27" ht="29.5" thickBot="1" x14ac:dyDescent="0.4">
      <c r="A3" s="717"/>
      <c r="B3" s="719"/>
      <c r="C3" s="719"/>
      <c r="D3" s="243" t="s">
        <v>104</v>
      </c>
      <c r="E3" s="244" t="s">
        <v>119</v>
      </c>
      <c r="F3" s="27" t="s">
        <v>11</v>
      </c>
      <c r="G3" s="28" t="s">
        <v>4</v>
      </c>
      <c r="H3" s="26" t="s">
        <v>8</v>
      </c>
      <c r="I3" s="27" t="s">
        <v>9</v>
      </c>
      <c r="J3" s="28" t="s">
        <v>4</v>
      </c>
      <c r="K3" s="729"/>
      <c r="L3" s="722"/>
      <c r="M3" s="726"/>
      <c r="N3" s="728"/>
      <c r="O3" s="727" t="s">
        <v>85</v>
      </c>
      <c r="P3" s="195" t="s">
        <v>86</v>
      </c>
      <c r="Q3" s="195" t="s">
        <v>87</v>
      </c>
      <c r="R3" s="196" t="s">
        <v>88</v>
      </c>
      <c r="S3" s="196" t="s">
        <v>89</v>
      </c>
      <c r="T3" s="718"/>
      <c r="U3" s="718"/>
      <c r="V3" s="718"/>
      <c r="W3" s="252"/>
      <c r="X3" s="718"/>
      <c r="Y3" s="8"/>
    </row>
    <row r="4" spans="1:27" ht="15" customHeight="1" x14ac:dyDescent="0.35">
      <c r="A4" s="245">
        <v>45261</v>
      </c>
      <c r="B4" s="246"/>
      <c r="C4" s="212" t="s">
        <v>330</v>
      </c>
      <c r="D4" s="15">
        <v>6</v>
      </c>
      <c r="E4" s="15"/>
      <c r="F4" s="9">
        <v>820</v>
      </c>
      <c r="G4" s="29">
        <f t="shared" ref="G4:G67" si="0">(F4*D4)+(E4*F4)</f>
        <v>4920</v>
      </c>
      <c r="H4" s="11"/>
      <c r="I4" s="10"/>
      <c r="J4" s="29">
        <f t="shared" ref="J4:J67" si="1">H4*I4</f>
        <v>0</v>
      </c>
      <c r="K4" s="29"/>
      <c r="L4" s="223">
        <f>(J4+G4)-K4</f>
        <v>4920</v>
      </c>
      <c r="M4" s="12"/>
      <c r="N4" s="218" t="str">
        <f>IF(M4&gt;0,SUM(L4-M4)," ")</f>
        <v xml:space="preserve"> </v>
      </c>
      <c r="O4" s="727"/>
      <c r="P4" s="189"/>
      <c r="Q4" s="189"/>
      <c r="R4" s="189" t="str">
        <f>IF(O4&gt;0,SUM(O4-(L4+P4))," ")</f>
        <v xml:space="preserve"> </v>
      </c>
      <c r="S4" s="189"/>
      <c r="T4" s="253" t="s">
        <v>1</v>
      </c>
      <c r="U4" s="13">
        <v>0</v>
      </c>
      <c r="V4" s="253" t="s">
        <v>10</v>
      </c>
      <c r="W4" s="253"/>
      <c r="X4" s="14"/>
    </row>
    <row r="5" spans="1:27" ht="15" customHeight="1" x14ac:dyDescent="0.35">
      <c r="A5" s="245">
        <v>45262</v>
      </c>
      <c r="B5" s="246"/>
      <c r="C5" s="212" t="s">
        <v>322</v>
      </c>
      <c r="D5" s="15">
        <v>1</v>
      </c>
      <c r="E5" s="15"/>
      <c r="F5" s="9">
        <v>850</v>
      </c>
      <c r="G5" s="29">
        <f t="shared" si="0"/>
        <v>850</v>
      </c>
      <c r="H5" s="11"/>
      <c r="I5" s="10"/>
      <c r="J5" s="29">
        <f t="shared" si="1"/>
        <v>0</v>
      </c>
      <c r="K5" s="29"/>
      <c r="L5" s="223">
        <f t="shared" ref="L5:L68" si="2">(J5+G5)-K5</f>
        <v>850</v>
      </c>
      <c r="M5" s="12"/>
      <c r="N5" s="218" t="str">
        <f t="shared" ref="N5:N61" si="3">IF(M5&gt;0,SUM(L5-M5)," ")</f>
        <v xml:space="preserve"> </v>
      </c>
      <c r="O5" s="189"/>
      <c r="P5" s="189"/>
      <c r="Q5" s="189"/>
      <c r="R5" s="189" t="str">
        <f t="shared" ref="R5:R100" si="4">IF(O5&gt;0,SUM(O5-(L5+P5))," ")</f>
        <v xml:space="preserve"> </v>
      </c>
      <c r="S5" s="189"/>
      <c r="T5" s="253" t="s">
        <v>1</v>
      </c>
      <c r="U5" s="13">
        <v>0</v>
      </c>
      <c r="V5" s="253" t="s">
        <v>10</v>
      </c>
      <c r="W5" s="253"/>
      <c r="X5" s="14"/>
    </row>
    <row r="6" spans="1:27" ht="15" customHeight="1" x14ac:dyDescent="0.35">
      <c r="A6" s="245">
        <v>45264</v>
      </c>
      <c r="B6" s="246"/>
      <c r="C6" s="211" t="s">
        <v>349</v>
      </c>
      <c r="D6" s="15"/>
      <c r="E6" s="15">
        <v>2</v>
      </c>
      <c r="F6" s="9">
        <v>820</v>
      </c>
      <c r="G6" s="29">
        <f t="shared" si="0"/>
        <v>1640</v>
      </c>
      <c r="H6" s="11"/>
      <c r="I6" s="10"/>
      <c r="J6" s="29">
        <f t="shared" si="1"/>
        <v>0</v>
      </c>
      <c r="K6" s="29"/>
      <c r="L6" s="223">
        <f t="shared" si="2"/>
        <v>1640</v>
      </c>
      <c r="M6" s="213"/>
      <c r="N6" s="218" t="str">
        <f t="shared" si="3"/>
        <v xml:space="preserve"> </v>
      </c>
      <c r="O6" s="189"/>
      <c r="P6" s="189"/>
      <c r="Q6" s="189"/>
      <c r="R6" s="189" t="str">
        <f t="shared" si="4"/>
        <v xml:space="preserve"> </v>
      </c>
      <c r="S6" s="189"/>
      <c r="T6" s="253" t="s">
        <v>1</v>
      </c>
      <c r="U6" s="13">
        <v>0</v>
      </c>
      <c r="V6" s="253" t="s">
        <v>10</v>
      </c>
      <c r="W6" s="253"/>
      <c r="X6" s="17"/>
    </row>
    <row r="7" spans="1:27" ht="15" customHeight="1" x14ac:dyDescent="0.35">
      <c r="A7" s="245">
        <v>45264</v>
      </c>
      <c r="B7" s="245"/>
      <c r="C7" s="211" t="s">
        <v>349</v>
      </c>
      <c r="D7" s="15"/>
      <c r="E7" s="15">
        <v>2</v>
      </c>
      <c r="F7" s="9">
        <v>820</v>
      </c>
      <c r="G7" s="29">
        <f t="shared" si="0"/>
        <v>1640</v>
      </c>
      <c r="H7" s="11"/>
      <c r="I7" s="10"/>
      <c r="J7" s="29">
        <f t="shared" si="1"/>
        <v>0</v>
      </c>
      <c r="K7" s="29"/>
      <c r="L7" s="223">
        <f t="shared" si="2"/>
        <v>1640</v>
      </c>
      <c r="M7" s="12"/>
      <c r="N7" s="218" t="str">
        <f t="shared" si="3"/>
        <v xml:space="preserve"> </v>
      </c>
      <c r="O7" s="189"/>
      <c r="P7" s="189"/>
      <c r="Q7" s="189"/>
      <c r="R7" s="189" t="str">
        <f t="shared" si="4"/>
        <v xml:space="preserve"> </v>
      </c>
      <c r="S7" s="189"/>
      <c r="T7" s="253" t="s">
        <v>1</v>
      </c>
      <c r="U7" s="13">
        <v>0</v>
      </c>
      <c r="V7" s="253" t="s">
        <v>10</v>
      </c>
      <c r="W7" s="253"/>
      <c r="X7" s="16"/>
    </row>
    <row r="8" spans="1:27" ht="15" customHeight="1" x14ac:dyDescent="0.35">
      <c r="A8" s="245">
        <v>45265</v>
      </c>
      <c r="B8" s="245"/>
      <c r="C8" s="211" t="s">
        <v>323</v>
      </c>
      <c r="D8" s="15">
        <v>1</v>
      </c>
      <c r="E8" s="15"/>
      <c r="F8" s="9">
        <v>850</v>
      </c>
      <c r="G8" s="29">
        <f t="shared" si="0"/>
        <v>850</v>
      </c>
      <c r="H8" s="11"/>
      <c r="I8" s="10"/>
      <c r="J8" s="29">
        <f t="shared" si="1"/>
        <v>0</v>
      </c>
      <c r="K8" s="29"/>
      <c r="L8" s="223">
        <f t="shared" si="2"/>
        <v>850</v>
      </c>
      <c r="M8" s="12"/>
      <c r="N8" s="218" t="str">
        <f t="shared" si="3"/>
        <v xml:space="preserve"> </v>
      </c>
      <c r="O8" s="189">
        <v>1400</v>
      </c>
      <c r="P8" s="189"/>
      <c r="Q8" s="189"/>
      <c r="R8" s="189">
        <f t="shared" si="4"/>
        <v>550</v>
      </c>
      <c r="S8" s="189"/>
      <c r="T8" s="253" t="s">
        <v>83</v>
      </c>
      <c r="U8" s="13">
        <v>0</v>
      </c>
      <c r="V8" s="253" t="s">
        <v>10</v>
      </c>
      <c r="W8" s="253" t="s">
        <v>84</v>
      </c>
      <c r="X8" s="16"/>
      <c r="Y8" s="187" t="s">
        <v>0</v>
      </c>
      <c r="Z8" s="187" t="s">
        <v>8</v>
      </c>
      <c r="AA8" s="249">
        <f>G101</f>
        <v>147360</v>
      </c>
    </row>
    <row r="9" spans="1:27" ht="15" customHeight="1" x14ac:dyDescent="0.35">
      <c r="A9" s="245">
        <v>45265</v>
      </c>
      <c r="B9" s="245"/>
      <c r="C9" s="212" t="s">
        <v>153</v>
      </c>
      <c r="D9" s="15">
        <v>1</v>
      </c>
      <c r="E9" s="15"/>
      <c r="F9" s="9">
        <v>850</v>
      </c>
      <c r="G9" s="29">
        <f t="shared" si="0"/>
        <v>850</v>
      </c>
      <c r="H9" s="11"/>
      <c r="I9" s="10"/>
      <c r="J9" s="29">
        <f t="shared" si="1"/>
        <v>0</v>
      </c>
      <c r="K9" s="29"/>
      <c r="L9" s="223">
        <f t="shared" si="2"/>
        <v>850</v>
      </c>
      <c r="M9" s="12"/>
      <c r="N9" s="218" t="str">
        <f t="shared" si="3"/>
        <v xml:space="preserve"> </v>
      </c>
      <c r="O9" s="189"/>
      <c r="P9" s="189"/>
      <c r="Q9" s="189"/>
      <c r="R9" s="189" t="str">
        <f t="shared" si="4"/>
        <v xml:space="preserve"> </v>
      </c>
      <c r="S9" s="189"/>
      <c r="T9" s="18" t="s">
        <v>1</v>
      </c>
      <c r="U9" s="13">
        <v>0</v>
      </c>
      <c r="V9" s="253" t="s">
        <v>10</v>
      </c>
      <c r="W9" s="253"/>
      <c r="X9" s="16"/>
      <c r="Y9" s="187">
        <v>720</v>
      </c>
      <c r="AA9" s="191">
        <f>Y9*Z9</f>
        <v>0</v>
      </c>
    </row>
    <row r="10" spans="1:27" ht="15" customHeight="1" x14ac:dyDescent="0.35">
      <c r="A10" s="245">
        <v>45265</v>
      </c>
      <c r="B10" s="245"/>
      <c r="C10" s="212" t="s">
        <v>321</v>
      </c>
      <c r="D10" s="15">
        <v>3</v>
      </c>
      <c r="E10" s="15"/>
      <c r="F10" s="9">
        <v>850</v>
      </c>
      <c r="G10" s="29">
        <f t="shared" si="0"/>
        <v>2550</v>
      </c>
      <c r="H10" s="11"/>
      <c r="I10" s="10"/>
      <c r="J10" s="29">
        <f t="shared" si="1"/>
        <v>0</v>
      </c>
      <c r="K10" s="29"/>
      <c r="L10" s="223">
        <f t="shared" si="2"/>
        <v>2550</v>
      </c>
      <c r="M10" s="12"/>
      <c r="N10" s="218" t="str">
        <f t="shared" si="3"/>
        <v xml:space="preserve"> </v>
      </c>
      <c r="O10" s="189"/>
      <c r="P10" s="189"/>
      <c r="Q10" s="189"/>
      <c r="R10" s="189" t="str">
        <f t="shared" si="4"/>
        <v xml:space="preserve"> </v>
      </c>
      <c r="S10" s="189"/>
      <c r="T10" s="18" t="s">
        <v>1</v>
      </c>
      <c r="U10" s="13">
        <v>0</v>
      </c>
      <c r="V10" s="253" t="s">
        <v>10</v>
      </c>
      <c r="W10" s="253"/>
      <c r="X10" s="16"/>
      <c r="Y10" s="187">
        <v>750</v>
      </c>
      <c r="AA10" s="191">
        <f>Y10*Z10</f>
        <v>0</v>
      </c>
    </row>
    <row r="11" spans="1:27" ht="15" customHeight="1" x14ac:dyDescent="0.35">
      <c r="A11" s="246">
        <v>45266</v>
      </c>
      <c r="B11" s="245"/>
      <c r="C11" s="212" t="s">
        <v>330</v>
      </c>
      <c r="D11" s="15"/>
      <c r="E11" s="15">
        <v>6</v>
      </c>
      <c r="F11" s="9">
        <v>820</v>
      </c>
      <c r="G11" s="29">
        <f t="shared" si="0"/>
        <v>4920</v>
      </c>
      <c r="H11" s="11"/>
      <c r="I11" s="10"/>
      <c r="J11" s="29">
        <f t="shared" si="1"/>
        <v>0</v>
      </c>
      <c r="K11" s="29"/>
      <c r="L11" s="223">
        <f t="shared" si="2"/>
        <v>4920</v>
      </c>
      <c r="M11" s="213"/>
      <c r="N11" s="218" t="str">
        <f t="shared" si="3"/>
        <v xml:space="preserve"> </v>
      </c>
      <c r="O11" s="189"/>
      <c r="P11" s="189"/>
      <c r="Q11" s="189"/>
      <c r="R11" s="189" t="str">
        <f t="shared" si="4"/>
        <v xml:space="preserve"> </v>
      </c>
      <c r="S11" s="189"/>
      <c r="T11" s="18" t="s">
        <v>1</v>
      </c>
      <c r="U11" s="13">
        <v>0</v>
      </c>
      <c r="V11" s="253" t="s">
        <v>10</v>
      </c>
      <c r="W11" s="253"/>
      <c r="X11" s="16"/>
      <c r="Y11" s="187">
        <v>780</v>
      </c>
      <c r="AA11" s="191">
        <f>Y11*Z11</f>
        <v>0</v>
      </c>
    </row>
    <row r="12" spans="1:27" ht="15" customHeight="1" x14ac:dyDescent="0.35">
      <c r="A12" s="246">
        <v>45266</v>
      </c>
      <c r="B12" s="245"/>
      <c r="C12" s="212" t="s">
        <v>319</v>
      </c>
      <c r="D12" s="15"/>
      <c r="E12" s="15">
        <v>4</v>
      </c>
      <c r="F12" s="9">
        <v>820</v>
      </c>
      <c r="G12" s="29">
        <f t="shared" si="0"/>
        <v>3280</v>
      </c>
      <c r="H12" s="11"/>
      <c r="I12" s="10"/>
      <c r="J12" s="29">
        <f t="shared" si="1"/>
        <v>0</v>
      </c>
      <c r="K12" s="29"/>
      <c r="L12" s="223">
        <f t="shared" si="2"/>
        <v>3280</v>
      </c>
      <c r="M12" s="12"/>
      <c r="N12" s="218" t="str">
        <f t="shared" si="3"/>
        <v xml:space="preserve"> </v>
      </c>
      <c r="O12" s="189"/>
      <c r="P12" s="189"/>
      <c r="Q12" s="189"/>
      <c r="R12" s="189" t="str">
        <f t="shared" si="4"/>
        <v xml:space="preserve"> </v>
      </c>
      <c r="S12" s="189"/>
      <c r="T12" s="253" t="s">
        <v>1</v>
      </c>
      <c r="U12" s="13">
        <v>0</v>
      </c>
      <c r="V12" s="253" t="s">
        <v>10</v>
      </c>
      <c r="W12" s="253"/>
      <c r="X12" s="17"/>
      <c r="Y12" s="187">
        <v>800</v>
      </c>
      <c r="AA12" s="191">
        <f>Y12*Z12</f>
        <v>0</v>
      </c>
    </row>
    <row r="13" spans="1:27" ht="15" customHeight="1" x14ac:dyDescent="0.35">
      <c r="A13" s="246">
        <v>45266</v>
      </c>
      <c r="B13" s="245"/>
      <c r="C13" s="212" t="s">
        <v>447</v>
      </c>
      <c r="D13" s="15"/>
      <c r="E13" s="15">
        <v>1</v>
      </c>
      <c r="F13" s="9">
        <v>850</v>
      </c>
      <c r="G13" s="29">
        <f t="shared" si="0"/>
        <v>850</v>
      </c>
      <c r="H13" s="11"/>
      <c r="I13" s="10"/>
      <c r="J13" s="29">
        <f t="shared" si="1"/>
        <v>0</v>
      </c>
      <c r="K13" s="29"/>
      <c r="L13" s="223">
        <f t="shared" si="2"/>
        <v>850</v>
      </c>
      <c r="M13" s="213"/>
      <c r="N13" s="218" t="str">
        <f t="shared" si="3"/>
        <v xml:space="preserve"> </v>
      </c>
      <c r="O13" s="189">
        <v>440</v>
      </c>
      <c r="P13" s="189"/>
      <c r="Q13" s="189"/>
      <c r="R13" s="189">
        <f t="shared" si="4"/>
        <v>-410</v>
      </c>
      <c r="S13" s="189">
        <f>P13-Q13</f>
        <v>0</v>
      </c>
      <c r="T13" s="253" t="s">
        <v>1</v>
      </c>
      <c r="U13" s="13">
        <v>30</v>
      </c>
      <c r="V13" s="253" t="s">
        <v>10</v>
      </c>
      <c r="W13" s="253" t="s">
        <v>92</v>
      </c>
      <c r="X13" s="16"/>
      <c r="AA13" s="251">
        <f>AA8-(SUM(AA9:AA12))</f>
        <v>147360</v>
      </c>
    </row>
    <row r="14" spans="1:27" ht="15" customHeight="1" x14ac:dyDescent="0.35">
      <c r="A14" s="246">
        <v>45267</v>
      </c>
      <c r="B14" s="245"/>
      <c r="C14" s="212" t="s">
        <v>325</v>
      </c>
      <c r="D14" s="15">
        <v>1</v>
      </c>
      <c r="E14" s="15"/>
      <c r="F14" s="9">
        <v>850</v>
      </c>
      <c r="G14" s="29">
        <f t="shared" si="0"/>
        <v>850</v>
      </c>
      <c r="H14" s="11"/>
      <c r="I14" s="10"/>
      <c r="J14" s="29">
        <f t="shared" si="1"/>
        <v>0</v>
      </c>
      <c r="K14" s="29"/>
      <c r="L14" s="223">
        <f t="shared" si="2"/>
        <v>850</v>
      </c>
      <c r="M14" s="12"/>
      <c r="N14" s="218" t="str">
        <f t="shared" si="3"/>
        <v xml:space="preserve"> </v>
      </c>
      <c r="O14" s="190"/>
      <c r="P14" s="190"/>
      <c r="Q14" s="190"/>
      <c r="R14" s="189" t="str">
        <f t="shared" si="4"/>
        <v xml:space="preserve"> </v>
      </c>
      <c r="S14" s="190"/>
      <c r="T14" s="253"/>
      <c r="U14" s="19"/>
      <c r="V14" s="253"/>
      <c r="W14" s="253"/>
      <c r="X14" s="16"/>
    </row>
    <row r="15" spans="1:27" ht="15" customHeight="1" x14ac:dyDescent="0.35">
      <c r="A15" s="246">
        <v>45267</v>
      </c>
      <c r="B15" s="245"/>
      <c r="C15" s="212" t="s">
        <v>428</v>
      </c>
      <c r="D15" s="15">
        <v>6</v>
      </c>
      <c r="E15" s="15"/>
      <c r="F15" s="9">
        <v>750</v>
      </c>
      <c r="G15" s="29">
        <f t="shared" si="0"/>
        <v>4500</v>
      </c>
      <c r="H15" s="11"/>
      <c r="I15" s="10"/>
      <c r="J15" s="29">
        <f t="shared" si="1"/>
        <v>0</v>
      </c>
      <c r="K15" s="29"/>
      <c r="L15" s="223">
        <f t="shared" si="2"/>
        <v>4500</v>
      </c>
      <c r="M15" s="12"/>
      <c r="N15" s="218" t="str">
        <f t="shared" si="3"/>
        <v xml:space="preserve"> </v>
      </c>
      <c r="O15" s="190"/>
      <c r="P15" s="190"/>
      <c r="Q15" s="190"/>
      <c r="R15" s="189" t="str">
        <f t="shared" si="4"/>
        <v xml:space="preserve"> </v>
      </c>
      <c r="S15" s="190"/>
      <c r="T15" s="253"/>
      <c r="U15" s="19"/>
      <c r="V15" s="253"/>
      <c r="W15" s="253"/>
      <c r="X15" s="16"/>
    </row>
    <row r="16" spans="1:27" ht="15" customHeight="1" x14ac:dyDescent="0.35">
      <c r="A16" s="246">
        <v>45267</v>
      </c>
      <c r="B16" s="245"/>
      <c r="C16" s="212" t="s">
        <v>279</v>
      </c>
      <c r="D16" s="15"/>
      <c r="E16" s="15">
        <v>6</v>
      </c>
      <c r="F16" s="9">
        <v>780</v>
      </c>
      <c r="G16" s="29">
        <f t="shared" si="0"/>
        <v>4680</v>
      </c>
      <c r="H16" s="11"/>
      <c r="I16" s="10"/>
      <c r="J16" s="29">
        <f t="shared" si="1"/>
        <v>0</v>
      </c>
      <c r="K16" s="29"/>
      <c r="L16" s="223">
        <f t="shared" si="2"/>
        <v>4680</v>
      </c>
      <c r="M16" s="12"/>
      <c r="N16" s="218" t="str">
        <f t="shared" si="3"/>
        <v xml:space="preserve"> </v>
      </c>
      <c r="O16" s="189"/>
      <c r="P16" s="189"/>
      <c r="Q16" s="189"/>
      <c r="R16" s="189" t="str">
        <f t="shared" si="4"/>
        <v xml:space="preserve"> </v>
      </c>
      <c r="S16" s="189"/>
      <c r="T16" s="253"/>
      <c r="U16" s="13"/>
      <c r="V16" s="253"/>
      <c r="W16" s="253"/>
      <c r="X16" s="16"/>
    </row>
    <row r="17" spans="1:24" ht="15" customHeight="1" x14ac:dyDescent="0.35">
      <c r="A17" s="246">
        <v>45267</v>
      </c>
      <c r="B17" s="245"/>
      <c r="C17" s="212" t="s">
        <v>281</v>
      </c>
      <c r="D17" s="15"/>
      <c r="E17" s="15">
        <v>3</v>
      </c>
      <c r="F17" s="9">
        <v>800</v>
      </c>
      <c r="G17" s="29">
        <f t="shared" si="0"/>
        <v>2400</v>
      </c>
      <c r="H17" s="11"/>
      <c r="I17" s="10"/>
      <c r="J17" s="29">
        <f t="shared" si="1"/>
        <v>0</v>
      </c>
      <c r="K17" s="29"/>
      <c r="L17" s="223">
        <f t="shared" si="2"/>
        <v>2400</v>
      </c>
      <c r="M17" s="223"/>
      <c r="N17" s="218" t="str">
        <f t="shared" si="3"/>
        <v xml:space="preserve"> </v>
      </c>
      <c r="O17" s="189"/>
      <c r="P17" s="189"/>
      <c r="Q17" s="189"/>
      <c r="R17" s="189" t="str">
        <f t="shared" si="4"/>
        <v xml:space="preserve"> </v>
      </c>
      <c r="S17" s="189"/>
      <c r="T17" s="253"/>
      <c r="U17" s="13"/>
      <c r="V17" s="253"/>
      <c r="W17" s="253"/>
      <c r="X17" s="16"/>
    </row>
    <row r="18" spans="1:24" ht="15" customHeight="1" x14ac:dyDescent="0.35">
      <c r="A18" s="246">
        <v>45267</v>
      </c>
      <c r="B18" s="245"/>
      <c r="C18" s="212" t="s">
        <v>296</v>
      </c>
      <c r="D18" s="15"/>
      <c r="E18" s="15">
        <v>4</v>
      </c>
      <c r="F18" s="9">
        <v>840</v>
      </c>
      <c r="G18" s="29">
        <f t="shared" si="0"/>
        <v>3360</v>
      </c>
      <c r="H18" s="11"/>
      <c r="I18" s="10"/>
      <c r="J18" s="29">
        <f t="shared" si="1"/>
        <v>0</v>
      </c>
      <c r="K18" s="29"/>
      <c r="L18" s="223">
        <f t="shared" si="2"/>
        <v>3360</v>
      </c>
      <c r="M18" s="213"/>
      <c r="N18" s="218" t="str">
        <f t="shared" si="3"/>
        <v xml:space="preserve"> </v>
      </c>
      <c r="O18" s="189"/>
      <c r="P18" s="189"/>
      <c r="Q18" s="189"/>
      <c r="R18" s="189" t="str">
        <f t="shared" si="4"/>
        <v xml:space="preserve"> </v>
      </c>
      <c r="S18" s="189"/>
      <c r="T18" s="253"/>
      <c r="U18" s="13"/>
      <c r="V18" s="253"/>
      <c r="W18" s="253"/>
      <c r="X18" s="16"/>
    </row>
    <row r="19" spans="1:24" ht="15" customHeight="1" x14ac:dyDescent="0.35">
      <c r="A19" s="246">
        <v>45267</v>
      </c>
      <c r="B19" s="245"/>
      <c r="C19" s="212" t="s">
        <v>324</v>
      </c>
      <c r="D19" s="15"/>
      <c r="E19" s="15">
        <v>1</v>
      </c>
      <c r="F19" s="9">
        <v>850</v>
      </c>
      <c r="G19" s="29">
        <f t="shared" si="0"/>
        <v>850</v>
      </c>
      <c r="H19" s="11"/>
      <c r="I19" s="10"/>
      <c r="J19" s="29">
        <f t="shared" si="1"/>
        <v>0</v>
      </c>
      <c r="K19" s="29"/>
      <c r="L19" s="223">
        <f t="shared" si="2"/>
        <v>850</v>
      </c>
      <c r="M19" s="223"/>
      <c r="N19" s="218" t="str">
        <f t="shared" si="3"/>
        <v xml:space="preserve"> </v>
      </c>
      <c r="O19" s="189"/>
      <c r="P19" s="189"/>
      <c r="Q19" s="189"/>
      <c r="R19" s="189" t="str">
        <f t="shared" si="4"/>
        <v xml:space="preserve"> </v>
      </c>
      <c r="S19" s="189"/>
      <c r="T19" s="253"/>
      <c r="U19" s="13"/>
      <c r="V19" s="253"/>
      <c r="W19" s="253"/>
      <c r="X19" s="16"/>
    </row>
    <row r="20" spans="1:24" ht="15" customHeight="1" x14ac:dyDescent="0.35">
      <c r="A20" s="245">
        <v>45268</v>
      </c>
      <c r="B20" s="245"/>
      <c r="C20" s="212" t="s">
        <v>326</v>
      </c>
      <c r="D20" s="15">
        <v>1</v>
      </c>
      <c r="E20" s="15"/>
      <c r="F20" s="9">
        <v>840</v>
      </c>
      <c r="G20" s="29">
        <f t="shared" si="0"/>
        <v>840</v>
      </c>
      <c r="H20" s="11"/>
      <c r="I20" s="10"/>
      <c r="J20" s="29">
        <f t="shared" si="1"/>
        <v>0</v>
      </c>
      <c r="K20" s="29"/>
      <c r="L20" s="223">
        <f t="shared" si="2"/>
        <v>840</v>
      </c>
      <c r="M20" s="12"/>
      <c r="N20" s="218" t="str">
        <f t="shared" si="3"/>
        <v xml:space="preserve"> </v>
      </c>
      <c r="O20" s="189"/>
      <c r="P20" s="189"/>
      <c r="Q20" s="189"/>
      <c r="R20" s="189" t="str">
        <f t="shared" si="4"/>
        <v xml:space="preserve"> </v>
      </c>
      <c r="S20" s="189"/>
      <c r="T20" s="253"/>
      <c r="U20" s="13"/>
      <c r="V20" s="253"/>
      <c r="W20" s="253"/>
      <c r="X20" s="16"/>
    </row>
    <row r="21" spans="1:24" ht="15" customHeight="1" x14ac:dyDescent="0.35">
      <c r="A21" s="245">
        <v>45268</v>
      </c>
      <c r="B21" s="245"/>
      <c r="C21" s="212" t="s">
        <v>153</v>
      </c>
      <c r="D21" s="15">
        <v>1</v>
      </c>
      <c r="E21" s="15"/>
      <c r="F21" s="9">
        <v>850</v>
      </c>
      <c r="G21" s="29">
        <f t="shared" si="0"/>
        <v>850</v>
      </c>
      <c r="H21" s="11"/>
      <c r="I21" s="10"/>
      <c r="J21" s="29">
        <f t="shared" si="1"/>
        <v>0</v>
      </c>
      <c r="K21" s="29"/>
      <c r="L21" s="223">
        <f t="shared" si="2"/>
        <v>850</v>
      </c>
      <c r="M21" s="12"/>
      <c r="N21" s="218" t="str">
        <f t="shared" si="3"/>
        <v xml:space="preserve"> </v>
      </c>
      <c r="O21" s="189"/>
      <c r="P21" s="189"/>
      <c r="Q21" s="189"/>
      <c r="R21" s="189" t="str">
        <f t="shared" si="4"/>
        <v xml:space="preserve"> </v>
      </c>
      <c r="S21" s="189"/>
      <c r="T21" s="253"/>
      <c r="U21" s="13"/>
      <c r="V21" s="253"/>
      <c r="W21" s="253"/>
      <c r="X21" s="16"/>
    </row>
    <row r="22" spans="1:24" ht="15" customHeight="1" x14ac:dyDescent="0.35">
      <c r="A22" s="245">
        <v>45268</v>
      </c>
      <c r="B22" s="245"/>
      <c r="C22" s="212" t="s">
        <v>322</v>
      </c>
      <c r="D22" s="15">
        <v>1</v>
      </c>
      <c r="E22" s="15"/>
      <c r="F22" s="9">
        <v>850</v>
      </c>
      <c r="G22" s="29">
        <f t="shared" si="0"/>
        <v>850</v>
      </c>
      <c r="H22" s="11"/>
      <c r="I22" s="10"/>
      <c r="J22" s="29">
        <f t="shared" si="1"/>
        <v>0</v>
      </c>
      <c r="K22" s="29"/>
      <c r="L22" s="223">
        <f t="shared" si="2"/>
        <v>850</v>
      </c>
      <c r="M22" s="12"/>
      <c r="N22" s="218" t="str">
        <f t="shared" si="3"/>
        <v xml:space="preserve"> </v>
      </c>
      <c r="O22" s="189"/>
      <c r="P22" s="189"/>
      <c r="Q22" s="189"/>
      <c r="R22" s="189" t="str">
        <f t="shared" si="4"/>
        <v xml:space="preserve"> </v>
      </c>
      <c r="S22" s="189"/>
      <c r="T22" s="253"/>
      <c r="U22" s="13"/>
      <c r="V22" s="253"/>
      <c r="W22" s="253"/>
      <c r="X22" s="16"/>
    </row>
    <row r="23" spans="1:24" ht="15" customHeight="1" x14ac:dyDescent="0.35">
      <c r="A23" s="245">
        <v>45268</v>
      </c>
      <c r="B23" s="245"/>
      <c r="C23" s="212" t="s">
        <v>323</v>
      </c>
      <c r="D23" s="15">
        <v>1</v>
      </c>
      <c r="E23" s="15"/>
      <c r="F23" s="9">
        <v>850</v>
      </c>
      <c r="G23" s="29">
        <f t="shared" si="0"/>
        <v>850</v>
      </c>
      <c r="H23" s="11"/>
      <c r="I23" s="10"/>
      <c r="J23" s="29">
        <f t="shared" si="1"/>
        <v>0</v>
      </c>
      <c r="K23" s="29"/>
      <c r="L23" s="223">
        <f t="shared" si="2"/>
        <v>850</v>
      </c>
      <c r="M23" s="12"/>
      <c r="N23" s="218" t="str">
        <f t="shared" si="3"/>
        <v xml:space="preserve"> </v>
      </c>
      <c r="O23" s="189"/>
      <c r="P23" s="189"/>
      <c r="Q23" s="189"/>
      <c r="R23" s="189" t="str">
        <f t="shared" si="4"/>
        <v xml:space="preserve"> </v>
      </c>
      <c r="S23" s="189"/>
      <c r="T23" s="253"/>
      <c r="U23" s="13"/>
      <c r="V23" s="253"/>
      <c r="W23" s="253"/>
      <c r="X23" s="16"/>
    </row>
    <row r="24" spans="1:24" ht="15" customHeight="1" x14ac:dyDescent="0.35">
      <c r="A24" s="250">
        <v>45271</v>
      </c>
      <c r="B24" s="250"/>
      <c r="C24" s="212" t="s">
        <v>447</v>
      </c>
      <c r="D24" s="15">
        <v>2</v>
      </c>
      <c r="E24" s="15"/>
      <c r="F24" s="9">
        <v>850</v>
      </c>
      <c r="G24" s="29">
        <f t="shared" si="0"/>
        <v>1700</v>
      </c>
      <c r="H24" s="11"/>
      <c r="I24" s="10"/>
      <c r="J24" s="29">
        <f t="shared" si="1"/>
        <v>0</v>
      </c>
      <c r="K24" s="29"/>
      <c r="L24" s="223">
        <f t="shared" si="2"/>
        <v>1700</v>
      </c>
      <c r="M24" s="12"/>
      <c r="N24" s="218" t="str">
        <f t="shared" si="3"/>
        <v xml:space="preserve"> </v>
      </c>
      <c r="O24" s="189"/>
      <c r="P24" s="189"/>
      <c r="Q24" s="189"/>
      <c r="R24" s="189" t="str">
        <f t="shared" si="4"/>
        <v xml:space="preserve"> </v>
      </c>
      <c r="S24" s="189"/>
      <c r="T24" s="253"/>
      <c r="U24" s="13"/>
      <c r="V24" s="253"/>
      <c r="W24" s="253"/>
      <c r="X24" s="16"/>
    </row>
    <row r="25" spans="1:24" ht="15" customHeight="1" x14ac:dyDescent="0.35">
      <c r="A25" s="250">
        <v>45271</v>
      </c>
      <c r="B25" s="245"/>
      <c r="C25" s="211" t="s">
        <v>318</v>
      </c>
      <c r="D25" s="15">
        <v>1</v>
      </c>
      <c r="E25" s="15"/>
      <c r="F25" s="9">
        <v>850</v>
      </c>
      <c r="G25" s="29">
        <f t="shared" si="0"/>
        <v>850</v>
      </c>
      <c r="H25" s="11"/>
      <c r="I25" s="10"/>
      <c r="J25" s="29">
        <f t="shared" si="1"/>
        <v>0</v>
      </c>
      <c r="K25" s="29"/>
      <c r="L25" s="223">
        <f t="shared" si="2"/>
        <v>850</v>
      </c>
      <c r="M25" s="12"/>
      <c r="N25" s="218" t="str">
        <f t="shared" si="3"/>
        <v xml:space="preserve"> </v>
      </c>
      <c r="O25" s="189"/>
      <c r="P25" s="189"/>
      <c r="Q25" s="189"/>
      <c r="R25" s="189" t="str">
        <f t="shared" si="4"/>
        <v xml:space="preserve"> </v>
      </c>
      <c r="S25" s="189"/>
      <c r="T25" s="253"/>
      <c r="U25" s="13"/>
      <c r="V25" s="253"/>
      <c r="W25" s="253"/>
      <c r="X25" s="16"/>
    </row>
    <row r="26" spans="1:24" ht="15" customHeight="1" x14ac:dyDescent="0.35">
      <c r="A26" s="250">
        <v>45271</v>
      </c>
      <c r="B26" s="245"/>
      <c r="C26" s="211" t="s">
        <v>152</v>
      </c>
      <c r="D26" s="15">
        <v>8</v>
      </c>
      <c r="E26" s="15"/>
      <c r="F26" s="9">
        <v>830</v>
      </c>
      <c r="G26" s="29">
        <f t="shared" si="0"/>
        <v>6640</v>
      </c>
      <c r="H26" s="11"/>
      <c r="I26" s="10"/>
      <c r="J26" s="29">
        <f t="shared" si="1"/>
        <v>0</v>
      </c>
      <c r="K26" s="29"/>
      <c r="L26" s="223">
        <f t="shared" si="2"/>
        <v>6640</v>
      </c>
      <c r="M26" s="12"/>
      <c r="N26" s="218" t="str">
        <f t="shared" si="3"/>
        <v xml:space="preserve"> </v>
      </c>
      <c r="O26" s="189"/>
      <c r="P26" s="189"/>
      <c r="Q26" s="189"/>
      <c r="R26" s="189" t="str">
        <f t="shared" si="4"/>
        <v xml:space="preserve"> </v>
      </c>
      <c r="S26" s="189"/>
      <c r="T26" s="253"/>
      <c r="U26" s="13"/>
      <c r="V26" s="253"/>
      <c r="W26" s="253"/>
      <c r="X26" s="16"/>
    </row>
    <row r="27" spans="1:24" ht="15" customHeight="1" x14ac:dyDescent="0.35">
      <c r="A27" s="245">
        <v>45272</v>
      </c>
      <c r="B27" s="245"/>
      <c r="C27" s="212" t="s">
        <v>322</v>
      </c>
      <c r="D27" s="15">
        <v>2</v>
      </c>
      <c r="E27" s="15"/>
      <c r="F27" s="9">
        <v>850</v>
      </c>
      <c r="G27" s="29">
        <f t="shared" si="0"/>
        <v>1700</v>
      </c>
      <c r="H27" s="11"/>
      <c r="I27" s="10"/>
      <c r="J27" s="29">
        <f t="shared" si="1"/>
        <v>0</v>
      </c>
      <c r="K27" s="29"/>
      <c r="L27" s="223">
        <f t="shared" si="2"/>
        <v>1700</v>
      </c>
      <c r="M27" s="12"/>
      <c r="N27" s="218" t="str">
        <f t="shared" si="3"/>
        <v xml:space="preserve"> </v>
      </c>
      <c r="O27" s="189"/>
      <c r="P27" s="189"/>
      <c r="Q27" s="189"/>
      <c r="R27" s="189" t="str">
        <f t="shared" si="4"/>
        <v xml:space="preserve"> </v>
      </c>
      <c r="S27" s="189"/>
      <c r="T27" s="253"/>
      <c r="U27" s="13"/>
      <c r="V27" s="253"/>
      <c r="W27" s="253"/>
      <c r="X27" s="16"/>
    </row>
    <row r="28" spans="1:24" ht="15" customHeight="1" x14ac:dyDescent="0.35">
      <c r="A28" s="245">
        <v>45272</v>
      </c>
      <c r="B28" s="245"/>
      <c r="C28" s="212" t="s">
        <v>296</v>
      </c>
      <c r="D28" s="15"/>
      <c r="E28" s="15">
        <v>4</v>
      </c>
      <c r="F28" s="9">
        <v>840</v>
      </c>
      <c r="G28" s="29">
        <f t="shared" si="0"/>
        <v>3360</v>
      </c>
      <c r="H28" s="11"/>
      <c r="I28" s="10"/>
      <c r="J28" s="29">
        <f t="shared" si="1"/>
        <v>0</v>
      </c>
      <c r="K28" s="29"/>
      <c r="L28" s="223">
        <f t="shared" si="2"/>
        <v>3360</v>
      </c>
      <c r="M28" s="12"/>
      <c r="N28" s="218" t="str">
        <f t="shared" si="3"/>
        <v xml:space="preserve"> </v>
      </c>
      <c r="O28" s="189"/>
      <c r="P28" s="189"/>
      <c r="Q28" s="189"/>
      <c r="R28" s="189" t="str">
        <f t="shared" si="4"/>
        <v xml:space="preserve"> </v>
      </c>
      <c r="S28" s="189"/>
      <c r="T28" s="253"/>
      <c r="U28" s="13"/>
      <c r="V28" s="253"/>
      <c r="W28" s="253"/>
      <c r="X28" s="16"/>
    </row>
    <row r="29" spans="1:24" ht="15" customHeight="1" x14ac:dyDescent="0.35">
      <c r="A29" s="245">
        <v>45272</v>
      </c>
      <c r="B29" s="245"/>
      <c r="C29" s="248" t="s">
        <v>330</v>
      </c>
      <c r="D29" s="15"/>
      <c r="E29" s="15">
        <v>6</v>
      </c>
      <c r="F29" s="9">
        <v>820</v>
      </c>
      <c r="G29" s="29">
        <f t="shared" si="0"/>
        <v>4920</v>
      </c>
      <c r="H29" s="11"/>
      <c r="I29" s="10"/>
      <c r="J29" s="29">
        <f t="shared" si="1"/>
        <v>0</v>
      </c>
      <c r="K29" s="29"/>
      <c r="L29" s="223">
        <f t="shared" si="2"/>
        <v>4920</v>
      </c>
      <c r="M29" s="12"/>
      <c r="N29" s="239" t="str">
        <f t="shared" si="3"/>
        <v xml:space="preserve"> </v>
      </c>
      <c r="O29" s="189"/>
      <c r="P29" s="189"/>
      <c r="Q29" s="189"/>
      <c r="R29" s="189" t="str">
        <f t="shared" si="4"/>
        <v xml:space="preserve"> </v>
      </c>
      <c r="S29" s="189"/>
      <c r="T29" s="253"/>
      <c r="U29" s="13"/>
      <c r="V29" s="253"/>
      <c r="W29" s="253"/>
      <c r="X29" s="16"/>
    </row>
    <row r="30" spans="1:24" ht="15" customHeight="1" x14ac:dyDescent="0.35">
      <c r="A30" s="245">
        <v>45272</v>
      </c>
      <c r="B30" s="245"/>
      <c r="C30" s="248" t="s">
        <v>280</v>
      </c>
      <c r="D30" s="15"/>
      <c r="E30" s="15">
        <v>2</v>
      </c>
      <c r="F30" s="9">
        <v>820</v>
      </c>
      <c r="G30" s="29">
        <f t="shared" si="0"/>
        <v>1640</v>
      </c>
      <c r="H30" s="11"/>
      <c r="I30" s="10"/>
      <c r="J30" s="29">
        <f t="shared" si="1"/>
        <v>0</v>
      </c>
      <c r="K30" s="29"/>
      <c r="L30" s="223">
        <f t="shared" si="2"/>
        <v>1640</v>
      </c>
      <c r="M30" s="207"/>
      <c r="N30" s="218" t="str">
        <f t="shared" si="3"/>
        <v xml:space="preserve"> </v>
      </c>
      <c r="O30" s="189"/>
      <c r="P30" s="189"/>
      <c r="Q30" s="189"/>
      <c r="R30" s="189" t="str">
        <f t="shared" si="4"/>
        <v xml:space="preserve"> </v>
      </c>
      <c r="S30" s="189"/>
      <c r="T30" s="253"/>
      <c r="U30" s="13"/>
      <c r="V30" s="253"/>
      <c r="W30" s="253"/>
      <c r="X30" s="16"/>
    </row>
    <row r="31" spans="1:24" ht="15" customHeight="1" x14ac:dyDescent="0.35">
      <c r="A31" s="245">
        <v>45273</v>
      </c>
      <c r="B31" s="245"/>
      <c r="C31" s="212" t="s">
        <v>279</v>
      </c>
      <c r="D31" s="15"/>
      <c r="E31" s="15">
        <v>6</v>
      </c>
      <c r="F31" s="9">
        <v>780</v>
      </c>
      <c r="G31" s="29">
        <f t="shared" si="0"/>
        <v>4680</v>
      </c>
      <c r="H31" s="11"/>
      <c r="I31" s="10"/>
      <c r="J31" s="29">
        <f t="shared" si="1"/>
        <v>0</v>
      </c>
      <c r="K31" s="29"/>
      <c r="L31" s="223">
        <f t="shared" si="2"/>
        <v>4680</v>
      </c>
      <c r="M31" s="12"/>
      <c r="N31" s="218" t="str">
        <f t="shared" si="3"/>
        <v xml:space="preserve"> </v>
      </c>
      <c r="O31" s="189"/>
      <c r="P31" s="189"/>
      <c r="Q31" s="189"/>
      <c r="R31" s="189" t="str">
        <f t="shared" si="4"/>
        <v xml:space="preserve"> </v>
      </c>
      <c r="S31" s="189"/>
      <c r="T31" s="253"/>
      <c r="U31" s="13"/>
      <c r="V31" s="253"/>
      <c r="W31" s="253"/>
      <c r="X31" s="16"/>
    </row>
    <row r="32" spans="1:24" ht="15" customHeight="1" x14ac:dyDescent="0.35">
      <c r="A32" s="245">
        <v>45273</v>
      </c>
      <c r="B32" s="245"/>
      <c r="C32" s="211" t="s">
        <v>321</v>
      </c>
      <c r="D32" s="15">
        <v>3</v>
      </c>
      <c r="E32" s="15"/>
      <c r="F32" s="9">
        <v>850</v>
      </c>
      <c r="G32" s="29">
        <f t="shared" si="0"/>
        <v>2550</v>
      </c>
      <c r="H32" s="11"/>
      <c r="I32" s="10"/>
      <c r="J32" s="29">
        <f t="shared" si="1"/>
        <v>0</v>
      </c>
      <c r="K32" s="29"/>
      <c r="L32" s="223">
        <f t="shared" si="2"/>
        <v>2550</v>
      </c>
      <c r="M32" s="213"/>
      <c r="N32" s="218" t="str">
        <f t="shared" si="3"/>
        <v xml:space="preserve"> </v>
      </c>
      <c r="O32" s="189"/>
      <c r="P32" s="189"/>
      <c r="Q32" s="189"/>
      <c r="R32" s="189" t="str">
        <f t="shared" si="4"/>
        <v xml:space="preserve"> </v>
      </c>
      <c r="S32" s="189"/>
      <c r="T32" s="253"/>
      <c r="U32" s="13"/>
      <c r="V32" s="253"/>
      <c r="W32" s="253"/>
      <c r="X32" s="16"/>
    </row>
    <row r="33" spans="1:24" ht="15" customHeight="1" x14ac:dyDescent="0.35">
      <c r="A33" s="245">
        <v>45273</v>
      </c>
      <c r="B33" s="245"/>
      <c r="C33" s="211" t="s">
        <v>323</v>
      </c>
      <c r="D33" s="15">
        <v>1</v>
      </c>
      <c r="E33" s="15"/>
      <c r="F33" s="9">
        <v>850</v>
      </c>
      <c r="G33" s="29">
        <f t="shared" si="0"/>
        <v>850</v>
      </c>
      <c r="H33" s="11"/>
      <c r="I33" s="10"/>
      <c r="J33" s="29">
        <f t="shared" si="1"/>
        <v>0</v>
      </c>
      <c r="K33" s="29"/>
      <c r="L33" s="223">
        <f t="shared" si="2"/>
        <v>850</v>
      </c>
      <c r="M33" s="12"/>
      <c r="N33" s="218" t="str">
        <f t="shared" si="3"/>
        <v xml:space="preserve"> </v>
      </c>
      <c r="O33" s="189"/>
      <c r="P33" s="189"/>
      <c r="Q33" s="189"/>
      <c r="R33" s="189" t="str">
        <f t="shared" si="4"/>
        <v xml:space="preserve"> </v>
      </c>
      <c r="S33" s="189"/>
      <c r="T33" s="253"/>
      <c r="U33" s="13"/>
      <c r="V33" s="253"/>
      <c r="W33" s="253"/>
      <c r="X33" s="16"/>
    </row>
    <row r="34" spans="1:24" ht="15" customHeight="1" x14ac:dyDescent="0.35">
      <c r="A34" s="245">
        <v>45273</v>
      </c>
      <c r="B34" s="245"/>
      <c r="C34" s="212" t="s">
        <v>153</v>
      </c>
      <c r="D34" s="15">
        <v>1</v>
      </c>
      <c r="E34" s="15"/>
      <c r="F34" s="9">
        <v>850</v>
      </c>
      <c r="G34" s="29">
        <f t="shared" si="0"/>
        <v>850</v>
      </c>
      <c r="H34" s="11"/>
      <c r="I34" s="10"/>
      <c r="J34" s="29">
        <f t="shared" si="1"/>
        <v>0</v>
      </c>
      <c r="K34" s="29"/>
      <c r="L34" s="223">
        <f t="shared" si="2"/>
        <v>850</v>
      </c>
      <c r="M34" s="12"/>
      <c r="N34" s="218" t="str">
        <f t="shared" si="3"/>
        <v xml:space="preserve"> </v>
      </c>
      <c r="O34" s="189"/>
      <c r="P34" s="189"/>
      <c r="Q34" s="189"/>
      <c r="R34" s="189" t="str">
        <f t="shared" si="4"/>
        <v xml:space="preserve"> </v>
      </c>
      <c r="S34" s="189"/>
      <c r="T34" s="253"/>
      <c r="U34" s="13"/>
      <c r="V34" s="253"/>
      <c r="W34" s="253"/>
      <c r="X34" s="16"/>
    </row>
    <row r="35" spans="1:24" ht="15" customHeight="1" x14ac:dyDescent="0.35">
      <c r="A35" s="245">
        <v>45274</v>
      </c>
      <c r="B35" s="246"/>
      <c r="C35" s="211" t="s">
        <v>281</v>
      </c>
      <c r="D35" s="15"/>
      <c r="E35" s="15">
        <v>2</v>
      </c>
      <c r="F35" s="9">
        <v>800</v>
      </c>
      <c r="G35" s="29">
        <f t="shared" si="0"/>
        <v>1600</v>
      </c>
      <c r="H35" s="11"/>
      <c r="I35" s="10"/>
      <c r="J35" s="29">
        <f t="shared" si="1"/>
        <v>0</v>
      </c>
      <c r="K35" s="29"/>
      <c r="L35" s="223">
        <f t="shared" si="2"/>
        <v>1600</v>
      </c>
      <c r="M35" s="12"/>
      <c r="N35" s="218" t="str">
        <f t="shared" si="3"/>
        <v xml:space="preserve"> </v>
      </c>
      <c r="O35" s="189"/>
      <c r="P35" s="189"/>
      <c r="Q35" s="189"/>
      <c r="R35" s="189" t="str">
        <f t="shared" si="4"/>
        <v xml:space="preserve"> </v>
      </c>
      <c r="S35" s="189"/>
      <c r="T35" s="253"/>
      <c r="U35" s="13"/>
      <c r="V35" s="253"/>
      <c r="W35" s="253"/>
      <c r="X35" s="16"/>
    </row>
    <row r="36" spans="1:24" ht="15" customHeight="1" x14ac:dyDescent="0.35">
      <c r="A36" s="245">
        <v>45275</v>
      </c>
      <c r="B36" s="246"/>
      <c r="C36" s="211" t="s">
        <v>321</v>
      </c>
      <c r="D36" s="15">
        <v>3</v>
      </c>
      <c r="E36" s="15"/>
      <c r="F36" s="9">
        <v>850</v>
      </c>
      <c r="G36" s="29">
        <f t="shared" si="0"/>
        <v>2550</v>
      </c>
      <c r="H36" s="11"/>
      <c r="I36" s="10"/>
      <c r="J36" s="29">
        <f t="shared" si="1"/>
        <v>0</v>
      </c>
      <c r="K36" s="29"/>
      <c r="L36" s="223">
        <f t="shared" si="2"/>
        <v>2550</v>
      </c>
      <c r="M36" s="12"/>
      <c r="N36" s="218" t="str">
        <f t="shared" si="3"/>
        <v xml:space="preserve"> </v>
      </c>
      <c r="O36" s="189"/>
      <c r="P36" s="189"/>
      <c r="Q36" s="189"/>
      <c r="R36" s="189" t="str">
        <f t="shared" si="4"/>
        <v xml:space="preserve"> </v>
      </c>
      <c r="S36" s="189"/>
      <c r="T36" s="253"/>
      <c r="U36" s="13"/>
      <c r="V36" s="253"/>
      <c r="W36" s="253"/>
      <c r="X36" s="16"/>
    </row>
    <row r="37" spans="1:24" ht="15" customHeight="1" x14ac:dyDescent="0.35">
      <c r="A37" s="245">
        <v>45276</v>
      </c>
      <c r="B37" s="246"/>
      <c r="C37" s="211" t="s">
        <v>323</v>
      </c>
      <c r="D37" s="15"/>
      <c r="E37" s="15">
        <v>1</v>
      </c>
      <c r="F37" s="9">
        <v>850</v>
      </c>
      <c r="G37" s="29">
        <f t="shared" si="0"/>
        <v>850</v>
      </c>
      <c r="H37" s="11"/>
      <c r="I37" s="10"/>
      <c r="J37" s="29">
        <f t="shared" si="1"/>
        <v>0</v>
      </c>
      <c r="K37" s="29"/>
      <c r="L37" s="223">
        <f t="shared" si="2"/>
        <v>850</v>
      </c>
      <c r="M37" s="12"/>
      <c r="N37" s="218" t="str">
        <f t="shared" si="3"/>
        <v xml:space="preserve"> </v>
      </c>
      <c r="O37" s="189"/>
      <c r="P37" s="189"/>
      <c r="Q37" s="189"/>
      <c r="R37" s="189" t="str">
        <f t="shared" si="4"/>
        <v xml:space="preserve"> </v>
      </c>
      <c r="S37" s="189"/>
      <c r="T37" s="253"/>
      <c r="U37" s="13"/>
      <c r="V37" s="253"/>
      <c r="W37" s="253"/>
      <c r="X37" s="16"/>
    </row>
    <row r="38" spans="1:24" ht="15" customHeight="1" x14ac:dyDescent="0.35">
      <c r="A38" s="245">
        <v>45276</v>
      </c>
      <c r="B38" s="246"/>
      <c r="C38" s="212" t="s">
        <v>112</v>
      </c>
      <c r="D38" s="15">
        <v>12</v>
      </c>
      <c r="E38" s="15"/>
      <c r="F38" s="9">
        <v>820</v>
      </c>
      <c r="G38" s="29">
        <f t="shared" si="0"/>
        <v>9840</v>
      </c>
      <c r="H38" s="11"/>
      <c r="I38" s="10"/>
      <c r="J38" s="29">
        <f t="shared" si="1"/>
        <v>0</v>
      </c>
      <c r="K38" s="29"/>
      <c r="L38" s="223">
        <f t="shared" si="2"/>
        <v>9840</v>
      </c>
      <c r="M38" s="12"/>
      <c r="N38" s="218" t="str">
        <f t="shared" si="3"/>
        <v xml:space="preserve"> </v>
      </c>
      <c r="O38" s="189"/>
      <c r="P38" s="189"/>
      <c r="Q38" s="189"/>
      <c r="R38" s="189" t="str">
        <f t="shared" si="4"/>
        <v xml:space="preserve"> </v>
      </c>
      <c r="S38" s="189"/>
      <c r="T38" s="253"/>
      <c r="U38" s="13"/>
      <c r="V38" s="253"/>
      <c r="W38" s="253"/>
      <c r="X38" s="16"/>
    </row>
    <row r="39" spans="1:24" ht="15" customHeight="1" x14ac:dyDescent="0.35">
      <c r="A39" s="245">
        <v>45278</v>
      </c>
      <c r="B39" s="246"/>
      <c r="C39" s="211" t="s">
        <v>428</v>
      </c>
      <c r="D39" s="15">
        <v>6</v>
      </c>
      <c r="E39" s="15"/>
      <c r="F39" s="9">
        <v>750</v>
      </c>
      <c r="G39" s="29">
        <f t="shared" si="0"/>
        <v>4500</v>
      </c>
      <c r="H39" s="11"/>
      <c r="I39" s="10"/>
      <c r="J39" s="29">
        <f t="shared" si="1"/>
        <v>0</v>
      </c>
      <c r="K39" s="29"/>
      <c r="L39" s="223">
        <f t="shared" si="2"/>
        <v>4500</v>
      </c>
      <c r="M39" s="12"/>
      <c r="N39" s="218" t="str">
        <f t="shared" si="3"/>
        <v xml:space="preserve"> </v>
      </c>
      <c r="O39" s="189"/>
      <c r="P39" s="189"/>
      <c r="Q39" s="189"/>
      <c r="R39" s="189" t="str">
        <f t="shared" si="4"/>
        <v xml:space="preserve"> </v>
      </c>
      <c r="S39" s="189"/>
      <c r="T39" s="253"/>
      <c r="U39" s="13"/>
      <c r="V39" s="253"/>
      <c r="W39" s="253"/>
      <c r="X39" s="16"/>
    </row>
    <row r="40" spans="1:24" ht="15" customHeight="1" x14ac:dyDescent="0.35">
      <c r="A40" s="245">
        <v>45279</v>
      </c>
      <c r="B40" s="246"/>
      <c r="C40" s="212" t="s">
        <v>468</v>
      </c>
      <c r="D40" s="15">
        <v>1</v>
      </c>
      <c r="E40" s="15"/>
      <c r="F40" s="9">
        <v>850</v>
      </c>
      <c r="G40" s="29">
        <f t="shared" si="0"/>
        <v>850</v>
      </c>
      <c r="H40" s="11"/>
      <c r="I40" s="10"/>
      <c r="J40" s="29">
        <f t="shared" si="1"/>
        <v>0</v>
      </c>
      <c r="K40" s="29"/>
      <c r="L40" s="223">
        <f t="shared" si="2"/>
        <v>850</v>
      </c>
      <c r="M40" s="12"/>
      <c r="N40" s="218" t="str">
        <f t="shared" si="3"/>
        <v xml:space="preserve"> </v>
      </c>
      <c r="O40" s="189"/>
      <c r="P40" s="189"/>
      <c r="Q40" s="189"/>
      <c r="R40" s="189" t="str">
        <f t="shared" si="4"/>
        <v xml:space="preserve"> </v>
      </c>
      <c r="S40" s="189"/>
      <c r="T40" s="253"/>
      <c r="U40" s="13"/>
      <c r="V40" s="253"/>
      <c r="W40" s="253"/>
      <c r="X40" s="16"/>
    </row>
    <row r="41" spans="1:24" ht="15" customHeight="1" x14ac:dyDescent="0.35">
      <c r="A41" s="245">
        <v>45279</v>
      </c>
      <c r="B41" s="246"/>
      <c r="C41" s="211" t="s">
        <v>153</v>
      </c>
      <c r="D41" s="15">
        <v>1</v>
      </c>
      <c r="E41" s="15"/>
      <c r="F41" s="9">
        <v>850</v>
      </c>
      <c r="G41" s="29">
        <f t="shared" si="0"/>
        <v>850</v>
      </c>
      <c r="H41" s="11"/>
      <c r="I41" s="10"/>
      <c r="J41" s="29">
        <f t="shared" si="1"/>
        <v>0</v>
      </c>
      <c r="K41" s="29"/>
      <c r="L41" s="223">
        <f t="shared" si="2"/>
        <v>850</v>
      </c>
      <c r="M41" s="12"/>
      <c r="N41" s="218" t="str">
        <f t="shared" si="3"/>
        <v xml:space="preserve"> </v>
      </c>
      <c r="O41" s="189"/>
      <c r="P41" s="189"/>
      <c r="Q41" s="189"/>
      <c r="R41" s="189" t="str">
        <f t="shared" si="4"/>
        <v xml:space="preserve"> </v>
      </c>
      <c r="S41" s="189"/>
      <c r="T41" s="253"/>
      <c r="U41" s="13"/>
      <c r="V41" s="253"/>
      <c r="W41" s="253"/>
      <c r="X41" s="16"/>
    </row>
    <row r="42" spans="1:24" ht="15" customHeight="1" x14ac:dyDescent="0.35">
      <c r="A42" s="245">
        <v>45279</v>
      </c>
      <c r="B42" s="246"/>
      <c r="C42" s="212" t="s">
        <v>469</v>
      </c>
      <c r="D42" s="15"/>
      <c r="E42" s="15">
        <v>1</v>
      </c>
      <c r="F42" s="9">
        <v>850</v>
      </c>
      <c r="G42" s="29">
        <f t="shared" si="0"/>
        <v>850</v>
      </c>
      <c r="H42" s="11"/>
      <c r="I42" s="10"/>
      <c r="J42" s="29">
        <f t="shared" si="1"/>
        <v>0</v>
      </c>
      <c r="K42" s="29"/>
      <c r="L42" s="223">
        <f t="shared" si="2"/>
        <v>850</v>
      </c>
      <c r="M42" s="12"/>
      <c r="N42" s="218" t="str">
        <f t="shared" si="3"/>
        <v xml:space="preserve"> </v>
      </c>
      <c r="O42" s="189"/>
      <c r="P42" s="189"/>
      <c r="Q42" s="189"/>
      <c r="R42" s="189" t="str">
        <f t="shared" si="4"/>
        <v xml:space="preserve"> </v>
      </c>
      <c r="S42" s="189"/>
      <c r="T42" s="253"/>
      <c r="U42" s="13"/>
      <c r="V42" s="253"/>
      <c r="W42" s="253"/>
      <c r="X42" s="16"/>
    </row>
    <row r="43" spans="1:24" ht="15" customHeight="1" x14ac:dyDescent="0.35">
      <c r="A43" s="245">
        <v>45279</v>
      </c>
      <c r="B43" s="246"/>
      <c r="C43" s="212" t="s">
        <v>330</v>
      </c>
      <c r="D43" s="15"/>
      <c r="E43" s="15">
        <v>6</v>
      </c>
      <c r="F43" s="9">
        <v>820</v>
      </c>
      <c r="G43" s="29">
        <f t="shared" si="0"/>
        <v>4920</v>
      </c>
      <c r="H43" s="11"/>
      <c r="I43" s="10"/>
      <c r="J43" s="29">
        <f t="shared" si="1"/>
        <v>0</v>
      </c>
      <c r="K43" s="29"/>
      <c r="L43" s="223">
        <f t="shared" si="2"/>
        <v>4920</v>
      </c>
      <c r="M43" s="12"/>
      <c r="N43" s="218" t="str">
        <f t="shared" si="3"/>
        <v xml:space="preserve"> </v>
      </c>
      <c r="O43" s="189"/>
      <c r="P43" s="189"/>
      <c r="Q43" s="189"/>
      <c r="R43" s="189" t="str">
        <f t="shared" si="4"/>
        <v xml:space="preserve"> </v>
      </c>
      <c r="S43" s="189"/>
      <c r="T43" s="253"/>
      <c r="U43" s="13"/>
      <c r="V43" s="253"/>
      <c r="W43" s="253"/>
      <c r="X43" s="16"/>
    </row>
    <row r="44" spans="1:24" ht="15" customHeight="1" x14ac:dyDescent="0.35">
      <c r="A44" s="245">
        <v>45279</v>
      </c>
      <c r="B44" s="246"/>
      <c r="C44" s="211" t="s">
        <v>443</v>
      </c>
      <c r="D44" s="15"/>
      <c r="E44" s="15">
        <v>1</v>
      </c>
      <c r="F44" s="9">
        <v>810</v>
      </c>
      <c r="G44" s="29">
        <f t="shared" si="0"/>
        <v>810</v>
      </c>
      <c r="H44" s="11"/>
      <c r="I44" s="10"/>
      <c r="J44" s="29">
        <f t="shared" si="1"/>
        <v>0</v>
      </c>
      <c r="K44" s="29"/>
      <c r="L44" s="223">
        <f t="shared" si="2"/>
        <v>810</v>
      </c>
      <c r="M44" s="213"/>
      <c r="N44" s="218" t="str">
        <f t="shared" si="3"/>
        <v xml:space="preserve"> </v>
      </c>
      <c r="O44" s="189"/>
      <c r="P44" s="189"/>
      <c r="Q44" s="189"/>
      <c r="R44" s="189" t="str">
        <f t="shared" si="4"/>
        <v xml:space="preserve"> </v>
      </c>
      <c r="S44" s="189"/>
      <c r="T44" s="253"/>
      <c r="U44" s="13"/>
      <c r="V44" s="253"/>
      <c r="W44" s="253"/>
      <c r="X44" s="16"/>
    </row>
    <row r="45" spans="1:24" ht="15" customHeight="1" x14ac:dyDescent="0.35">
      <c r="A45" s="245">
        <v>45279</v>
      </c>
      <c r="B45" s="246"/>
      <c r="C45" s="211" t="s">
        <v>296</v>
      </c>
      <c r="D45" s="15"/>
      <c r="E45" s="15">
        <v>4</v>
      </c>
      <c r="F45" s="9">
        <v>840</v>
      </c>
      <c r="G45" s="29">
        <f t="shared" si="0"/>
        <v>3360</v>
      </c>
      <c r="H45" s="11"/>
      <c r="I45" s="10"/>
      <c r="J45" s="29">
        <f t="shared" si="1"/>
        <v>0</v>
      </c>
      <c r="K45" s="29"/>
      <c r="L45" s="223">
        <f t="shared" si="2"/>
        <v>3360</v>
      </c>
      <c r="M45" s="213"/>
      <c r="N45" s="218" t="str">
        <f t="shared" si="3"/>
        <v xml:space="preserve"> </v>
      </c>
      <c r="O45" s="189"/>
      <c r="P45" s="189"/>
      <c r="Q45" s="189"/>
      <c r="R45" s="189" t="str">
        <f t="shared" si="4"/>
        <v xml:space="preserve"> </v>
      </c>
      <c r="S45" s="189"/>
      <c r="T45" s="253"/>
      <c r="U45" s="13"/>
      <c r="V45" s="253"/>
      <c r="W45" s="253"/>
      <c r="X45" s="16"/>
    </row>
    <row r="46" spans="1:24" ht="15" customHeight="1" x14ac:dyDescent="0.35">
      <c r="A46" s="245">
        <v>45279</v>
      </c>
      <c r="B46" s="246"/>
      <c r="C46" s="211" t="s">
        <v>324</v>
      </c>
      <c r="D46" s="15"/>
      <c r="E46" s="15">
        <v>1</v>
      </c>
      <c r="F46" s="9">
        <v>850</v>
      </c>
      <c r="G46" s="29">
        <f t="shared" si="0"/>
        <v>850</v>
      </c>
      <c r="H46" s="11"/>
      <c r="I46" s="10"/>
      <c r="J46" s="29">
        <f t="shared" si="1"/>
        <v>0</v>
      </c>
      <c r="K46" s="29"/>
      <c r="L46" s="223">
        <f t="shared" si="2"/>
        <v>850</v>
      </c>
      <c r="M46" s="12"/>
      <c r="N46" s="218" t="str">
        <f>IF(M46&gt;0,SUM(L46-M46)," ")</f>
        <v xml:space="preserve"> </v>
      </c>
      <c r="O46" s="189"/>
      <c r="P46" s="189"/>
      <c r="Q46" s="189"/>
      <c r="R46" s="189" t="str">
        <f t="shared" si="4"/>
        <v xml:space="preserve"> </v>
      </c>
      <c r="S46" s="189"/>
      <c r="T46" s="253"/>
      <c r="U46" s="13"/>
      <c r="V46" s="253"/>
      <c r="W46" s="253"/>
      <c r="X46" s="16"/>
    </row>
    <row r="47" spans="1:24" ht="15" customHeight="1" x14ac:dyDescent="0.35">
      <c r="A47" s="245">
        <v>45280</v>
      </c>
      <c r="B47" s="246"/>
      <c r="C47" s="211" t="s">
        <v>322</v>
      </c>
      <c r="D47" s="15">
        <v>1</v>
      </c>
      <c r="E47" s="15"/>
      <c r="F47" s="9">
        <v>850</v>
      </c>
      <c r="G47" s="29">
        <f t="shared" si="0"/>
        <v>850</v>
      </c>
      <c r="H47" s="11"/>
      <c r="I47" s="10"/>
      <c r="J47" s="29">
        <f t="shared" si="1"/>
        <v>0</v>
      </c>
      <c r="K47" s="29"/>
      <c r="L47" s="223">
        <f t="shared" si="2"/>
        <v>850</v>
      </c>
      <c r="M47" s="12"/>
      <c r="N47" s="218" t="str">
        <f>IF(M47&gt;0,SUM(L47-M47)," ")</f>
        <v xml:space="preserve"> </v>
      </c>
      <c r="O47" s="189"/>
      <c r="P47" s="189"/>
      <c r="Q47" s="189"/>
      <c r="R47" s="189" t="str">
        <f t="shared" si="4"/>
        <v xml:space="preserve"> </v>
      </c>
      <c r="S47" s="189"/>
      <c r="T47" s="253"/>
      <c r="U47" s="13"/>
      <c r="V47" s="253"/>
      <c r="W47" s="253"/>
      <c r="X47" s="16"/>
    </row>
    <row r="48" spans="1:24" ht="15" customHeight="1" x14ac:dyDescent="0.35">
      <c r="A48" s="245">
        <v>45280</v>
      </c>
      <c r="B48" s="246"/>
      <c r="C48" s="211" t="s">
        <v>279</v>
      </c>
      <c r="D48" s="15"/>
      <c r="E48" s="15">
        <v>6</v>
      </c>
      <c r="F48" s="9">
        <v>780</v>
      </c>
      <c r="G48" s="29">
        <f t="shared" si="0"/>
        <v>4680</v>
      </c>
      <c r="H48" s="11"/>
      <c r="I48" s="10"/>
      <c r="J48" s="29">
        <f t="shared" si="1"/>
        <v>0</v>
      </c>
      <c r="K48" s="29"/>
      <c r="L48" s="223">
        <f t="shared" si="2"/>
        <v>4680</v>
      </c>
      <c r="M48" s="213"/>
      <c r="N48" s="218" t="str">
        <f t="shared" si="3"/>
        <v xml:space="preserve"> </v>
      </c>
      <c r="O48" s="189"/>
      <c r="P48" s="189"/>
      <c r="Q48" s="189"/>
      <c r="R48" s="189" t="str">
        <f t="shared" si="4"/>
        <v xml:space="preserve"> </v>
      </c>
      <c r="S48" s="189"/>
      <c r="T48" s="253"/>
      <c r="U48" s="13"/>
      <c r="V48" s="253"/>
      <c r="W48" s="253"/>
      <c r="X48" s="16"/>
    </row>
    <row r="49" spans="1:24" ht="15" customHeight="1" x14ac:dyDescent="0.35">
      <c r="A49" s="245">
        <v>45280</v>
      </c>
      <c r="B49" s="246"/>
      <c r="C49" s="212" t="s">
        <v>326</v>
      </c>
      <c r="D49" s="15"/>
      <c r="E49" s="15">
        <v>1</v>
      </c>
      <c r="F49" s="9">
        <v>820</v>
      </c>
      <c r="G49" s="29">
        <f t="shared" si="0"/>
        <v>820</v>
      </c>
      <c r="H49" s="11"/>
      <c r="I49" s="10"/>
      <c r="J49" s="29">
        <f t="shared" si="1"/>
        <v>0</v>
      </c>
      <c r="K49" s="29"/>
      <c r="L49" s="223">
        <f t="shared" si="2"/>
        <v>820</v>
      </c>
      <c r="M49" s="12"/>
      <c r="N49" s="218" t="str">
        <f t="shared" si="3"/>
        <v xml:space="preserve"> </v>
      </c>
      <c r="O49" s="189"/>
      <c r="P49" s="189"/>
      <c r="Q49" s="189"/>
      <c r="R49" s="189" t="str">
        <f t="shared" si="4"/>
        <v xml:space="preserve"> </v>
      </c>
      <c r="S49" s="189"/>
      <c r="T49" s="253"/>
      <c r="U49" s="13"/>
      <c r="V49" s="253"/>
      <c r="W49" s="253"/>
      <c r="X49" s="16"/>
    </row>
    <row r="50" spans="1:24" ht="15" customHeight="1" x14ac:dyDescent="0.35">
      <c r="A50" s="245">
        <v>45281</v>
      </c>
      <c r="B50" s="246"/>
      <c r="C50" s="211" t="s">
        <v>281</v>
      </c>
      <c r="D50" s="15"/>
      <c r="E50" s="15">
        <v>2</v>
      </c>
      <c r="F50" s="9">
        <v>800</v>
      </c>
      <c r="G50" s="29">
        <f t="shared" si="0"/>
        <v>1600</v>
      </c>
      <c r="H50" s="11"/>
      <c r="I50" s="10"/>
      <c r="J50" s="29">
        <f t="shared" si="1"/>
        <v>0</v>
      </c>
      <c r="K50" s="29"/>
      <c r="L50" s="223">
        <f t="shared" si="2"/>
        <v>1600</v>
      </c>
      <c r="M50" s="12"/>
      <c r="N50" s="218" t="str">
        <f t="shared" si="3"/>
        <v xml:space="preserve"> </v>
      </c>
      <c r="O50" s="189"/>
      <c r="P50" s="189"/>
      <c r="Q50" s="189"/>
      <c r="R50" s="189" t="str">
        <f t="shared" si="4"/>
        <v xml:space="preserve"> </v>
      </c>
      <c r="S50" s="189"/>
      <c r="T50" s="253"/>
      <c r="U50" s="13"/>
      <c r="V50" s="253"/>
      <c r="W50" s="253"/>
      <c r="X50" s="16"/>
    </row>
    <row r="51" spans="1:24" ht="15" customHeight="1" x14ac:dyDescent="0.35">
      <c r="A51" s="245">
        <v>45281</v>
      </c>
      <c r="B51" s="246"/>
      <c r="C51" s="212" t="s">
        <v>280</v>
      </c>
      <c r="D51" s="15"/>
      <c r="E51" s="15">
        <v>2</v>
      </c>
      <c r="F51" s="9">
        <v>820</v>
      </c>
      <c r="G51" s="29">
        <f t="shared" si="0"/>
        <v>1640</v>
      </c>
      <c r="H51" s="11"/>
      <c r="I51" s="10"/>
      <c r="J51" s="29">
        <f t="shared" si="1"/>
        <v>0</v>
      </c>
      <c r="K51" s="29"/>
      <c r="L51" s="223">
        <f t="shared" si="2"/>
        <v>1640</v>
      </c>
      <c r="M51" s="213"/>
      <c r="N51" s="218" t="str">
        <f t="shared" si="3"/>
        <v xml:space="preserve"> </v>
      </c>
      <c r="O51" s="189"/>
      <c r="P51" s="189"/>
      <c r="Q51" s="189"/>
      <c r="R51" s="189" t="str">
        <f t="shared" si="4"/>
        <v xml:space="preserve"> </v>
      </c>
      <c r="S51" s="189"/>
      <c r="T51" s="253"/>
      <c r="U51" s="13"/>
      <c r="V51" s="253"/>
      <c r="W51" s="253"/>
      <c r="X51" s="16"/>
    </row>
    <row r="52" spans="1:24" ht="15" customHeight="1" x14ac:dyDescent="0.35">
      <c r="A52" s="245">
        <v>45281</v>
      </c>
      <c r="B52" s="246"/>
      <c r="C52" s="211" t="s">
        <v>321</v>
      </c>
      <c r="D52" s="15"/>
      <c r="E52" s="15">
        <v>3</v>
      </c>
      <c r="F52" s="9">
        <v>850</v>
      </c>
      <c r="G52" s="29">
        <f t="shared" si="0"/>
        <v>2550</v>
      </c>
      <c r="H52" s="11"/>
      <c r="I52" s="10"/>
      <c r="J52" s="29">
        <f t="shared" si="1"/>
        <v>0</v>
      </c>
      <c r="K52" s="29"/>
      <c r="L52" s="223">
        <f t="shared" si="2"/>
        <v>2550</v>
      </c>
      <c r="M52" s="12"/>
      <c r="N52" s="218" t="str">
        <f t="shared" si="3"/>
        <v xml:space="preserve"> </v>
      </c>
      <c r="O52" s="189"/>
      <c r="P52" s="189"/>
      <c r="Q52" s="189"/>
      <c r="R52" s="189" t="str">
        <f t="shared" si="4"/>
        <v xml:space="preserve"> </v>
      </c>
      <c r="S52" s="189"/>
      <c r="T52" s="253"/>
      <c r="U52" s="13"/>
      <c r="V52" s="253"/>
      <c r="W52" s="253"/>
      <c r="X52" s="16"/>
    </row>
    <row r="53" spans="1:24" ht="15" customHeight="1" x14ac:dyDescent="0.35">
      <c r="A53" s="245">
        <v>45282</v>
      </c>
      <c r="B53" s="246"/>
      <c r="C53" s="211" t="s">
        <v>153</v>
      </c>
      <c r="D53" s="15">
        <v>1</v>
      </c>
      <c r="E53" s="15"/>
      <c r="F53" s="9">
        <v>850</v>
      </c>
      <c r="G53" s="29">
        <f t="shared" si="0"/>
        <v>850</v>
      </c>
      <c r="H53" s="11"/>
      <c r="I53" s="10"/>
      <c r="J53" s="29">
        <f t="shared" si="1"/>
        <v>0</v>
      </c>
      <c r="K53" s="29"/>
      <c r="L53" s="223">
        <f t="shared" si="2"/>
        <v>850</v>
      </c>
      <c r="M53" s="12"/>
      <c r="N53" s="218" t="str">
        <f t="shared" si="3"/>
        <v xml:space="preserve"> </v>
      </c>
      <c r="O53" s="189"/>
      <c r="P53" s="189"/>
      <c r="Q53" s="189"/>
      <c r="R53" s="189" t="str">
        <f t="shared" si="4"/>
        <v xml:space="preserve"> </v>
      </c>
      <c r="S53" s="189"/>
      <c r="T53" s="253"/>
      <c r="U53" s="13"/>
      <c r="V53" s="253"/>
      <c r="W53" s="253"/>
      <c r="X53" s="16"/>
    </row>
    <row r="54" spans="1:24" ht="15" customHeight="1" x14ac:dyDescent="0.35">
      <c r="A54" s="245">
        <v>45282</v>
      </c>
      <c r="B54" s="246"/>
      <c r="C54" s="212" t="s">
        <v>336</v>
      </c>
      <c r="D54" s="15">
        <v>1</v>
      </c>
      <c r="E54" s="15"/>
      <c r="F54" s="9">
        <v>850</v>
      </c>
      <c r="G54" s="29">
        <f t="shared" si="0"/>
        <v>850</v>
      </c>
      <c r="H54" s="11"/>
      <c r="I54" s="10"/>
      <c r="J54" s="29">
        <f t="shared" si="1"/>
        <v>0</v>
      </c>
      <c r="K54" s="29"/>
      <c r="L54" s="223">
        <f t="shared" si="2"/>
        <v>850</v>
      </c>
      <c r="M54" s="12"/>
      <c r="N54" s="218" t="str">
        <f t="shared" si="3"/>
        <v xml:space="preserve"> </v>
      </c>
      <c r="O54" s="189"/>
      <c r="P54" s="189"/>
      <c r="Q54" s="189"/>
      <c r="R54" s="189" t="str">
        <f t="shared" si="4"/>
        <v xml:space="preserve"> </v>
      </c>
      <c r="S54" s="189"/>
      <c r="T54" s="253"/>
      <c r="U54" s="13"/>
      <c r="V54" s="253"/>
      <c r="W54" s="253"/>
      <c r="X54" s="16"/>
    </row>
    <row r="55" spans="1:24" ht="15" customHeight="1" x14ac:dyDescent="0.35">
      <c r="A55" s="245">
        <v>45282</v>
      </c>
      <c r="B55" s="246"/>
      <c r="C55" s="211" t="s">
        <v>152</v>
      </c>
      <c r="D55" s="15">
        <v>8</v>
      </c>
      <c r="E55" s="15"/>
      <c r="F55" s="9">
        <v>830</v>
      </c>
      <c r="G55" s="29">
        <f t="shared" si="0"/>
        <v>6640</v>
      </c>
      <c r="H55" s="11"/>
      <c r="I55" s="10"/>
      <c r="J55" s="29">
        <f t="shared" si="1"/>
        <v>0</v>
      </c>
      <c r="K55" s="29"/>
      <c r="L55" s="223">
        <f t="shared" si="2"/>
        <v>6640</v>
      </c>
      <c r="M55" s="12"/>
      <c r="N55" s="218" t="str">
        <f t="shared" si="3"/>
        <v xml:space="preserve"> </v>
      </c>
      <c r="O55" s="189"/>
      <c r="P55" s="189"/>
      <c r="Q55" s="189"/>
      <c r="R55" s="189" t="str">
        <f t="shared" si="4"/>
        <v xml:space="preserve"> </v>
      </c>
      <c r="S55" s="189"/>
      <c r="T55" s="253"/>
      <c r="U55" s="13"/>
      <c r="V55" s="253"/>
      <c r="W55" s="253"/>
      <c r="X55" s="16"/>
    </row>
    <row r="56" spans="1:24" ht="15" customHeight="1" x14ac:dyDescent="0.35">
      <c r="A56" s="245">
        <v>45283</v>
      </c>
      <c r="B56" s="246"/>
      <c r="C56" s="211" t="s">
        <v>323</v>
      </c>
      <c r="D56" s="15">
        <v>1</v>
      </c>
      <c r="E56" s="15"/>
      <c r="F56" s="9">
        <v>850</v>
      </c>
      <c r="G56" s="29">
        <f t="shared" si="0"/>
        <v>850</v>
      </c>
      <c r="H56" s="11"/>
      <c r="I56" s="10"/>
      <c r="J56" s="29">
        <f t="shared" si="1"/>
        <v>0</v>
      </c>
      <c r="K56" s="29"/>
      <c r="L56" s="223">
        <f t="shared" si="2"/>
        <v>850</v>
      </c>
      <c r="M56" s="12"/>
      <c r="N56" s="218" t="str">
        <f t="shared" si="3"/>
        <v xml:space="preserve"> </v>
      </c>
      <c r="O56" s="189"/>
      <c r="P56" s="189"/>
      <c r="Q56" s="189"/>
      <c r="R56" s="189" t="str">
        <f t="shared" si="4"/>
        <v xml:space="preserve"> </v>
      </c>
      <c r="S56" s="189"/>
      <c r="T56" s="253"/>
      <c r="U56" s="13"/>
      <c r="V56" s="253"/>
      <c r="W56" s="253"/>
      <c r="X56" s="16"/>
    </row>
    <row r="57" spans="1:24" ht="15" customHeight="1" x14ac:dyDescent="0.35">
      <c r="A57" s="245">
        <v>45286</v>
      </c>
      <c r="B57" s="246"/>
      <c r="C57" s="211" t="s">
        <v>469</v>
      </c>
      <c r="D57" s="15"/>
      <c r="E57" s="15">
        <v>1</v>
      </c>
      <c r="F57" s="9">
        <v>850</v>
      </c>
      <c r="G57" s="29">
        <f t="shared" si="0"/>
        <v>850</v>
      </c>
      <c r="H57" s="11"/>
      <c r="I57" s="10"/>
      <c r="J57" s="29">
        <f t="shared" si="1"/>
        <v>0</v>
      </c>
      <c r="K57" s="29"/>
      <c r="L57" s="223">
        <f t="shared" si="2"/>
        <v>850</v>
      </c>
      <c r="M57" s="12"/>
      <c r="N57" s="218" t="str">
        <f t="shared" si="3"/>
        <v xml:space="preserve"> </v>
      </c>
      <c r="O57" s="189"/>
      <c r="P57" s="189"/>
      <c r="Q57" s="189"/>
      <c r="R57" s="189" t="str">
        <f t="shared" si="4"/>
        <v xml:space="preserve"> </v>
      </c>
      <c r="S57" s="189"/>
      <c r="T57" s="253"/>
      <c r="U57" s="13"/>
      <c r="V57" s="253"/>
      <c r="W57" s="253"/>
      <c r="X57" s="16"/>
    </row>
    <row r="58" spans="1:24" ht="15" customHeight="1" x14ac:dyDescent="0.35">
      <c r="A58" s="245">
        <v>45286</v>
      </c>
      <c r="B58" s="246"/>
      <c r="C58" s="212" t="s">
        <v>296</v>
      </c>
      <c r="D58" s="15"/>
      <c r="E58" s="15">
        <v>4</v>
      </c>
      <c r="F58" s="9">
        <v>840</v>
      </c>
      <c r="G58" s="29">
        <f t="shared" si="0"/>
        <v>3360</v>
      </c>
      <c r="H58" s="11"/>
      <c r="I58" s="10"/>
      <c r="J58" s="29">
        <f t="shared" si="1"/>
        <v>0</v>
      </c>
      <c r="K58" s="29"/>
      <c r="L58" s="223">
        <f t="shared" si="2"/>
        <v>3360</v>
      </c>
      <c r="M58" s="12"/>
      <c r="N58" s="239" t="str">
        <f t="shared" si="3"/>
        <v xml:space="preserve"> </v>
      </c>
      <c r="O58" s="189"/>
      <c r="P58" s="189"/>
      <c r="Q58" s="189"/>
      <c r="R58" s="189" t="str">
        <f t="shared" si="4"/>
        <v xml:space="preserve"> </v>
      </c>
      <c r="S58" s="189"/>
      <c r="T58" s="253"/>
      <c r="U58" s="13"/>
      <c r="V58" s="253"/>
      <c r="W58" s="253"/>
      <c r="X58" s="16"/>
    </row>
    <row r="59" spans="1:24" ht="15" customHeight="1" x14ac:dyDescent="0.35">
      <c r="A59" s="245">
        <v>45287</v>
      </c>
      <c r="B59" s="246"/>
      <c r="C59" s="211" t="s">
        <v>153</v>
      </c>
      <c r="D59" s="15"/>
      <c r="E59" s="15">
        <v>1</v>
      </c>
      <c r="F59" s="9">
        <v>850</v>
      </c>
      <c r="G59" s="29">
        <f t="shared" si="0"/>
        <v>850</v>
      </c>
      <c r="H59" s="11"/>
      <c r="I59" s="10"/>
      <c r="J59" s="29">
        <f t="shared" si="1"/>
        <v>0</v>
      </c>
      <c r="K59" s="29"/>
      <c r="L59" s="223">
        <f t="shared" si="2"/>
        <v>850</v>
      </c>
      <c r="M59" s="12"/>
      <c r="N59" s="218" t="str">
        <f t="shared" si="3"/>
        <v xml:space="preserve"> </v>
      </c>
      <c r="O59" s="189"/>
      <c r="P59" s="189"/>
      <c r="Q59" s="189"/>
      <c r="R59" s="189" t="str">
        <f t="shared" si="4"/>
        <v xml:space="preserve"> </v>
      </c>
      <c r="S59" s="189"/>
      <c r="T59" s="253"/>
      <c r="U59" s="13"/>
      <c r="V59" s="253"/>
      <c r="W59" s="253"/>
      <c r="X59" s="16"/>
    </row>
    <row r="60" spans="1:24" ht="15" customHeight="1" x14ac:dyDescent="0.35">
      <c r="A60" s="245">
        <v>45287</v>
      </c>
      <c r="B60" s="246"/>
      <c r="C60" s="211" t="s">
        <v>330</v>
      </c>
      <c r="D60" s="15"/>
      <c r="E60" s="15">
        <v>12</v>
      </c>
      <c r="F60" s="9">
        <v>820</v>
      </c>
      <c r="G60" s="29">
        <f t="shared" si="0"/>
        <v>9840</v>
      </c>
      <c r="H60" s="11"/>
      <c r="I60" s="10"/>
      <c r="J60" s="29">
        <f t="shared" si="1"/>
        <v>0</v>
      </c>
      <c r="K60" s="29"/>
      <c r="L60" s="223">
        <f t="shared" si="2"/>
        <v>9840</v>
      </c>
      <c r="M60" s="12"/>
      <c r="N60" s="218" t="str">
        <f t="shared" si="3"/>
        <v xml:space="preserve"> </v>
      </c>
      <c r="O60" s="189"/>
      <c r="P60" s="189"/>
      <c r="Q60" s="189"/>
      <c r="R60" s="189" t="str">
        <f>IF(O60&gt;0,SUM(O60-(L60+P60))," ")</f>
        <v xml:space="preserve"> </v>
      </c>
      <c r="S60" s="189"/>
      <c r="T60" s="253"/>
      <c r="U60" s="13"/>
      <c r="V60" s="253"/>
      <c r="W60" s="253"/>
      <c r="X60" s="16"/>
    </row>
    <row r="61" spans="1:24" ht="15" customHeight="1" x14ac:dyDescent="0.35">
      <c r="A61" s="245">
        <v>45288</v>
      </c>
      <c r="B61" s="246"/>
      <c r="C61" s="212" t="s">
        <v>322</v>
      </c>
      <c r="D61" s="15">
        <v>1</v>
      </c>
      <c r="E61" s="15"/>
      <c r="F61" s="9">
        <v>850</v>
      </c>
      <c r="G61" s="29">
        <f t="shared" si="0"/>
        <v>850</v>
      </c>
      <c r="H61" s="11"/>
      <c r="I61" s="10"/>
      <c r="J61" s="29">
        <f t="shared" si="1"/>
        <v>0</v>
      </c>
      <c r="K61" s="29"/>
      <c r="L61" s="223">
        <f t="shared" si="2"/>
        <v>850</v>
      </c>
      <c r="M61" s="12"/>
      <c r="N61" s="218" t="str">
        <f t="shared" si="3"/>
        <v xml:space="preserve"> </v>
      </c>
      <c r="O61" s="189"/>
      <c r="P61" s="189"/>
      <c r="Q61" s="189"/>
      <c r="R61" s="189" t="str">
        <f>IF(O61&gt;0,SUM(O61-(L61+P61))," ")</f>
        <v xml:space="preserve"> </v>
      </c>
      <c r="S61" s="189"/>
      <c r="T61" s="253"/>
      <c r="U61" s="13"/>
      <c r="V61" s="253"/>
      <c r="W61" s="253"/>
      <c r="X61" s="16"/>
    </row>
    <row r="62" spans="1:24" ht="15" customHeight="1" x14ac:dyDescent="0.35">
      <c r="A62" s="245">
        <v>45288</v>
      </c>
      <c r="B62" s="246"/>
      <c r="C62" s="211" t="s">
        <v>279</v>
      </c>
      <c r="D62" s="15"/>
      <c r="E62" s="15">
        <v>6</v>
      </c>
      <c r="F62" s="9">
        <v>780</v>
      </c>
      <c r="G62" s="29">
        <f t="shared" si="0"/>
        <v>4680</v>
      </c>
      <c r="H62" s="11"/>
      <c r="I62" s="10"/>
      <c r="J62" s="29">
        <f t="shared" si="1"/>
        <v>0</v>
      </c>
      <c r="K62" s="29"/>
      <c r="L62" s="223">
        <f t="shared" si="2"/>
        <v>4680</v>
      </c>
      <c r="M62" s="213"/>
      <c r="N62" s="218" t="str">
        <f t="shared" ref="N62:N101" si="5">IF(M62&gt;0,SUM(L62-M62)," ")</f>
        <v xml:space="preserve"> </v>
      </c>
      <c r="O62" s="189"/>
      <c r="P62" s="189"/>
      <c r="Q62" s="189"/>
      <c r="R62" s="189" t="str">
        <f t="shared" ref="R62:R97" si="6">IF(O62&gt;0,SUM(O62-(L62+P62))," ")</f>
        <v xml:space="preserve"> </v>
      </c>
      <c r="S62" s="189"/>
      <c r="T62" s="253"/>
      <c r="U62" s="13"/>
      <c r="V62" s="253"/>
      <c r="W62" s="253"/>
      <c r="X62" s="16"/>
    </row>
    <row r="63" spans="1:24" ht="15" customHeight="1" x14ac:dyDescent="0.35">
      <c r="A63" s="245">
        <v>45289</v>
      </c>
      <c r="B63" s="246"/>
      <c r="C63" s="211" t="s">
        <v>322</v>
      </c>
      <c r="D63" s="15">
        <v>1</v>
      </c>
      <c r="E63" s="15"/>
      <c r="F63" s="9">
        <v>850</v>
      </c>
      <c r="G63" s="29">
        <f t="shared" si="0"/>
        <v>850</v>
      </c>
      <c r="H63" s="11"/>
      <c r="I63" s="10"/>
      <c r="J63" s="29">
        <f t="shared" si="1"/>
        <v>0</v>
      </c>
      <c r="K63" s="29"/>
      <c r="L63" s="223">
        <f t="shared" si="2"/>
        <v>850</v>
      </c>
      <c r="M63" s="213"/>
      <c r="N63" s="239" t="str">
        <f t="shared" si="5"/>
        <v xml:space="preserve"> </v>
      </c>
      <c r="O63" s="189"/>
      <c r="P63" s="189"/>
      <c r="Q63" s="189"/>
      <c r="R63" s="189" t="str">
        <f t="shared" si="6"/>
        <v xml:space="preserve"> </v>
      </c>
      <c r="S63" s="189"/>
      <c r="T63" s="253"/>
      <c r="U63" s="13"/>
      <c r="V63" s="253"/>
      <c r="W63" s="253"/>
      <c r="X63" s="16"/>
    </row>
    <row r="64" spans="1:24" ht="15" customHeight="1" x14ac:dyDescent="0.35">
      <c r="A64" s="245"/>
      <c r="B64" s="246"/>
      <c r="C64" s="212" t="s">
        <v>434</v>
      </c>
      <c r="D64" s="15">
        <v>1</v>
      </c>
      <c r="E64" s="15"/>
      <c r="F64" s="9">
        <v>800</v>
      </c>
      <c r="G64" s="29">
        <f t="shared" si="0"/>
        <v>800</v>
      </c>
      <c r="H64" s="11"/>
      <c r="I64" s="10"/>
      <c r="J64" s="29">
        <f t="shared" si="1"/>
        <v>0</v>
      </c>
      <c r="K64" s="29"/>
      <c r="L64" s="223">
        <f t="shared" si="2"/>
        <v>800</v>
      </c>
      <c r="M64" s="12"/>
      <c r="N64" s="218" t="str">
        <f t="shared" si="5"/>
        <v xml:space="preserve"> </v>
      </c>
      <c r="O64" s="189"/>
      <c r="P64" s="189"/>
      <c r="Q64" s="189"/>
      <c r="R64" s="189" t="str">
        <f t="shared" si="6"/>
        <v xml:space="preserve"> </v>
      </c>
      <c r="S64" s="189"/>
      <c r="T64" s="253"/>
      <c r="U64" s="13"/>
      <c r="V64" s="253"/>
      <c r="W64" s="253"/>
      <c r="X64" s="16"/>
    </row>
    <row r="65" spans="1:24" ht="15" customHeight="1" x14ac:dyDescent="0.35">
      <c r="A65" s="245"/>
      <c r="B65" s="246"/>
      <c r="C65" s="212"/>
      <c r="D65" s="15"/>
      <c r="E65" s="15"/>
      <c r="F65" s="9">
        <v>825</v>
      </c>
      <c r="G65" s="29">
        <f t="shared" si="0"/>
        <v>0</v>
      </c>
      <c r="H65" s="11"/>
      <c r="I65" s="10"/>
      <c r="J65" s="29">
        <f t="shared" si="1"/>
        <v>0</v>
      </c>
      <c r="K65" s="29"/>
      <c r="L65" s="223">
        <f t="shared" si="2"/>
        <v>0</v>
      </c>
      <c r="M65" s="12"/>
      <c r="N65" s="218" t="str">
        <f t="shared" si="5"/>
        <v xml:space="preserve"> </v>
      </c>
      <c r="O65" s="189"/>
      <c r="P65" s="189"/>
      <c r="Q65" s="189"/>
      <c r="R65" s="189" t="str">
        <f t="shared" si="6"/>
        <v xml:space="preserve"> </v>
      </c>
      <c r="S65" s="189"/>
      <c r="T65" s="253"/>
      <c r="U65" s="13"/>
      <c r="V65" s="253"/>
      <c r="W65" s="253"/>
      <c r="X65" s="16"/>
    </row>
    <row r="66" spans="1:24" ht="15" customHeight="1" x14ac:dyDescent="0.35">
      <c r="A66" s="245"/>
      <c r="B66" s="246"/>
      <c r="C66" s="211"/>
      <c r="D66" s="15"/>
      <c r="E66" s="15"/>
      <c r="F66" s="9">
        <v>820</v>
      </c>
      <c r="G66" s="29">
        <f t="shared" si="0"/>
        <v>0</v>
      </c>
      <c r="H66" s="11"/>
      <c r="I66" s="10"/>
      <c r="J66" s="29">
        <f t="shared" si="1"/>
        <v>0</v>
      </c>
      <c r="K66" s="29"/>
      <c r="L66" s="223">
        <f t="shared" si="2"/>
        <v>0</v>
      </c>
      <c r="M66" s="12"/>
      <c r="N66" s="218" t="str">
        <f t="shared" si="5"/>
        <v xml:space="preserve"> </v>
      </c>
      <c r="O66" s="189"/>
      <c r="P66" s="189"/>
      <c r="Q66" s="189"/>
      <c r="R66" s="189" t="str">
        <f t="shared" si="6"/>
        <v xml:space="preserve"> </v>
      </c>
      <c r="S66" s="189"/>
      <c r="T66" s="253"/>
      <c r="U66" s="13"/>
      <c r="V66" s="253"/>
      <c r="W66" s="253"/>
      <c r="X66" s="16"/>
    </row>
    <row r="67" spans="1:24" ht="15" customHeight="1" x14ac:dyDescent="0.35">
      <c r="A67" s="245"/>
      <c r="B67" s="246"/>
      <c r="C67" s="211"/>
      <c r="D67" s="15"/>
      <c r="E67" s="15"/>
      <c r="F67" s="9">
        <v>830</v>
      </c>
      <c r="G67" s="29">
        <f t="shared" si="0"/>
        <v>0</v>
      </c>
      <c r="H67" s="11"/>
      <c r="I67" s="10"/>
      <c r="J67" s="29">
        <f t="shared" si="1"/>
        <v>0</v>
      </c>
      <c r="K67" s="29"/>
      <c r="L67" s="223">
        <f t="shared" si="2"/>
        <v>0</v>
      </c>
      <c r="M67" s="12"/>
      <c r="N67" s="218" t="str">
        <f t="shared" si="5"/>
        <v xml:space="preserve"> </v>
      </c>
      <c r="O67" s="189"/>
      <c r="P67" s="189"/>
      <c r="Q67" s="189"/>
      <c r="R67" s="189" t="str">
        <f t="shared" si="6"/>
        <v xml:space="preserve"> </v>
      </c>
      <c r="S67" s="189"/>
      <c r="T67" s="253"/>
      <c r="U67" s="13"/>
      <c r="V67" s="253"/>
      <c r="W67" s="253"/>
      <c r="X67" s="16"/>
    </row>
    <row r="68" spans="1:24" ht="15" customHeight="1" x14ac:dyDescent="0.35">
      <c r="A68" s="245"/>
      <c r="B68" s="246"/>
      <c r="C68" s="211"/>
      <c r="D68" s="15"/>
      <c r="E68" s="15"/>
      <c r="F68" s="9">
        <v>800</v>
      </c>
      <c r="G68" s="29">
        <f t="shared" ref="G68:G100" si="7">(F68*D68)+(E68*F68)</f>
        <v>0</v>
      </c>
      <c r="H68" s="11"/>
      <c r="I68" s="10"/>
      <c r="J68" s="29">
        <f t="shared" ref="J68:J100" si="8">H68*I68</f>
        <v>0</v>
      </c>
      <c r="K68" s="29"/>
      <c r="L68" s="223">
        <f t="shared" si="2"/>
        <v>0</v>
      </c>
      <c r="M68" s="12"/>
      <c r="N68" s="218" t="str">
        <f t="shared" si="5"/>
        <v xml:space="preserve"> </v>
      </c>
      <c r="O68" s="189"/>
      <c r="P68" s="189"/>
      <c r="Q68" s="189"/>
      <c r="R68" s="189" t="str">
        <f t="shared" si="6"/>
        <v xml:space="preserve"> </v>
      </c>
      <c r="S68" s="189"/>
      <c r="T68" s="253"/>
      <c r="U68" s="13"/>
      <c r="V68" s="253"/>
      <c r="W68" s="253"/>
      <c r="X68" s="16"/>
    </row>
    <row r="69" spans="1:24" ht="15" customHeight="1" x14ac:dyDescent="0.35">
      <c r="A69" s="245"/>
      <c r="B69" s="246"/>
      <c r="C69" s="211"/>
      <c r="D69" s="15"/>
      <c r="E69" s="15"/>
      <c r="F69" s="9">
        <v>800</v>
      </c>
      <c r="G69" s="29">
        <f t="shared" si="7"/>
        <v>0</v>
      </c>
      <c r="H69" s="11"/>
      <c r="I69" s="10"/>
      <c r="J69" s="29">
        <f t="shared" si="8"/>
        <v>0</v>
      </c>
      <c r="K69" s="29"/>
      <c r="L69" s="223">
        <f t="shared" ref="L69:L100" si="9">(J69+G69)-K69</f>
        <v>0</v>
      </c>
      <c r="M69" s="12"/>
      <c r="N69" s="218" t="str">
        <f t="shared" si="5"/>
        <v xml:space="preserve"> </v>
      </c>
      <c r="O69" s="189"/>
      <c r="P69" s="189"/>
      <c r="Q69" s="189"/>
      <c r="R69" s="189" t="str">
        <f t="shared" si="6"/>
        <v xml:space="preserve"> </v>
      </c>
      <c r="S69" s="189"/>
      <c r="T69" s="253"/>
      <c r="U69" s="13"/>
      <c r="V69" s="253"/>
      <c r="W69" s="253"/>
      <c r="X69" s="16"/>
    </row>
    <row r="70" spans="1:24" ht="15" customHeight="1" x14ac:dyDescent="0.35">
      <c r="A70" s="245"/>
      <c r="B70" s="246"/>
      <c r="C70" s="212"/>
      <c r="D70" s="15"/>
      <c r="E70" s="15"/>
      <c r="F70" s="9">
        <v>800</v>
      </c>
      <c r="G70" s="29">
        <f t="shared" si="7"/>
        <v>0</v>
      </c>
      <c r="H70" s="11"/>
      <c r="I70" s="10"/>
      <c r="J70" s="29">
        <f t="shared" si="8"/>
        <v>0</v>
      </c>
      <c r="K70" s="29"/>
      <c r="L70" s="223">
        <f t="shared" si="9"/>
        <v>0</v>
      </c>
      <c r="M70" s="12"/>
      <c r="N70" s="218" t="str">
        <f t="shared" si="5"/>
        <v xml:space="preserve"> </v>
      </c>
      <c r="O70" s="189"/>
      <c r="P70" s="189"/>
      <c r="Q70" s="189"/>
      <c r="R70" s="189" t="str">
        <f t="shared" si="6"/>
        <v xml:space="preserve"> </v>
      </c>
      <c r="S70" s="189"/>
      <c r="T70" s="253"/>
      <c r="U70" s="13"/>
      <c r="V70" s="253"/>
      <c r="W70" s="253"/>
      <c r="X70" s="16"/>
    </row>
    <row r="71" spans="1:24" ht="15" customHeight="1" x14ac:dyDescent="0.35">
      <c r="A71" s="245"/>
      <c r="B71" s="246"/>
      <c r="C71" s="211"/>
      <c r="D71" s="15"/>
      <c r="E71" s="15"/>
      <c r="F71" s="9">
        <v>800</v>
      </c>
      <c r="G71" s="29">
        <f t="shared" si="7"/>
        <v>0</v>
      </c>
      <c r="H71" s="11"/>
      <c r="I71" s="10"/>
      <c r="J71" s="29">
        <f t="shared" si="8"/>
        <v>0</v>
      </c>
      <c r="K71" s="29"/>
      <c r="L71" s="223">
        <f t="shared" si="9"/>
        <v>0</v>
      </c>
      <c r="M71" s="12"/>
      <c r="N71" s="218" t="str">
        <f t="shared" si="5"/>
        <v xml:space="preserve"> </v>
      </c>
      <c r="O71" s="189"/>
      <c r="P71" s="189"/>
      <c r="Q71" s="189"/>
      <c r="R71" s="189" t="str">
        <f t="shared" si="6"/>
        <v xml:space="preserve"> </v>
      </c>
      <c r="S71" s="189"/>
      <c r="T71" s="253"/>
      <c r="U71" s="13"/>
      <c r="V71" s="253"/>
      <c r="W71" s="253"/>
      <c r="X71" s="16"/>
    </row>
    <row r="72" spans="1:24" ht="15" customHeight="1" x14ac:dyDescent="0.35">
      <c r="A72" s="245"/>
      <c r="B72" s="246"/>
      <c r="C72" s="212"/>
      <c r="D72" s="15"/>
      <c r="E72" s="15"/>
      <c r="F72" s="9">
        <v>800</v>
      </c>
      <c r="G72" s="29">
        <f t="shared" si="7"/>
        <v>0</v>
      </c>
      <c r="H72" s="11"/>
      <c r="I72" s="10"/>
      <c r="J72" s="29">
        <f t="shared" si="8"/>
        <v>0</v>
      </c>
      <c r="K72" s="29"/>
      <c r="L72" s="223">
        <f t="shared" si="9"/>
        <v>0</v>
      </c>
      <c r="M72" s="12"/>
      <c r="N72" s="218" t="str">
        <f t="shared" si="5"/>
        <v xml:space="preserve"> </v>
      </c>
      <c r="O72" s="189"/>
      <c r="P72" s="189"/>
      <c r="Q72" s="189"/>
      <c r="R72" s="189" t="str">
        <f t="shared" si="6"/>
        <v xml:space="preserve"> </v>
      </c>
      <c r="S72" s="189"/>
      <c r="T72" s="253"/>
      <c r="U72" s="13"/>
      <c r="V72" s="253"/>
      <c r="W72" s="253"/>
      <c r="X72" s="16"/>
    </row>
    <row r="73" spans="1:24" ht="15" customHeight="1" x14ac:dyDescent="0.35">
      <c r="A73" s="245"/>
      <c r="B73" s="246"/>
      <c r="C73" s="211"/>
      <c r="D73" s="15"/>
      <c r="E73" s="15"/>
      <c r="F73" s="9">
        <v>800</v>
      </c>
      <c r="G73" s="29">
        <f t="shared" si="7"/>
        <v>0</v>
      </c>
      <c r="H73" s="11"/>
      <c r="I73" s="10"/>
      <c r="J73" s="29">
        <f t="shared" si="8"/>
        <v>0</v>
      </c>
      <c r="K73" s="29"/>
      <c r="L73" s="223">
        <f t="shared" si="9"/>
        <v>0</v>
      </c>
      <c r="M73" s="12"/>
      <c r="N73" s="218" t="str">
        <f t="shared" si="5"/>
        <v xml:space="preserve"> </v>
      </c>
      <c r="O73" s="189"/>
      <c r="P73" s="189"/>
      <c r="Q73" s="189"/>
      <c r="R73" s="189" t="str">
        <f t="shared" si="6"/>
        <v xml:space="preserve"> </v>
      </c>
      <c r="S73" s="189"/>
      <c r="T73" s="253"/>
      <c r="U73" s="13"/>
      <c r="V73" s="253"/>
      <c r="W73" s="253"/>
      <c r="X73" s="16"/>
    </row>
    <row r="74" spans="1:24" ht="15" customHeight="1" x14ac:dyDescent="0.35">
      <c r="A74" s="245"/>
      <c r="B74" s="246"/>
      <c r="C74" s="211"/>
      <c r="D74" s="15"/>
      <c r="E74" s="15"/>
      <c r="F74" s="9">
        <v>800</v>
      </c>
      <c r="G74" s="29">
        <f t="shared" si="7"/>
        <v>0</v>
      </c>
      <c r="H74" s="11"/>
      <c r="I74" s="10"/>
      <c r="J74" s="29">
        <f t="shared" si="8"/>
        <v>0</v>
      </c>
      <c r="K74" s="29"/>
      <c r="L74" s="223">
        <f t="shared" si="9"/>
        <v>0</v>
      </c>
      <c r="M74" s="12"/>
      <c r="N74" s="218" t="str">
        <f t="shared" si="5"/>
        <v xml:space="preserve"> </v>
      </c>
      <c r="O74" s="189"/>
      <c r="P74" s="189"/>
      <c r="Q74" s="189"/>
      <c r="R74" s="189" t="str">
        <f t="shared" si="6"/>
        <v xml:space="preserve"> </v>
      </c>
      <c r="S74" s="189"/>
      <c r="T74" s="253"/>
      <c r="U74" s="13"/>
      <c r="V74" s="253"/>
      <c r="W74" s="253"/>
      <c r="X74" s="16"/>
    </row>
    <row r="75" spans="1:24" ht="15" customHeight="1" x14ac:dyDescent="0.35">
      <c r="A75" s="245"/>
      <c r="B75" s="246"/>
      <c r="C75" s="211"/>
      <c r="D75" s="15"/>
      <c r="E75" s="15"/>
      <c r="F75" s="9">
        <v>800</v>
      </c>
      <c r="G75" s="29">
        <f t="shared" si="7"/>
        <v>0</v>
      </c>
      <c r="H75" s="11"/>
      <c r="I75" s="10"/>
      <c r="J75" s="29">
        <f t="shared" si="8"/>
        <v>0</v>
      </c>
      <c r="K75" s="29"/>
      <c r="L75" s="223">
        <f t="shared" si="9"/>
        <v>0</v>
      </c>
      <c r="M75" s="12"/>
      <c r="N75" s="218" t="str">
        <f t="shared" si="5"/>
        <v xml:space="preserve"> </v>
      </c>
      <c r="O75" s="189"/>
      <c r="P75" s="189"/>
      <c r="Q75" s="189"/>
      <c r="R75" s="189" t="str">
        <f t="shared" si="6"/>
        <v xml:space="preserve"> </v>
      </c>
      <c r="S75" s="189"/>
      <c r="T75" s="253"/>
      <c r="U75" s="13"/>
      <c r="V75" s="253"/>
      <c r="W75" s="253"/>
      <c r="X75" s="16"/>
    </row>
    <row r="76" spans="1:24" ht="15" customHeight="1" x14ac:dyDescent="0.35">
      <c r="A76" s="245"/>
      <c r="B76" s="246"/>
      <c r="C76" s="211"/>
      <c r="D76" s="15"/>
      <c r="E76" s="15"/>
      <c r="F76" s="9">
        <v>800</v>
      </c>
      <c r="G76" s="29">
        <f t="shared" si="7"/>
        <v>0</v>
      </c>
      <c r="H76" s="11"/>
      <c r="I76" s="10"/>
      <c r="J76" s="29">
        <f t="shared" si="8"/>
        <v>0</v>
      </c>
      <c r="K76" s="29"/>
      <c r="L76" s="223">
        <f t="shared" si="9"/>
        <v>0</v>
      </c>
      <c r="M76" s="12"/>
      <c r="N76" s="218" t="str">
        <f t="shared" si="5"/>
        <v xml:space="preserve"> </v>
      </c>
      <c r="O76" s="189"/>
      <c r="P76" s="189"/>
      <c r="Q76" s="189"/>
      <c r="R76" s="189" t="str">
        <f t="shared" si="6"/>
        <v xml:space="preserve"> </v>
      </c>
      <c r="S76" s="189"/>
      <c r="T76" s="253"/>
      <c r="U76" s="13"/>
      <c r="V76" s="253"/>
      <c r="W76" s="253"/>
      <c r="X76" s="16"/>
    </row>
    <row r="77" spans="1:24" ht="15" customHeight="1" x14ac:dyDescent="0.35">
      <c r="A77" s="245"/>
      <c r="B77" s="246"/>
      <c r="C77" s="211"/>
      <c r="D77" s="15"/>
      <c r="E77" s="15"/>
      <c r="F77" s="9">
        <v>800</v>
      </c>
      <c r="G77" s="29">
        <f t="shared" si="7"/>
        <v>0</v>
      </c>
      <c r="H77" s="11"/>
      <c r="I77" s="10"/>
      <c r="J77" s="29">
        <f t="shared" si="8"/>
        <v>0</v>
      </c>
      <c r="K77" s="29"/>
      <c r="L77" s="223">
        <f t="shared" si="9"/>
        <v>0</v>
      </c>
      <c r="M77" s="12"/>
      <c r="N77" s="218" t="str">
        <f t="shared" si="5"/>
        <v xml:space="preserve"> </v>
      </c>
      <c r="O77" s="189"/>
      <c r="P77" s="189"/>
      <c r="Q77" s="189"/>
      <c r="R77" s="189" t="str">
        <f t="shared" si="6"/>
        <v xml:space="preserve"> </v>
      </c>
      <c r="S77" s="189"/>
      <c r="T77" s="253"/>
      <c r="U77" s="13"/>
      <c r="V77" s="253"/>
      <c r="W77" s="253"/>
      <c r="X77" s="16"/>
    </row>
    <row r="78" spans="1:24" ht="15" customHeight="1" x14ac:dyDescent="0.35">
      <c r="A78" s="245"/>
      <c r="B78" s="246"/>
      <c r="C78" s="211"/>
      <c r="D78" s="15"/>
      <c r="E78" s="15"/>
      <c r="F78" s="9">
        <v>800</v>
      </c>
      <c r="G78" s="29">
        <f t="shared" si="7"/>
        <v>0</v>
      </c>
      <c r="H78" s="11"/>
      <c r="I78" s="10"/>
      <c r="J78" s="29">
        <f t="shared" si="8"/>
        <v>0</v>
      </c>
      <c r="K78" s="29"/>
      <c r="L78" s="223">
        <f t="shared" si="9"/>
        <v>0</v>
      </c>
      <c r="M78" s="12"/>
      <c r="N78" s="239" t="str">
        <f t="shared" si="5"/>
        <v xml:space="preserve"> </v>
      </c>
      <c r="O78" s="189"/>
      <c r="P78" s="189"/>
      <c r="Q78" s="189"/>
      <c r="R78" s="189" t="str">
        <f t="shared" si="6"/>
        <v xml:space="preserve"> </v>
      </c>
      <c r="S78" s="189"/>
      <c r="T78" s="253"/>
      <c r="U78" s="13"/>
      <c r="V78" s="253"/>
      <c r="W78" s="253"/>
      <c r="X78" s="16"/>
    </row>
    <row r="79" spans="1:24" ht="15" customHeight="1" x14ac:dyDescent="0.35">
      <c r="A79" s="245"/>
      <c r="B79" s="246"/>
      <c r="C79" s="211"/>
      <c r="D79" s="15"/>
      <c r="E79" s="15"/>
      <c r="F79" s="9">
        <v>800</v>
      </c>
      <c r="G79" s="29">
        <f t="shared" si="7"/>
        <v>0</v>
      </c>
      <c r="H79" s="11"/>
      <c r="I79" s="10"/>
      <c r="J79" s="29">
        <f t="shared" si="8"/>
        <v>0</v>
      </c>
      <c r="K79" s="29"/>
      <c r="L79" s="223">
        <f t="shared" si="9"/>
        <v>0</v>
      </c>
      <c r="M79" s="12"/>
      <c r="N79" s="218" t="str">
        <f t="shared" si="5"/>
        <v xml:space="preserve"> </v>
      </c>
      <c r="O79" s="189"/>
      <c r="P79" s="189"/>
      <c r="Q79" s="189"/>
      <c r="R79" s="189" t="str">
        <f t="shared" si="6"/>
        <v xml:space="preserve"> </v>
      </c>
      <c r="S79" s="189"/>
      <c r="T79" s="253"/>
      <c r="U79" s="13"/>
      <c r="V79" s="253"/>
      <c r="W79" s="253"/>
      <c r="X79" s="16"/>
    </row>
    <row r="80" spans="1:24" ht="15" customHeight="1" x14ac:dyDescent="0.35">
      <c r="A80" s="23"/>
      <c r="B80" s="24"/>
      <c r="C80" s="211"/>
      <c r="D80" s="15"/>
      <c r="E80" s="15"/>
      <c r="F80" s="9">
        <v>800</v>
      </c>
      <c r="G80" s="29">
        <f t="shared" si="7"/>
        <v>0</v>
      </c>
      <c r="H80" s="11"/>
      <c r="I80" s="10"/>
      <c r="J80" s="29">
        <f t="shared" si="8"/>
        <v>0</v>
      </c>
      <c r="K80" s="29"/>
      <c r="L80" s="223">
        <f t="shared" si="9"/>
        <v>0</v>
      </c>
      <c r="M80" s="12"/>
      <c r="N80" s="218" t="str">
        <f t="shared" ref="N80:N88" si="10">IF(M80&gt;0,SUM(L80-M80)," ")</f>
        <v xml:space="preserve"> </v>
      </c>
      <c r="O80" s="189"/>
      <c r="P80" s="189"/>
      <c r="Q80" s="189"/>
      <c r="R80" s="189" t="str">
        <f t="shared" si="6"/>
        <v xml:space="preserve"> </v>
      </c>
      <c r="S80" s="189"/>
      <c r="T80" s="253"/>
      <c r="U80" s="13"/>
      <c r="V80" s="253"/>
      <c r="W80" s="253"/>
      <c r="X80" s="16"/>
    </row>
    <row r="81" spans="1:24" ht="15" customHeight="1" x14ac:dyDescent="0.35">
      <c r="A81" s="227"/>
      <c r="B81" s="24"/>
      <c r="C81" s="211"/>
      <c r="D81" s="15"/>
      <c r="E81" s="15"/>
      <c r="F81" s="9">
        <v>800</v>
      </c>
      <c r="G81" s="29">
        <f t="shared" si="7"/>
        <v>0</v>
      </c>
      <c r="H81" s="11"/>
      <c r="I81" s="10"/>
      <c r="J81" s="29">
        <f t="shared" si="8"/>
        <v>0</v>
      </c>
      <c r="K81" s="29"/>
      <c r="L81" s="223">
        <f t="shared" si="9"/>
        <v>0</v>
      </c>
      <c r="M81" s="12"/>
      <c r="N81" s="218" t="str">
        <f t="shared" si="10"/>
        <v xml:space="preserve"> </v>
      </c>
      <c r="O81" s="189"/>
      <c r="P81" s="189"/>
      <c r="Q81" s="189"/>
      <c r="R81" s="189" t="str">
        <f t="shared" si="6"/>
        <v xml:space="preserve"> </v>
      </c>
      <c r="S81" s="189"/>
      <c r="T81" s="253"/>
      <c r="U81" s="13"/>
      <c r="V81" s="253"/>
      <c r="W81" s="253"/>
      <c r="X81" s="16"/>
    </row>
    <row r="82" spans="1:24" ht="15" customHeight="1" x14ac:dyDescent="0.35">
      <c r="A82" s="227"/>
      <c r="B82" s="24"/>
      <c r="C82" s="211"/>
      <c r="D82" s="15"/>
      <c r="E82" s="15"/>
      <c r="F82" s="9">
        <v>800</v>
      </c>
      <c r="G82" s="29">
        <f t="shared" si="7"/>
        <v>0</v>
      </c>
      <c r="H82" s="11"/>
      <c r="I82" s="10"/>
      <c r="J82" s="29">
        <f t="shared" si="8"/>
        <v>0</v>
      </c>
      <c r="K82" s="29"/>
      <c r="L82" s="223">
        <f t="shared" si="9"/>
        <v>0</v>
      </c>
      <c r="M82" s="12"/>
      <c r="N82" s="218" t="str">
        <f t="shared" si="10"/>
        <v xml:space="preserve"> </v>
      </c>
      <c r="O82" s="189"/>
      <c r="P82" s="189"/>
      <c r="Q82" s="189"/>
      <c r="R82" s="189" t="str">
        <f t="shared" si="6"/>
        <v xml:space="preserve"> </v>
      </c>
      <c r="S82" s="189"/>
      <c r="T82" s="253"/>
      <c r="U82" s="13"/>
      <c r="V82" s="253"/>
      <c r="W82" s="253"/>
      <c r="X82" s="16"/>
    </row>
    <row r="83" spans="1:24" ht="15" customHeight="1" x14ac:dyDescent="0.35">
      <c r="A83" s="23"/>
      <c r="B83" s="23"/>
      <c r="C83" s="188"/>
      <c r="D83" s="15"/>
      <c r="E83" s="15"/>
      <c r="F83" s="9">
        <v>800</v>
      </c>
      <c r="G83" s="29">
        <f t="shared" si="7"/>
        <v>0</v>
      </c>
      <c r="H83" s="11"/>
      <c r="I83" s="10"/>
      <c r="J83" s="29">
        <f t="shared" si="8"/>
        <v>0</v>
      </c>
      <c r="K83" s="29"/>
      <c r="L83" s="223">
        <f t="shared" si="9"/>
        <v>0</v>
      </c>
      <c r="M83" s="12"/>
      <c r="N83" s="218" t="str">
        <f t="shared" si="10"/>
        <v xml:space="preserve"> </v>
      </c>
      <c r="O83" s="189"/>
      <c r="P83" s="189"/>
      <c r="Q83" s="189"/>
      <c r="R83" s="189" t="str">
        <f t="shared" si="6"/>
        <v xml:space="preserve"> </v>
      </c>
      <c r="S83" s="189"/>
      <c r="T83" s="253"/>
      <c r="U83" s="13"/>
      <c r="V83" s="253"/>
      <c r="W83" s="253"/>
      <c r="X83" s="16"/>
    </row>
    <row r="84" spans="1:24" ht="15" customHeight="1" x14ac:dyDescent="0.35">
      <c r="A84" s="23"/>
      <c r="B84" s="23"/>
      <c r="C84" s="211"/>
      <c r="D84" s="15"/>
      <c r="E84" s="15"/>
      <c r="F84" s="9">
        <v>800</v>
      </c>
      <c r="G84" s="29">
        <f t="shared" si="7"/>
        <v>0</v>
      </c>
      <c r="H84" s="11"/>
      <c r="I84" s="10"/>
      <c r="J84" s="29">
        <f t="shared" si="8"/>
        <v>0</v>
      </c>
      <c r="K84" s="29"/>
      <c r="L84" s="223">
        <f t="shared" si="9"/>
        <v>0</v>
      </c>
      <c r="M84" s="12"/>
      <c r="N84" s="218" t="str">
        <f t="shared" si="10"/>
        <v xml:space="preserve"> </v>
      </c>
      <c r="O84" s="189"/>
      <c r="P84" s="189"/>
      <c r="Q84" s="189"/>
      <c r="R84" s="189" t="str">
        <f t="shared" si="6"/>
        <v xml:space="preserve"> </v>
      </c>
      <c r="S84" s="189"/>
      <c r="T84" s="253"/>
      <c r="U84" s="13"/>
      <c r="V84" s="253"/>
      <c r="W84" s="253"/>
      <c r="X84" s="16"/>
    </row>
    <row r="85" spans="1:24" ht="15" customHeight="1" x14ac:dyDescent="0.35">
      <c r="A85" s="23"/>
      <c r="B85" s="24"/>
      <c r="C85" s="211"/>
      <c r="D85" s="15"/>
      <c r="E85" s="15"/>
      <c r="F85" s="9">
        <v>800</v>
      </c>
      <c r="G85" s="29">
        <f t="shared" si="7"/>
        <v>0</v>
      </c>
      <c r="H85" s="11"/>
      <c r="I85" s="10"/>
      <c r="J85" s="29">
        <f t="shared" si="8"/>
        <v>0</v>
      </c>
      <c r="K85" s="29"/>
      <c r="L85" s="223">
        <f t="shared" si="9"/>
        <v>0</v>
      </c>
      <c r="M85" s="12"/>
      <c r="N85" s="218" t="str">
        <f t="shared" si="10"/>
        <v xml:space="preserve"> </v>
      </c>
      <c r="O85" s="189"/>
      <c r="P85" s="189"/>
      <c r="Q85" s="189"/>
      <c r="R85" s="189" t="str">
        <f t="shared" si="6"/>
        <v xml:space="preserve"> </v>
      </c>
      <c r="S85" s="189"/>
      <c r="T85" s="253"/>
      <c r="U85" s="13"/>
      <c r="V85" s="253"/>
      <c r="W85" s="253"/>
      <c r="X85" s="16"/>
    </row>
    <row r="86" spans="1:24" ht="15" customHeight="1" x14ac:dyDescent="0.35">
      <c r="A86" s="23"/>
      <c r="B86" s="24"/>
      <c r="C86" s="211"/>
      <c r="D86" s="15"/>
      <c r="E86" s="15"/>
      <c r="F86" s="9">
        <v>800</v>
      </c>
      <c r="G86" s="29">
        <f t="shared" si="7"/>
        <v>0</v>
      </c>
      <c r="H86" s="11"/>
      <c r="I86" s="10"/>
      <c r="J86" s="29">
        <f t="shared" si="8"/>
        <v>0</v>
      </c>
      <c r="K86" s="29"/>
      <c r="L86" s="223">
        <f t="shared" si="9"/>
        <v>0</v>
      </c>
      <c r="M86" s="12"/>
      <c r="N86" s="218" t="str">
        <f t="shared" si="10"/>
        <v xml:space="preserve"> </v>
      </c>
      <c r="O86" s="189"/>
      <c r="P86" s="189"/>
      <c r="Q86" s="189"/>
      <c r="R86" s="189" t="str">
        <f t="shared" si="6"/>
        <v xml:space="preserve"> </v>
      </c>
      <c r="S86" s="189"/>
      <c r="T86" s="253"/>
      <c r="U86" s="13"/>
      <c r="V86" s="253"/>
      <c r="W86" s="253"/>
      <c r="X86" s="16"/>
    </row>
    <row r="87" spans="1:24" ht="15" customHeight="1" x14ac:dyDescent="0.35">
      <c r="A87" s="227"/>
      <c r="B87" s="23"/>
      <c r="C87" s="212"/>
      <c r="D87" s="15"/>
      <c r="E87" s="15"/>
      <c r="F87" s="9">
        <v>800</v>
      </c>
      <c r="G87" s="29">
        <f t="shared" si="7"/>
        <v>0</v>
      </c>
      <c r="H87" s="11"/>
      <c r="I87" s="10"/>
      <c r="J87" s="29">
        <f t="shared" si="8"/>
        <v>0</v>
      </c>
      <c r="K87" s="29"/>
      <c r="L87" s="223">
        <f t="shared" si="9"/>
        <v>0</v>
      </c>
      <c r="M87" s="12"/>
      <c r="N87" s="218" t="str">
        <f t="shared" si="10"/>
        <v xml:space="preserve"> </v>
      </c>
      <c r="O87" s="189"/>
      <c r="P87" s="189"/>
      <c r="Q87" s="189"/>
      <c r="R87" s="189" t="str">
        <f t="shared" si="6"/>
        <v xml:space="preserve"> </v>
      </c>
      <c r="S87" s="189"/>
      <c r="T87" s="253"/>
      <c r="U87" s="13"/>
      <c r="V87" s="253"/>
      <c r="W87" s="253"/>
      <c r="X87" s="16"/>
    </row>
    <row r="88" spans="1:24" ht="15" customHeight="1" x14ac:dyDescent="0.35">
      <c r="A88" s="23"/>
      <c r="B88" s="24"/>
      <c r="C88" s="211"/>
      <c r="D88" s="15"/>
      <c r="E88" s="15"/>
      <c r="F88" s="9">
        <v>800</v>
      </c>
      <c r="G88" s="29">
        <f t="shared" si="7"/>
        <v>0</v>
      </c>
      <c r="H88" s="11"/>
      <c r="I88" s="10"/>
      <c r="J88" s="29">
        <f t="shared" si="8"/>
        <v>0</v>
      </c>
      <c r="K88" s="29"/>
      <c r="L88" s="223">
        <f t="shared" si="9"/>
        <v>0</v>
      </c>
      <c r="M88" s="12"/>
      <c r="N88" s="218" t="str">
        <f t="shared" si="10"/>
        <v xml:space="preserve"> </v>
      </c>
      <c r="O88" s="189"/>
      <c r="P88" s="189"/>
      <c r="Q88" s="189"/>
      <c r="R88" s="189" t="str">
        <f t="shared" si="6"/>
        <v xml:space="preserve"> </v>
      </c>
      <c r="S88" s="189"/>
      <c r="T88" s="253"/>
      <c r="U88" s="13"/>
      <c r="V88" s="253"/>
      <c r="W88" s="253"/>
      <c r="X88" s="16"/>
    </row>
    <row r="89" spans="1:24" ht="15" customHeight="1" x14ac:dyDescent="0.35">
      <c r="A89" s="23"/>
      <c r="B89" s="24"/>
      <c r="C89" s="211"/>
      <c r="D89" s="15"/>
      <c r="E89" s="15"/>
      <c r="F89" s="9">
        <v>800</v>
      </c>
      <c r="G89" s="29">
        <f t="shared" si="7"/>
        <v>0</v>
      </c>
      <c r="H89" s="11"/>
      <c r="I89" s="10"/>
      <c r="J89" s="29">
        <f t="shared" si="8"/>
        <v>0</v>
      </c>
      <c r="K89" s="29"/>
      <c r="L89" s="223">
        <f t="shared" si="9"/>
        <v>0</v>
      </c>
      <c r="M89" s="12"/>
      <c r="N89" s="218" t="str">
        <f t="shared" si="5"/>
        <v xml:space="preserve"> </v>
      </c>
      <c r="O89" s="189"/>
      <c r="P89" s="189"/>
      <c r="Q89" s="189"/>
      <c r="R89" s="189" t="str">
        <f t="shared" si="6"/>
        <v xml:space="preserve"> </v>
      </c>
      <c r="S89" s="189"/>
      <c r="T89" s="253"/>
      <c r="U89" s="13"/>
      <c r="V89" s="253"/>
      <c r="W89" s="253"/>
      <c r="X89" s="16"/>
    </row>
    <row r="90" spans="1:24" ht="15" customHeight="1" x14ac:dyDescent="0.35">
      <c r="A90" s="23"/>
      <c r="B90" s="24"/>
      <c r="C90" s="211"/>
      <c r="D90" s="15"/>
      <c r="E90" s="15"/>
      <c r="F90" s="9">
        <v>800</v>
      </c>
      <c r="G90" s="29">
        <f t="shared" si="7"/>
        <v>0</v>
      </c>
      <c r="H90" s="11"/>
      <c r="I90" s="10"/>
      <c r="J90" s="29">
        <f t="shared" si="8"/>
        <v>0</v>
      </c>
      <c r="K90" s="29"/>
      <c r="L90" s="223">
        <f t="shared" si="9"/>
        <v>0</v>
      </c>
      <c r="M90" s="12"/>
      <c r="N90" s="218" t="str">
        <f t="shared" si="5"/>
        <v xml:space="preserve"> </v>
      </c>
      <c r="O90" s="189"/>
      <c r="P90" s="189"/>
      <c r="Q90" s="189"/>
      <c r="R90" s="189" t="str">
        <f t="shared" si="6"/>
        <v xml:space="preserve"> </v>
      </c>
      <c r="S90" s="189"/>
      <c r="T90" s="253"/>
      <c r="U90" s="13"/>
      <c r="V90" s="253"/>
      <c r="W90" s="253"/>
      <c r="X90" s="16"/>
    </row>
    <row r="91" spans="1:24" ht="15" customHeight="1" x14ac:dyDescent="0.35">
      <c r="A91" s="227"/>
      <c r="B91" s="23"/>
      <c r="C91" s="212"/>
      <c r="D91" s="15"/>
      <c r="E91" s="15"/>
      <c r="F91" s="9">
        <v>800</v>
      </c>
      <c r="G91" s="29">
        <f t="shared" si="7"/>
        <v>0</v>
      </c>
      <c r="H91" s="11"/>
      <c r="I91" s="10"/>
      <c r="J91" s="29">
        <f t="shared" si="8"/>
        <v>0</v>
      </c>
      <c r="K91" s="29"/>
      <c r="L91" s="223">
        <f t="shared" si="9"/>
        <v>0</v>
      </c>
      <c r="M91" s="12"/>
      <c r="N91" s="218" t="str">
        <f t="shared" si="5"/>
        <v xml:space="preserve"> </v>
      </c>
      <c r="O91" s="189"/>
      <c r="P91" s="189"/>
      <c r="Q91" s="189"/>
      <c r="R91" s="189" t="str">
        <f t="shared" si="6"/>
        <v xml:space="preserve"> </v>
      </c>
      <c r="S91" s="189"/>
      <c r="T91" s="253"/>
      <c r="U91" s="13"/>
      <c r="V91" s="253"/>
      <c r="W91" s="253"/>
      <c r="X91" s="16"/>
    </row>
    <row r="92" spans="1:24" ht="15" customHeight="1" x14ac:dyDescent="0.35">
      <c r="A92" s="23"/>
      <c r="B92" s="24"/>
      <c r="C92" s="211"/>
      <c r="D92" s="15"/>
      <c r="E92" s="15"/>
      <c r="F92" s="9">
        <v>800</v>
      </c>
      <c r="G92" s="29">
        <f t="shared" si="7"/>
        <v>0</v>
      </c>
      <c r="H92" s="11"/>
      <c r="I92" s="10"/>
      <c r="J92" s="29">
        <f t="shared" si="8"/>
        <v>0</v>
      </c>
      <c r="K92" s="29"/>
      <c r="L92" s="223">
        <f t="shared" si="9"/>
        <v>0</v>
      </c>
      <c r="M92" s="12"/>
      <c r="N92" s="218" t="str">
        <f t="shared" si="5"/>
        <v xml:space="preserve"> </v>
      </c>
      <c r="O92" s="189"/>
      <c r="P92" s="189"/>
      <c r="Q92" s="189"/>
      <c r="R92" s="189" t="str">
        <f t="shared" si="6"/>
        <v xml:space="preserve"> </v>
      </c>
      <c r="S92" s="189"/>
      <c r="T92" s="253"/>
      <c r="U92" s="13"/>
      <c r="V92" s="253"/>
      <c r="W92" s="253"/>
      <c r="X92" s="16"/>
    </row>
    <row r="93" spans="1:24" ht="15" customHeight="1" x14ac:dyDescent="0.35">
      <c r="A93" s="227"/>
      <c r="B93" s="24"/>
      <c r="C93" s="211"/>
      <c r="D93" s="15"/>
      <c r="E93" s="15"/>
      <c r="F93" s="9">
        <v>800</v>
      </c>
      <c r="G93" s="29">
        <f t="shared" si="7"/>
        <v>0</v>
      </c>
      <c r="H93" s="11"/>
      <c r="I93" s="10"/>
      <c r="J93" s="29">
        <f t="shared" si="8"/>
        <v>0</v>
      </c>
      <c r="K93" s="29"/>
      <c r="L93" s="223">
        <f t="shared" si="9"/>
        <v>0</v>
      </c>
      <c r="M93" s="12"/>
      <c r="N93" s="218" t="str">
        <f t="shared" si="5"/>
        <v xml:space="preserve"> </v>
      </c>
      <c r="O93" s="189"/>
      <c r="P93" s="189"/>
      <c r="Q93" s="189"/>
      <c r="R93" s="189" t="str">
        <f t="shared" si="6"/>
        <v xml:space="preserve"> </v>
      </c>
      <c r="S93" s="189"/>
      <c r="T93" s="253"/>
      <c r="U93" s="13"/>
      <c r="V93" s="253"/>
      <c r="W93" s="253"/>
      <c r="X93" s="16"/>
    </row>
    <row r="94" spans="1:24" ht="15" customHeight="1" x14ac:dyDescent="0.35">
      <c r="A94" s="227"/>
      <c r="B94" s="24"/>
      <c r="C94" s="212"/>
      <c r="D94" s="15"/>
      <c r="E94" s="15"/>
      <c r="F94" s="9">
        <v>800</v>
      </c>
      <c r="G94" s="29">
        <f t="shared" si="7"/>
        <v>0</v>
      </c>
      <c r="H94" s="11"/>
      <c r="I94" s="10"/>
      <c r="J94" s="29">
        <f t="shared" si="8"/>
        <v>0</v>
      </c>
      <c r="K94" s="29"/>
      <c r="L94" s="223">
        <f t="shared" si="9"/>
        <v>0</v>
      </c>
      <c r="M94" s="12"/>
      <c r="N94" s="218" t="str">
        <f t="shared" si="5"/>
        <v xml:space="preserve"> </v>
      </c>
      <c r="O94" s="189"/>
      <c r="P94" s="189"/>
      <c r="Q94" s="189"/>
      <c r="R94" s="189" t="str">
        <f t="shared" si="6"/>
        <v xml:space="preserve"> </v>
      </c>
      <c r="S94" s="189"/>
      <c r="T94" s="253"/>
      <c r="U94" s="13"/>
      <c r="V94" s="253"/>
      <c r="W94" s="253"/>
      <c r="X94" s="16"/>
    </row>
    <row r="95" spans="1:24" ht="15" customHeight="1" x14ac:dyDescent="0.35">
      <c r="A95" s="227"/>
      <c r="B95" s="24"/>
      <c r="C95" s="211"/>
      <c r="D95" s="15"/>
      <c r="E95" s="15"/>
      <c r="F95" s="9">
        <v>800</v>
      </c>
      <c r="G95" s="29">
        <f t="shared" si="7"/>
        <v>0</v>
      </c>
      <c r="H95" s="11"/>
      <c r="I95" s="10"/>
      <c r="J95" s="29">
        <f t="shared" si="8"/>
        <v>0</v>
      </c>
      <c r="K95" s="29"/>
      <c r="L95" s="223">
        <f t="shared" si="9"/>
        <v>0</v>
      </c>
      <c r="M95" s="12"/>
      <c r="N95" s="218" t="str">
        <f t="shared" si="5"/>
        <v xml:space="preserve"> </v>
      </c>
      <c r="O95" s="189"/>
      <c r="P95" s="189"/>
      <c r="Q95" s="189"/>
      <c r="R95" s="189" t="str">
        <f t="shared" si="6"/>
        <v xml:space="preserve"> </v>
      </c>
      <c r="S95" s="189"/>
      <c r="T95" s="253"/>
      <c r="U95" s="13"/>
      <c r="V95" s="253"/>
      <c r="W95" s="253"/>
      <c r="X95" s="16"/>
    </row>
    <row r="96" spans="1:24" ht="15" customHeight="1" x14ac:dyDescent="0.35">
      <c r="A96" s="227"/>
      <c r="B96" s="24"/>
      <c r="C96" s="212"/>
      <c r="D96" s="15"/>
      <c r="E96" s="15"/>
      <c r="F96" s="9">
        <v>800</v>
      </c>
      <c r="G96" s="29">
        <f t="shared" si="7"/>
        <v>0</v>
      </c>
      <c r="H96" s="11"/>
      <c r="I96" s="10"/>
      <c r="J96" s="29">
        <f t="shared" si="8"/>
        <v>0</v>
      </c>
      <c r="K96" s="29"/>
      <c r="L96" s="223">
        <f t="shared" si="9"/>
        <v>0</v>
      </c>
      <c r="M96" s="12"/>
      <c r="N96" s="218" t="str">
        <f>IF(M96&gt;0,SUM(L96-M96)," ")</f>
        <v xml:space="preserve"> </v>
      </c>
      <c r="O96" s="189"/>
      <c r="P96" s="189"/>
      <c r="Q96" s="189"/>
      <c r="R96" s="189" t="str">
        <f t="shared" si="6"/>
        <v xml:space="preserve"> </v>
      </c>
      <c r="S96" s="189"/>
      <c r="T96" s="253"/>
      <c r="U96" s="13"/>
      <c r="V96" s="253"/>
      <c r="W96" s="253"/>
      <c r="X96" s="16"/>
    </row>
    <row r="97" spans="1:24" ht="15" customHeight="1" x14ac:dyDescent="0.35">
      <c r="A97" s="227"/>
      <c r="B97" s="24"/>
      <c r="C97" s="211"/>
      <c r="D97" s="15"/>
      <c r="E97" s="15"/>
      <c r="F97" s="9">
        <v>800</v>
      </c>
      <c r="G97" s="29">
        <f t="shared" si="7"/>
        <v>0</v>
      </c>
      <c r="H97" s="11"/>
      <c r="I97" s="10"/>
      <c r="J97" s="29">
        <f t="shared" si="8"/>
        <v>0</v>
      </c>
      <c r="K97" s="29"/>
      <c r="L97" s="223">
        <f t="shared" si="9"/>
        <v>0</v>
      </c>
      <c r="M97" s="12"/>
      <c r="N97" s="218" t="str">
        <f>IF(M97&gt;0,SUM(L97-M97)," ")</f>
        <v xml:space="preserve"> </v>
      </c>
      <c r="O97" s="189"/>
      <c r="P97" s="189"/>
      <c r="Q97" s="189"/>
      <c r="R97" s="189" t="str">
        <f t="shared" si="6"/>
        <v xml:space="preserve"> </v>
      </c>
      <c r="S97" s="189"/>
      <c r="T97" s="253"/>
      <c r="U97" s="13"/>
      <c r="V97" s="253"/>
      <c r="W97" s="253"/>
      <c r="X97" s="16"/>
    </row>
    <row r="98" spans="1:24" ht="15" customHeight="1" x14ac:dyDescent="0.35">
      <c r="A98" s="227"/>
      <c r="B98" s="24"/>
      <c r="C98" s="206"/>
      <c r="D98" s="15"/>
      <c r="E98" s="15"/>
      <c r="F98" s="9">
        <v>800</v>
      </c>
      <c r="G98" s="29">
        <f t="shared" si="7"/>
        <v>0</v>
      </c>
      <c r="H98" s="11"/>
      <c r="I98" s="10"/>
      <c r="J98" s="29">
        <f t="shared" si="8"/>
        <v>0</v>
      </c>
      <c r="K98" s="29"/>
      <c r="L98" s="223">
        <f t="shared" si="9"/>
        <v>0</v>
      </c>
      <c r="M98" s="12"/>
      <c r="N98" s="218" t="str">
        <f t="shared" si="5"/>
        <v xml:space="preserve"> </v>
      </c>
      <c r="O98" s="189"/>
      <c r="P98" s="189"/>
      <c r="Q98" s="189"/>
      <c r="R98" s="189" t="str">
        <f t="shared" si="4"/>
        <v xml:space="preserve"> </v>
      </c>
      <c r="S98" s="189"/>
      <c r="T98" s="253"/>
      <c r="U98" s="13"/>
      <c r="V98" s="253"/>
      <c r="W98" s="253"/>
      <c r="X98" s="16"/>
    </row>
    <row r="99" spans="1:24" ht="15" customHeight="1" x14ac:dyDescent="0.35">
      <c r="A99" s="227"/>
      <c r="B99" s="24"/>
      <c r="C99" s="211"/>
      <c r="D99" s="15"/>
      <c r="E99" s="15"/>
      <c r="F99" s="9">
        <v>800</v>
      </c>
      <c r="G99" s="29">
        <f t="shared" si="7"/>
        <v>0</v>
      </c>
      <c r="H99" s="11"/>
      <c r="I99" s="10"/>
      <c r="J99" s="29">
        <f t="shared" si="8"/>
        <v>0</v>
      </c>
      <c r="K99" s="29"/>
      <c r="L99" s="223">
        <f t="shared" si="9"/>
        <v>0</v>
      </c>
      <c r="M99" s="12"/>
      <c r="N99" s="218" t="str">
        <f t="shared" si="5"/>
        <v xml:space="preserve"> </v>
      </c>
      <c r="O99" s="189"/>
      <c r="P99" s="189"/>
      <c r="Q99" s="189"/>
      <c r="R99" s="189" t="str">
        <f t="shared" si="4"/>
        <v xml:space="preserve"> </v>
      </c>
      <c r="S99" s="189"/>
      <c r="T99" s="253"/>
      <c r="U99" s="13"/>
      <c r="V99" s="253"/>
      <c r="W99" s="253"/>
      <c r="X99" s="16"/>
    </row>
    <row r="100" spans="1:24" ht="15" customHeight="1" x14ac:dyDescent="0.35">
      <c r="A100" s="227"/>
      <c r="B100" s="23"/>
      <c r="C100" s="206"/>
      <c r="D100" s="15"/>
      <c r="E100" s="15"/>
      <c r="F100" s="9">
        <v>800</v>
      </c>
      <c r="G100" s="29">
        <f t="shared" si="7"/>
        <v>0</v>
      </c>
      <c r="H100" s="11"/>
      <c r="I100" s="10"/>
      <c r="J100" s="29">
        <f t="shared" si="8"/>
        <v>0</v>
      </c>
      <c r="K100" s="29"/>
      <c r="L100" s="223">
        <f t="shared" si="9"/>
        <v>0</v>
      </c>
      <c r="M100" s="12"/>
      <c r="N100" s="218" t="str">
        <f t="shared" si="5"/>
        <v xml:space="preserve"> </v>
      </c>
      <c r="O100" s="189"/>
      <c r="P100" s="189"/>
      <c r="Q100" s="189"/>
      <c r="R100" s="189" t="str">
        <f t="shared" si="4"/>
        <v xml:space="preserve"> </v>
      </c>
      <c r="S100" s="189"/>
      <c r="T100" s="253"/>
      <c r="U100" s="13"/>
      <c r="V100" s="253"/>
      <c r="W100" s="253"/>
      <c r="X100" s="16"/>
    </row>
    <row r="101" spans="1:24" ht="16" x14ac:dyDescent="0.5">
      <c r="D101" s="21">
        <f>SUM(D4:D100)</f>
        <v>79</v>
      </c>
      <c r="E101" s="21">
        <f>SUM(E4:E100)</f>
        <v>101</v>
      </c>
      <c r="G101" s="198">
        <f>SUM(G4:G100)</f>
        <v>147360</v>
      </c>
      <c r="H101" s="21">
        <f>SUM(H4:H100)</f>
        <v>0</v>
      </c>
      <c r="I101" s="5"/>
      <c r="J101" s="198">
        <f>SUM(J4:J100)</f>
        <v>0</v>
      </c>
      <c r="K101" s="198"/>
      <c r="L101" s="224">
        <f>SUM(L4:L100)</f>
        <v>147360</v>
      </c>
      <c r="M101" s="198"/>
      <c r="N101" s="218" t="str">
        <f t="shared" si="5"/>
        <v xml:space="preserve"> </v>
      </c>
      <c r="O101" s="197">
        <f>SUM(O4:O100)</f>
        <v>1840</v>
      </c>
      <c r="P101" s="197">
        <f>SUM(P4:P100)</f>
        <v>0</v>
      </c>
      <c r="Q101" s="197">
        <f>SUM(Q4:Q100)</f>
        <v>0</v>
      </c>
      <c r="R101" s="199">
        <f>SUM(R4:R100)</f>
        <v>140</v>
      </c>
      <c r="S101" s="199">
        <f>SUM(S4:S100)</f>
        <v>0</v>
      </c>
    </row>
    <row r="102" spans="1:24" x14ac:dyDescent="0.35">
      <c r="D102" s="290">
        <f>D101+E101</f>
        <v>180</v>
      </c>
      <c r="E102" s="291"/>
      <c r="G102" s="22"/>
      <c r="I102" s="5"/>
      <c r="J102" s="22"/>
      <c r="K102" s="22"/>
    </row>
    <row r="103" spans="1:24" x14ac:dyDescent="0.35">
      <c r="I103" s="5"/>
      <c r="J103" s="6"/>
      <c r="K103" s="6"/>
    </row>
    <row r="108" spans="1:24" x14ac:dyDescent="0.35">
      <c r="C108" s="211" t="s">
        <v>82</v>
      </c>
    </row>
    <row r="109" spans="1:24" x14ac:dyDescent="0.35">
      <c r="C109" s="211" t="s">
        <v>103</v>
      </c>
    </row>
    <row r="110" spans="1:24" x14ac:dyDescent="0.35">
      <c r="C110" s="211" t="s">
        <v>82</v>
      </c>
    </row>
    <row r="111" spans="1:24" x14ac:dyDescent="0.35">
      <c r="C111" s="211" t="s">
        <v>15</v>
      </c>
    </row>
    <row r="112" spans="1:24" x14ac:dyDescent="0.35">
      <c r="C112" s="212" t="s">
        <v>100</v>
      </c>
    </row>
    <row r="113" spans="3:3" x14ac:dyDescent="0.35">
      <c r="C113" s="211" t="s">
        <v>81</v>
      </c>
    </row>
    <row r="114" spans="3:3" x14ac:dyDescent="0.35">
      <c r="C114" s="211" t="s">
        <v>82</v>
      </c>
    </row>
    <row r="115" spans="3:3" x14ac:dyDescent="0.35">
      <c r="C115" s="211" t="s">
        <v>82</v>
      </c>
    </row>
    <row r="116" spans="3:3" x14ac:dyDescent="0.35">
      <c r="C116" s="211" t="s">
        <v>82</v>
      </c>
    </row>
    <row r="117" spans="3:3" x14ac:dyDescent="0.35">
      <c r="C117" s="211" t="s">
        <v>103</v>
      </c>
    </row>
    <row r="118" spans="3:3" x14ac:dyDescent="0.35">
      <c r="C118" s="212"/>
    </row>
    <row r="119" spans="3:3" x14ac:dyDescent="0.35">
      <c r="C119" s="211"/>
    </row>
    <row r="120" spans="3:3" x14ac:dyDescent="0.35">
      <c r="C120" s="212" t="s">
        <v>112</v>
      </c>
    </row>
    <row r="121" spans="3:3" x14ac:dyDescent="0.35">
      <c r="C121" s="211" t="s">
        <v>102</v>
      </c>
    </row>
    <row r="122" spans="3:3" x14ac:dyDescent="0.35">
      <c r="C122" s="211" t="s">
        <v>15</v>
      </c>
    </row>
    <row r="123" spans="3:3" x14ac:dyDescent="0.35">
      <c r="C123" s="211"/>
    </row>
    <row r="124" spans="3:3" x14ac:dyDescent="0.35">
      <c r="C124" s="211"/>
    </row>
    <row r="125" spans="3:3" x14ac:dyDescent="0.35">
      <c r="C125" s="211" t="s">
        <v>82</v>
      </c>
    </row>
    <row r="126" spans="3:3" x14ac:dyDescent="0.35">
      <c r="C126" s="212" t="s">
        <v>100</v>
      </c>
    </row>
    <row r="127" spans="3:3" x14ac:dyDescent="0.35">
      <c r="C127" s="211" t="s">
        <v>82</v>
      </c>
    </row>
    <row r="128" spans="3:3" x14ac:dyDescent="0.35">
      <c r="C128" s="211" t="s">
        <v>81</v>
      </c>
    </row>
    <row r="129" spans="3:3" x14ac:dyDescent="0.35">
      <c r="C129" s="211" t="s">
        <v>115</v>
      </c>
    </row>
    <row r="130" spans="3:3" x14ac:dyDescent="0.35">
      <c r="C130" s="212" t="s">
        <v>101</v>
      </c>
    </row>
    <row r="131" spans="3:3" x14ac:dyDescent="0.35">
      <c r="C131" s="211" t="s">
        <v>82</v>
      </c>
    </row>
    <row r="132" spans="3:3" x14ac:dyDescent="0.35">
      <c r="C132" s="211" t="s">
        <v>111</v>
      </c>
    </row>
    <row r="133" spans="3:3" x14ac:dyDescent="0.35">
      <c r="C133" s="206"/>
    </row>
    <row r="134" spans="3:3" x14ac:dyDescent="0.35">
      <c r="C134" s="212"/>
    </row>
    <row r="135" spans="3:3" x14ac:dyDescent="0.35">
      <c r="C135" s="212" t="s">
        <v>101</v>
      </c>
    </row>
    <row r="136" spans="3:3" x14ac:dyDescent="0.35">
      <c r="C136" s="212" t="s">
        <v>15</v>
      </c>
    </row>
    <row r="137" spans="3:3" x14ac:dyDescent="0.35">
      <c r="C137" s="211" t="s">
        <v>81</v>
      </c>
    </row>
    <row r="138" spans="3:3" x14ac:dyDescent="0.35">
      <c r="C138" s="211"/>
    </row>
    <row r="1048434" spans="15:21" x14ac:dyDescent="0.35">
      <c r="O1048434" s="189"/>
      <c r="P1048434" s="189"/>
      <c r="Q1048434" s="189"/>
      <c r="R1048434" s="189"/>
      <c r="S1048434" s="189"/>
      <c r="U1048434" s="13"/>
    </row>
  </sheetData>
  <autoFilter ref="B3:AA102" xr:uid="{00000000-0009-0000-0000-000012000000}"/>
  <mergeCells count="15">
    <mergeCell ref="A2:A3"/>
    <mergeCell ref="B2:B3"/>
    <mergeCell ref="C2:C3"/>
    <mergeCell ref="D2:G2"/>
    <mergeCell ref="H2:J2"/>
    <mergeCell ref="K2:K3"/>
    <mergeCell ref="V2:V3"/>
    <mergeCell ref="X2:X3"/>
    <mergeCell ref="O3:O4"/>
    <mergeCell ref="L2:L3"/>
    <mergeCell ref="M2:M3"/>
    <mergeCell ref="N2:N3"/>
    <mergeCell ref="O2:S2"/>
    <mergeCell ref="T2:T3"/>
    <mergeCell ref="U2:U3"/>
  </mergeCells>
  <conditionalFormatting sqref="B2 B100:B1048576 A65 A93:A94 A82:A91 A75:A76 A78:A80 A49:A50 A67 A62:A63 A69 A20:A23 A27:A30 A39:A42 A55:A60 A52">
    <cfRule type="containsText" dxfId="167" priority="182" operator="containsText" text="OK">
      <formula>NOT(ISERROR(SEARCH("OK",A2)))</formula>
    </cfRule>
  </conditionalFormatting>
  <conditionalFormatting sqref="B2 B100:B1048576 A65 A93:A94 A82:A91 A75:A76 A78:A80 A49:A50 A67 A62:A63 A69 A20:A23 A27:A30 A39:A42 A55:A60 A52">
    <cfRule type="containsText" dxfId="166" priority="181" operator="containsText" text="ok">
      <formula>NOT(ISERROR(SEARCH("ok",A2)))</formula>
    </cfRule>
  </conditionalFormatting>
  <conditionalFormatting sqref="B55:B65 B67">
    <cfRule type="containsText" dxfId="165" priority="180" operator="containsText" text="OK">
      <formula>NOT(ISERROR(SEARCH("OK",B55)))</formula>
    </cfRule>
  </conditionalFormatting>
  <conditionalFormatting sqref="B55:B65 B67">
    <cfRule type="containsText" dxfId="164" priority="179" operator="containsText" text="ok">
      <formula>NOT(ISERROR(SEARCH("ok",B55)))</formula>
    </cfRule>
  </conditionalFormatting>
  <conditionalFormatting sqref="B91">
    <cfRule type="containsText" dxfId="163" priority="178" operator="containsText" text="OK">
      <formula>NOT(ISERROR(SEARCH("OK",B91)))</formula>
    </cfRule>
  </conditionalFormatting>
  <conditionalFormatting sqref="B91">
    <cfRule type="containsText" dxfId="162" priority="177" operator="containsText" text="ok">
      <formula>NOT(ISERROR(SEARCH("ok",B91)))</formula>
    </cfRule>
  </conditionalFormatting>
  <conditionalFormatting sqref="A2 A100:A1048576">
    <cfRule type="containsText" dxfId="161" priority="176" operator="containsText" text="OK">
      <formula>NOT(ISERROR(SEARCH("OK",A2)))</formula>
    </cfRule>
  </conditionalFormatting>
  <conditionalFormatting sqref="A2 A100:A1048576">
    <cfRule type="containsText" dxfId="160" priority="175" operator="containsText" text="ok">
      <formula>NOT(ISERROR(SEARCH("ok",A2)))</formula>
    </cfRule>
  </conditionalFormatting>
  <conditionalFormatting sqref="A95">
    <cfRule type="containsText" dxfId="159" priority="174" operator="containsText" text="OK">
      <formula>NOT(ISERROR(SEARCH("OK",A95)))</formula>
    </cfRule>
  </conditionalFormatting>
  <conditionalFormatting sqref="A95">
    <cfRule type="containsText" dxfId="158" priority="173" operator="containsText" text="ok">
      <formula>NOT(ISERROR(SEARCH("ok",A95)))</formula>
    </cfRule>
  </conditionalFormatting>
  <conditionalFormatting sqref="A96">
    <cfRule type="containsText" dxfId="157" priority="172" operator="containsText" text="OK">
      <formula>NOT(ISERROR(SEARCH("OK",A96)))</formula>
    </cfRule>
  </conditionalFormatting>
  <conditionalFormatting sqref="A96">
    <cfRule type="containsText" dxfId="156" priority="171" operator="containsText" text="ok">
      <formula>NOT(ISERROR(SEARCH("ok",A96)))</formula>
    </cfRule>
  </conditionalFormatting>
  <conditionalFormatting sqref="A97">
    <cfRule type="containsText" dxfId="155" priority="170" operator="containsText" text="OK">
      <formula>NOT(ISERROR(SEARCH("OK",A97)))</formula>
    </cfRule>
  </conditionalFormatting>
  <conditionalFormatting sqref="A97">
    <cfRule type="containsText" dxfId="154" priority="169" operator="containsText" text="ok">
      <formula>NOT(ISERROR(SEARCH("ok",A97)))</formula>
    </cfRule>
  </conditionalFormatting>
  <conditionalFormatting sqref="A98">
    <cfRule type="containsText" dxfId="153" priority="168" operator="containsText" text="OK">
      <formula>NOT(ISERROR(SEARCH("OK",A98)))</formula>
    </cfRule>
  </conditionalFormatting>
  <conditionalFormatting sqref="A98">
    <cfRule type="containsText" dxfId="152" priority="167" operator="containsText" text="ok">
      <formula>NOT(ISERROR(SEARCH("ok",A98)))</formula>
    </cfRule>
  </conditionalFormatting>
  <conditionalFormatting sqref="A99">
    <cfRule type="containsText" dxfId="151" priority="166" operator="containsText" text="OK">
      <formula>NOT(ISERROR(SEARCH("OK",A99)))</formula>
    </cfRule>
  </conditionalFormatting>
  <conditionalFormatting sqref="A99">
    <cfRule type="containsText" dxfId="150" priority="165" operator="containsText" text="ok">
      <formula>NOT(ISERROR(SEARCH("ok",A99)))</formula>
    </cfRule>
  </conditionalFormatting>
  <conditionalFormatting sqref="B87">
    <cfRule type="containsText" dxfId="149" priority="164" operator="containsText" text="OK">
      <formula>NOT(ISERROR(SEARCH("OK",B87)))</formula>
    </cfRule>
  </conditionalFormatting>
  <conditionalFormatting sqref="B87">
    <cfRule type="containsText" dxfId="148" priority="163" operator="containsText" text="ok">
      <formula>NOT(ISERROR(SEARCH("ok",B87)))</formula>
    </cfRule>
  </conditionalFormatting>
  <conditionalFormatting sqref="B82">
    <cfRule type="containsText" dxfId="147" priority="162" operator="containsText" text="OK">
      <formula>NOT(ISERROR(SEARCH("OK",B82)))</formula>
    </cfRule>
  </conditionalFormatting>
  <conditionalFormatting sqref="B82">
    <cfRule type="containsText" dxfId="146" priority="161" operator="containsText" text="ok">
      <formula>NOT(ISERROR(SEARCH("ok",B82)))</formula>
    </cfRule>
  </conditionalFormatting>
  <conditionalFormatting sqref="B83">
    <cfRule type="containsText" dxfId="145" priority="160" operator="containsText" text="OK">
      <formula>NOT(ISERROR(SEARCH("OK",B83)))</formula>
    </cfRule>
  </conditionalFormatting>
  <conditionalFormatting sqref="B83">
    <cfRule type="containsText" dxfId="144" priority="159" operator="containsText" text="ok">
      <formula>NOT(ISERROR(SEARCH("ok",B83)))</formula>
    </cfRule>
  </conditionalFormatting>
  <conditionalFormatting sqref="B84">
    <cfRule type="containsText" dxfId="143" priority="158" operator="containsText" text="OK">
      <formula>NOT(ISERROR(SEARCH("OK",B84)))</formula>
    </cfRule>
  </conditionalFormatting>
  <conditionalFormatting sqref="B84">
    <cfRule type="containsText" dxfId="142" priority="157" operator="containsText" text="ok">
      <formula>NOT(ISERROR(SEARCH("ok",B84)))</formula>
    </cfRule>
  </conditionalFormatting>
  <conditionalFormatting sqref="B85">
    <cfRule type="containsText" dxfId="141" priority="156" operator="containsText" text="OK">
      <formula>NOT(ISERROR(SEARCH("OK",B85)))</formula>
    </cfRule>
  </conditionalFormatting>
  <conditionalFormatting sqref="B85">
    <cfRule type="containsText" dxfId="140" priority="155" operator="containsText" text="ok">
      <formula>NOT(ISERROR(SEARCH("ok",B85)))</formula>
    </cfRule>
  </conditionalFormatting>
  <conditionalFormatting sqref="B86">
    <cfRule type="containsText" dxfId="139" priority="154" operator="containsText" text="OK">
      <formula>NOT(ISERROR(SEARCH("OK",B86)))</formula>
    </cfRule>
  </conditionalFormatting>
  <conditionalFormatting sqref="B86">
    <cfRule type="containsText" dxfId="138" priority="153" operator="containsText" text="ok">
      <formula>NOT(ISERROR(SEARCH("ok",B86)))</formula>
    </cfRule>
  </conditionalFormatting>
  <conditionalFormatting sqref="A45">
    <cfRule type="containsText" dxfId="137" priority="152" operator="containsText" text="OK">
      <formula>NOT(ISERROR(SEARCH("OK",A45)))</formula>
    </cfRule>
  </conditionalFormatting>
  <conditionalFormatting sqref="A45">
    <cfRule type="containsText" dxfId="136" priority="151" operator="containsText" text="ok">
      <formula>NOT(ISERROR(SEARCH("ok",A45)))</formula>
    </cfRule>
  </conditionalFormatting>
  <conditionalFormatting sqref="B69">
    <cfRule type="containsText" dxfId="135" priority="150" operator="containsText" text="OK">
      <formula>NOT(ISERROR(SEARCH("OK",B69)))</formula>
    </cfRule>
  </conditionalFormatting>
  <conditionalFormatting sqref="B69">
    <cfRule type="containsText" dxfId="134" priority="149" operator="containsText" text="ok">
      <formula>NOT(ISERROR(SEARCH("ok",B69)))</formula>
    </cfRule>
  </conditionalFormatting>
  <conditionalFormatting sqref="B88">
    <cfRule type="containsText" dxfId="133" priority="148" operator="containsText" text="OK">
      <formula>NOT(ISERROR(SEARCH("OK",B88)))</formula>
    </cfRule>
  </conditionalFormatting>
  <conditionalFormatting sqref="B88">
    <cfRule type="containsText" dxfId="132" priority="147" operator="containsText" text="ok">
      <formula>NOT(ISERROR(SEARCH("ok",B88)))</formula>
    </cfRule>
  </conditionalFormatting>
  <conditionalFormatting sqref="A92">
    <cfRule type="containsText" dxfId="131" priority="146" operator="containsText" text="OK">
      <formula>NOT(ISERROR(SEARCH("OK",A92)))</formula>
    </cfRule>
  </conditionalFormatting>
  <conditionalFormatting sqref="A92">
    <cfRule type="containsText" dxfId="130" priority="145" operator="containsText" text="ok">
      <formula>NOT(ISERROR(SEARCH("ok",A92)))</formula>
    </cfRule>
  </conditionalFormatting>
  <conditionalFormatting sqref="B87">
    <cfRule type="containsText" dxfId="129" priority="144" operator="containsText" text="OK">
      <formula>NOT(ISERROR(SEARCH("OK",B87)))</formula>
    </cfRule>
  </conditionalFormatting>
  <conditionalFormatting sqref="B87">
    <cfRule type="containsText" dxfId="128" priority="143" operator="containsText" text="ok">
      <formula>NOT(ISERROR(SEARCH("ok",B87)))</formula>
    </cfRule>
  </conditionalFormatting>
  <conditionalFormatting sqref="B83">
    <cfRule type="containsText" dxfId="127" priority="142" operator="containsText" text="OK">
      <formula>NOT(ISERROR(SEARCH("OK",B83)))</formula>
    </cfRule>
  </conditionalFormatting>
  <conditionalFormatting sqref="B83">
    <cfRule type="containsText" dxfId="126" priority="141" operator="containsText" text="ok">
      <formula>NOT(ISERROR(SEARCH("ok",B83)))</formula>
    </cfRule>
  </conditionalFormatting>
  <conditionalFormatting sqref="B84">
    <cfRule type="containsText" dxfId="125" priority="140" operator="containsText" text="OK">
      <formula>NOT(ISERROR(SEARCH("OK",B84)))</formula>
    </cfRule>
  </conditionalFormatting>
  <conditionalFormatting sqref="B84">
    <cfRule type="containsText" dxfId="124" priority="139" operator="containsText" text="ok">
      <formula>NOT(ISERROR(SEARCH("ok",B84)))</formula>
    </cfRule>
  </conditionalFormatting>
  <conditionalFormatting sqref="A88">
    <cfRule type="containsText" dxfId="123" priority="138" operator="containsText" text="OK">
      <formula>NOT(ISERROR(SEARCH("OK",A88)))</formula>
    </cfRule>
  </conditionalFormatting>
  <conditionalFormatting sqref="A88">
    <cfRule type="containsText" dxfId="122" priority="137" operator="containsText" text="ok">
      <formula>NOT(ISERROR(SEARCH("ok",A88)))</formula>
    </cfRule>
  </conditionalFormatting>
  <conditionalFormatting sqref="A81">
    <cfRule type="containsText" dxfId="121" priority="136" operator="containsText" text="OK">
      <formula>NOT(ISERROR(SEARCH("OK",A81)))</formula>
    </cfRule>
  </conditionalFormatting>
  <conditionalFormatting sqref="A81">
    <cfRule type="containsText" dxfId="120" priority="135" operator="containsText" text="ok">
      <formula>NOT(ISERROR(SEARCH("ok",A81)))</formula>
    </cfRule>
  </conditionalFormatting>
  <conditionalFormatting sqref="B81">
    <cfRule type="containsText" dxfId="119" priority="134" operator="containsText" text="OK">
      <formula>NOT(ISERROR(SEARCH("OK",B81)))</formula>
    </cfRule>
  </conditionalFormatting>
  <conditionalFormatting sqref="B81">
    <cfRule type="containsText" dxfId="118" priority="133" operator="containsText" text="ok">
      <formula>NOT(ISERROR(SEARCH("ok",B81)))</formula>
    </cfRule>
  </conditionalFormatting>
  <conditionalFormatting sqref="A61">
    <cfRule type="containsText" dxfId="117" priority="132" operator="containsText" text="OK">
      <formula>NOT(ISERROR(SEARCH("OK",A61)))</formula>
    </cfRule>
  </conditionalFormatting>
  <conditionalFormatting sqref="A61">
    <cfRule type="containsText" dxfId="116" priority="131" operator="containsText" text="ok">
      <formula>NOT(ISERROR(SEARCH("ok",A61)))</formula>
    </cfRule>
  </conditionalFormatting>
  <conditionalFormatting sqref="B66">
    <cfRule type="containsText" dxfId="115" priority="128" operator="containsText" text="OK">
      <formula>NOT(ISERROR(SEARCH("OK",B66)))</formula>
    </cfRule>
  </conditionalFormatting>
  <conditionalFormatting sqref="B66">
    <cfRule type="containsText" dxfId="114" priority="127" operator="containsText" text="ok">
      <formula>NOT(ISERROR(SEARCH("ok",B66)))</formula>
    </cfRule>
  </conditionalFormatting>
  <conditionalFormatting sqref="A66">
    <cfRule type="containsText" dxfId="113" priority="130" operator="containsText" text="OK">
      <formula>NOT(ISERROR(SEARCH("OK",A66)))</formula>
    </cfRule>
  </conditionalFormatting>
  <conditionalFormatting sqref="A66">
    <cfRule type="containsText" dxfId="112" priority="129" operator="containsText" text="ok">
      <formula>NOT(ISERROR(SEARCH("ok",A66)))</formula>
    </cfRule>
  </conditionalFormatting>
  <conditionalFormatting sqref="B75">
    <cfRule type="containsText" dxfId="111" priority="124" operator="containsText" text="OK">
      <formula>NOT(ISERROR(SEARCH("OK",B75)))</formula>
    </cfRule>
  </conditionalFormatting>
  <conditionalFormatting sqref="B75">
    <cfRule type="containsText" dxfId="110" priority="123" operator="containsText" text="ok">
      <formula>NOT(ISERROR(SEARCH("ok",B75)))</formula>
    </cfRule>
  </conditionalFormatting>
  <conditionalFormatting sqref="B74">
    <cfRule type="containsText" dxfId="109" priority="126" operator="containsText" text="OK">
      <formula>NOT(ISERROR(SEARCH("OK",B74)))</formula>
    </cfRule>
  </conditionalFormatting>
  <conditionalFormatting sqref="B74">
    <cfRule type="containsText" dxfId="108" priority="125" operator="containsText" text="ok">
      <formula>NOT(ISERROR(SEARCH("ok",B74)))</formula>
    </cfRule>
  </conditionalFormatting>
  <conditionalFormatting sqref="B76">
    <cfRule type="containsText" dxfId="107" priority="122" operator="containsText" text="OK">
      <formula>NOT(ISERROR(SEARCH("OK",B76)))</formula>
    </cfRule>
  </conditionalFormatting>
  <conditionalFormatting sqref="B76">
    <cfRule type="containsText" dxfId="106" priority="121" operator="containsText" text="ok">
      <formula>NOT(ISERROR(SEARCH("ok",B76)))</formula>
    </cfRule>
  </conditionalFormatting>
  <conditionalFormatting sqref="B77">
    <cfRule type="containsText" dxfId="105" priority="120" operator="containsText" text="OK">
      <formula>NOT(ISERROR(SEARCH("OK",B77)))</formula>
    </cfRule>
  </conditionalFormatting>
  <conditionalFormatting sqref="B77">
    <cfRule type="containsText" dxfId="104" priority="119" operator="containsText" text="ok">
      <formula>NOT(ISERROR(SEARCH("ok",B77)))</formula>
    </cfRule>
  </conditionalFormatting>
  <conditionalFormatting sqref="B78">
    <cfRule type="containsText" dxfId="103" priority="118" operator="containsText" text="OK">
      <formula>NOT(ISERROR(SEARCH("OK",B78)))</formula>
    </cfRule>
  </conditionalFormatting>
  <conditionalFormatting sqref="B78">
    <cfRule type="containsText" dxfId="102" priority="117" operator="containsText" text="ok">
      <formula>NOT(ISERROR(SEARCH("ok",B78)))</formula>
    </cfRule>
  </conditionalFormatting>
  <conditionalFormatting sqref="A77">
    <cfRule type="containsText" dxfId="101" priority="116" operator="containsText" text="OK">
      <formula>NOT(ISERROR(SEARCH("OK",A77)))</formula>
    </cfRule>
  </conditionalFormatting>
  <conditionalFormatting sqref="A77">
    <cfRule type="containsText" dxfId="100" priority="115" operator="containsText" text="ok">
      <formula>NOT(ISERROR(SEARCH("ok",A77)))</formula>
    </cfRule>
  </conditionalFormatting>
  <conditionalFormatting sqref="A48">
    <cfRule type="containsText" dxfId="99" priority="114" operator="containsText" text="OK">
      <formula>NOT(ISERROR(SEARCH("OK",A48)))</formula>
    </cfRule>
  </conditionalFormatting>
  <conditionalFormatting sqref="A48">
    <cfRule type="containsText" dxfId="98" priority="113" operator="containsText" text="ok">
      <formula>NOT(ISERROR(SEARCH("ok",A48)))</formula>
    </cfRule>
  </conditionalFormatting>
  <conditionalFormatting sqref="A74">
    <cfRule type="containsText" dxfId="97" priority="112" operator="containsText" text="OK">
      <formula>NOT(ISERROR(SEARCH("OK",A74)))</formula>
    </cfRule>
  </conditionalFormatting>
  <conditionalFormatting sqref="A74">
    <cfRule type="containsText" dxfId="96" priority="111" operator="containsText" text="ok">
      <formula>NOT(ISERROR(SEARCH("ok",A74)))</formula>
    </cfRule>
  </conditionalFormatting>
  <conditionalFormatting sqref="A64">
    <cfRule type="containsText" dxfId="95" priority="108" operator="containsText" text="OK">
      <formula>NOT(ISERROR(SEARCH("OK",A64)))</formula>
    </cfRule>
  </conditionalFormatting>
  <conditionalFormatting sqref="A64">
    <cfRule type="containsText" dxfId="94" priority="107" operator="containsText" text="ok">
      <formula>NOT(ISERROR(SEARCH("ok",A64)))</formula>
    </cfRule>
  </conditionalFormatting>
  <conditionalFormatting sqref="A46">
    <cfRule type="containsText" dxfId="93" priority="104" operator="containsText" text="OK">
      <formula>NOT(ISERROR(SEARCH("OK",A46)))</formula>
    </cfRule>
  </conditionalFormatting>
  <conditionalFormatting sqref="A46">
    <cfRule type="containsText" dxfId="92" priority="103" operator="containsText" text="ok">
      <formula>NOT(ISERROR(SEARCH("ok",A46)))</formula>
    </cfRule>
  </conditionalFormatting>
  <conditionalFormatting sqref="A47">
    <cfRule type="containsText" dxfId="91" priority="102" operator="containsText" text="OK">
      <formula>NOT(ISERROR(SEARCH("OK",A47)))</formula>
    </cfRule>
  </conditionalFormatting>
  <conditionalFormatting sqref="A47">
    <cfRule type="containsText" dxfId="90" priority="101" operator="containsText" text="ok">
      <formula>NOT(ISERROR(SEARCH("ok",A47)))</formula>
    </cfRule>
  </conditionalFormatting>
  <conditionalFormatting sqref="A68">
    <cfRule type="containsText" dxfId="89" priority="100" operator="containsText" text="OK">
      <formula>NOT(ISERROR(SEARCH("OK",A68)))</formula>
    </cfRule>
  </conditionalFormatting>
  <conditionalFormatting sqref="A68">
    <cfRule type="containsText" dxfId="88" priority="99" operator="containsText" text="ok">
      <formula>NOT(ISERROR(SEARCH("ok",A68)))</formula>
    </cfRule>
  </conditionalFormatting>
  <conditionalFormatting sqref="B68">
    <cfRule type="containsText" dxfId="87" priority="98" operator="containsText" text="OK">
      <formula>NOT(ISERROR(SEARCH("OK",B68)))</formula>
    </cfRule>
  </conditionalFormatting>
  <conditionalFormatting sqref="B68">
    <cfRule type="containsText" dxfId="86" priority="97" operator="containsText" text="ok">
      <formula>NOT(ISERROR(SEARCH("ok",B68)))</formula>
    </cfRule>
  </conditionalFormatting>
  <conditionalFormatting sqref="A66">
    <cfRule type="containsText" dxfId="85" priority="96" operator="containsText" text="OK">
      <formula>NOT(ISERROR(SEARCH("OK",A66)))</formula>
    </cfRule>
  </conditionalFormatting>
  <conditionalFormatting sqref="A66">
    <cfRule type="containsText" dxfId="84" priority="95" operator="containsText" text="ok">
      <formula>NOT(ISERROR(SEARCH("ok",A66)))</formula>
    </cfRule>
  </conditionalFormatting>
  <conditionalFormatting sqref="B66">
    <cfRule type="containsText" dxfId="83" priority="94" operator="containsText" text="OK">
      <formula>NOT(ISERROR(SEARCH("OK",B66)))</formula>
    </cfRule>
  </conditionalFormatting>
  <conditionalFormatting sqref="B66">
    <cfRule type="containsText" dxfId="82" priority="93" operator="containsText" text="ok">
      <formula>NOT(ISERROR(SEARCH("ok",B66)))</formula>
    </cfRule>
  </conditionalFormatting>
  <conditionalFormatting sqref="B65">
    <cfRule type="containsText" dxfId="81" priority="90" operator="containsText" text="OK">
      <formula>NOT(ISERROR(SEARCH("OK",B65)))</formula>
    </cfRule>
  </conditionalFormatting>
  <conditionalFormatting sqref="B65">
    <cfRule type="containsText" dxfId="80" priority="89" operator="containsText" text="ok">
      <formula>NOT(ISERROR(SEARCH("ok",B65)))</formula>
    </cfRule>
  </conditionalFormatting>
  <conditionalFormatting sqref="A65">
    <cfRule type="containsText" dxfId="79" priority="92" operator="containsText" text="OK">
      <formula>NOT(ISERROR(SEARCH("OK",A65)))</formula>
    </cfRule>
  </conditionalFormatting>
  <conditionalFormatting sqref="A65">
    <cfRule type="containsText" dxfId="78" priority="91" operator="containsText" text="ok">
      <formula>NOT(ISERROR(SEARCH("ok",A65)))</formula>
    </cfRule>
  </conditionalFormatting>
  <conditionalFormatting sqref="A67">
    <cfRule type="containsText" dxfId="77" priority="88" operator="containsText" text="OK">
      <formula>NOT(ISERROR(SEARCH("OK",A67)))</formula>
    </cfRule>
  </conditionalFormatting>
  <conditionalFormatting sqref="A67">
    <cfRule type="containsText" dxfId="76" priority="87" operator="containsText" text="ok">
      <formula>NOT(ISERROR(SEARCH("ok",A67)))</formula>
    </cfRule>
  </conditionalFormatting>
  <conditionalFormatting sqref="B67">
    <cfRule type="containsText" dxfId="75" priority="86" operator="containsText" text="OK">
      <formula>NOT(ISERROR(SEARCH("OK",B67)))</formula>
    </cfRule>
  </conditionalFormatting>
  <conditionalFormatting sqref="B67">
    <cfRule type="containsText" dxfId="74" priority="85" operator="containsText" text="ok">
      <formula>NOT(ISERROR(SEARCH("ok",B67)))</formula>
    </cfRule>
  </conditionalFormatting>
  <conditionalFormatting sqref="B70">
    <cfRule type="containsText" dxfId="73" priority="84" operator="containsText" text="OK">
      <formula>NOT(ISERROR(SEARCH("OK",B70)))</formula>
    </cfRule>
  </conditionalFormatting>
  <conditionalFormatting sqref="B70">
    <cfRule type="containsText" dxfId="72" priority="83" operator="containsText" text="ok">
      <formula>NOT(ISERROR(SEARCH("ok",B70)))</formula>
    </cfRule>
  </conditionalFormatting>
  <conditionalFormatting sqref="A70">
    <cfRule type="containsText" dxfId="71" priority="82" operator="containsText" text="OK">
      <formula>NOT(ISERROR(SEARCH("OK",A70)))</formula>
    </cfRule>
  </conditionalFormatting>
  <conditionalFormatting sqref="A70">
    <cfRule type="containsText" dxfId="70" priority="81" operator="containsText" text="ok">
      <formula>NOT(ISERROR(SEARCH("ok",A70)))</formula>
    </cfRule>
  </conditionalFormatting>
  <conditionalFormatting sqref="A71">
    <cfRule type="containsText" dxfId="69" priority="80" operator="containsText" text="OK">
      <formula>NOT(ISERROR(SEARCH("OK",A71)))</formula>
    </cfRule>
  </conditionalFormatting>
  <conditionalFormatting sqref="A71">
    <cfRule type="containsText" dxfId="68" priority="79" operator="containsText" text="ok">
      <formula>NOT(ISERROR(SEARCH("ok",A71)))</formula>
    </cfRule>
  </conditionalFormatting>
  <conditionalFormatting sqref="B71">
    <cfRule type="containsText" dxfId="67" priority="78" operator="containsText" text="OK">
      <formula>NOT(ISERROR(SEARCH("OK",B71)))</formula>
    </cfRule>
  </conditionalFormatting>
  <conditionalFormatting sqref="B71">
    <cfRule type="containsText" dxfId="66" priority="77" operator="containsText" text="ok">
      <formula>NOT(ISERROR(SEARCH("ok",B71)))</formula>
    </cfRule>
  </conditionalFormatting>
  <conditionalFormatting sqref="A71">
    <cfRule type="containsText" dxfId="65" priority="76" operator="containsText" text="OK">
      <formula>NOT(ISERROR(SEARCH("OK",A71)))</formula>
    </cfRule>
  </conditionalFormatting>
  <conditionalFormatting sqref="A71">
    <cfRule type="containsText" dxfId="64" priority="75" operator="containsText" text="ok">
      <formula>NOT(ISERROR(SEARCH("ok",A71)))</formula>
    </cfRule>
  </conditionalFormatting>
  <conditionalFormatting sqref="B71">
    <cfRule type="containsText" dxfId="63" priority="74" operator="containsText" text="OK">
      <formula>NOT(ISERROR(SEARCH("OK",B71)))</formula>
    </cfRule>
  </conditionalFormatting>
  <conditionalFormatting sqref="B71">
    <cfRule type="containsText" dxfId="62" priority="73" operator="containsText" text="ok">
      <formula>NOT(ISERROR(SEARCH("ok",B71)))</formula>
    </cfRule>
  </conditionalFormatting>
  <conditionalFormatting sqref="A72">
    <cfRule type="containsText" dxfId="61" priority="72" operator="containsText" text="OK">
      <formula>NOT(ISERROR(SEARCH("OK",A72)))</formula>
    </cfRule>
  </conditionalFormatting>
  <conditionalFormatting sqref="A72">
    <cfRule type="containsText" dxfId="60" priority="71" operator="containsText" text="ok">
      <formula>NOT(ISERROR(SEARCH("ok",A72)))</formula>
    </cfRule>
  </conditionalFormatting>
  <conditionalFormatting sqref="B72">
    <cfRule type="containsText" dxfId="59" priority="70" operator="containsText" text="OK">
      <formula>NOT(ISERROR(SEARCH("OK",B72)))</formula>
    </cfRule>
  </conditionalFormatting>
  <conditionalFormatting sqref="B72">
    <cfRule type="containsText" dxfId="58" priority="69" operator="containsText" text="ok">
      <formula>NOT(ISERROR(SEARCH("ok",B72)))</formula>
    </cfRule>
  </conditionalFormatting>
  <conditionalFormatting sqref="B73">
    <cfRule type="containsText" dxfId="57" priority="66" operator="containsText" text="OK">
      <formula>NOT(ISERROR(SEARCH("OK",B73)))</formula>
    </cfRule>
  </conditionalFormatting>
  <conditionalFormatting sqref="B73">
    <cfRule type="containsText" dxfId="56" priority="65" operator="containsText" text="ok">
      <formula>NOT(ISERROR(SEARCH("ok",B73)))</formula>
    </cfRule>
  </conditionalFormatting>
  <conditionalFormatting sqref="A73">
    <cfRule type="containsText" dxfId="55" priority="68" operator="containsText" text="OK">
      <formula>NOT(ISERROR(SEARCH("OK",A73)))</formula>
    </cfRule>
  </conditionalFormatting>
  <conditionalFormatting sqref="A73">
    <cfRule type="containsText" dxfId="54" priority="67" operator="containsText" text="ok">
      <formula>NOT(ISERROR(SEARCH("ok",A73)))</formula>
    </cfRule>
  </conditionalFormatting>
  <conditionalFormatting sqref="A73">
    <cfRule type="containsText" dxfId="53" priority="64" operator="containsText" text="OK">
      <formula>NOT(ISERROR(SEARCH("OK",A73)))</formula>
    </cfRule>
  </conditionalFormatting>
  <conditionalFormatting sqref="A73">
    <cfRule type="containsText" dxfId="52" priority="63" operator="containsText" text="ok">
      <formula>NOT(ISERROR(SEARCH("ok",A73)))</formula>
    </cfRule>
  </conditionalFormatting>
  <conditionalFormatting sqref="B73">
    <cfRule type="containsText" dxfId="51" priority="62" operator="containsText" text="OK">
      <formula>NOT(ISERROR(SEARCH("OK",B73)))</formula>
    </cfRule>
  </conditionalFormatting>
  <conditionalFormatting sqref="B73">
    <cfRule type="containsText" dxfId="50" priority="61" operator="containsText" text="ok">
      <formula>NOT(ISERROR(SEARCH("ok",B73)))</formula>
    </cfRule>
  </conditionalFormatting>
  <conditionalFormatting sqref="B72">
    <cfRule type="containsText" dxfId="49" priority="58" operator="containsText" text="OK">
      <formula>NOT(ISERROR(SEARCH("OK",B72)))</formula>
    </cfRule>
  </conditionalFormatting>
  <conditionalFormatting sqref="B72">
    <cfRule type="containsText" dxfId="48" priority="57" operator="containsText" text="ok">
      <formula>NOT(ISERROR(SEARCH("ok",B72)))</formula>
    </cfRule>
  </conditionalFormatting>
  <conditionalFormatting sqref="A72">
    <cfRule type="containsText" dxfId="47" priority="60" operator="containsText" text="OK">
      <formula>NOT(ISERROR(SEARCH("OK",A72)))</formula>
    </cfRule>
  </conditionalFormatting>
  <conditionalFormatting sqref="A72">
    <cfRule type="containsText" dxfId="46" priority="59" operator="containsText" text="ok">
      <formula>NOT(ISERROR(SEARCH("ok",A72)))</formula>
    </cfRule>
  </conditionalFormatting>
  <conditionalFormatting sqref="B4">
    <cfRule type="containsText" dxfId="45" priority="56" operator="containsText" text="OK">
      <formula>NOT(ISERROR(SEARCH("OK",B4)))</formula>
    </cfRule>
  </conditionalFormatting>
  <conditionalFormatting sqref="B4">
    <cfRule type="containsText" dxfId="44" priority="55" operator="containsText" text="ok">
      <formula>NOT(ISERROR(SEARCH("ok",B4)))</formula>
    </cfRule>
  </conditionalFormatting>
  <conditionalFormatting sqref="A4">
    <cfRule type="containsText" dxfId="43" priority="54" operator="containsText" text="OK">
      <formula>NOT(ISERROR(SEARCH("OK",A4)))</formula>
    </cfRule>
  </conditionalFormatting>
  <conditionalFormatting sqref="A4">
    <cfRule type="containsText" dxfId="42" priority="53" operator="containsText" text="ok">
      <formula>NOT(ISERROR(SEARCH("ok",A4)))</formula>
    </cfRule>
  </conditionalFormatting>
  <conditionalFormatting sqref="A5">
    <cfRule type="containsText" dxfId="41" priority="52" operator="containsText" text="OK">
      <formula>NOT(ISERROR(SEARCH("OK",A5)))</formula>
    </cfRule>
  </conditionalFormatting>
  <conditionalFormatting sqref="A5">
    <cfRule type="containsText" dxfId="40" priority="51" operator="containsText" text="ok">
      <formula>NOT(ISERROR(SEARCH("ok",A5)))</formula>
    </cfRule>
  </conditionalFormatting>
  <conditionalFormatting sqref="B5">
    <cfRule type="containsText" dxfId="39" priority="50" operator="containsText" text="OK">
      <formula>NOT(ISERROR(SEARCH("OK",B5)))</formula>
    </cfRule>
  </conditionalFormatting>
  <conditionalFormatting sqref="B5">
    <cfRule type="containsText" dxfId="38" priority="49" operator="containsText" text="ok">
      <formula>NOT(ISERROR(SEARCH("ok",B5)))</formula>
    </cfRule>
  </conditionalFormatting>
  <conditionalFormatting sqref="B6">
    <cfRule type="containsText" dxfId="37" priority="46" operator="containsText" text="OK">
      <formula>NOT(ISERROR(SEARCH("OK",B6)))</formula>
    </cfRule>
  </conditionalFormatting>
  <conditionalFormatting sqref="B6">
    <cfRule type="containsText" dxfId="36" priority="45" operator="containsText" text="ok">
      <formula>NOT(ISERROR(SEARCH("ok",B6)))</formula>
    </cfRule>
  </conditionalFormatting>
  <conditionalFormatting sqref="A6">
    <cfRule type="containsText" dxfId="35" priority="48" operator="containsText" text="OK">
      <formula>NOT(ISERROR(SEARCH("OK",A6)))</formula>
    </cfRule>
  </conditionalFormatting>
  <conditionalFormatting sqref="A6">
    <cfRule type="containsText" dxfId="34" priority="47" operator="containsText" text="ok">
      <formula>NOT(ISERROR(SEARCH("ok",A6)))</formula>
    </cfRule>
  </conditionalFormatting>
  <conditionalFormatting sqref="A6">
    <cfRule type="containsText" dxfId="33" priority="44" operator="containsText" text="OK">
      <formula>NOT(ISERROR(SEARCH("OK",A6)))</formula>
    </cfRule>
  </conditionalFormatting>
  <conditionalFormatting sqref="A6">
    <cfRule type="containsText" dxfId="32" priority="43" operator="containsText" text="ok">
      <formula>NOT(ISERROR(SEARCH("ok",A6)))</formula>
    </cfRule>
  </conditionalFormatting>
  <conditionalFormatting sqref="B6">
    <cfRule type="containsText" dxfId="31" priority="42" operator="containsText" text="OK">
      <formula>NOT(ISERROR(SEARCH("OK",B6)))</formula>
    </cfRule>
  </conditionalFormatting>
  <conditionalFormatting sqref="B6">
    <cfRule type="containsText" dxfId="30" priority="41" operator="containsText" text="ok">
      <formula>NOT(ISERROR(SEARCH("ok",B6)))</formula>
    </cfRule>
  </conditionalFormatting>
  <conditionalFormatting sqref="B5">
    <cfRule type="containsText" dxfId="29" priority="38" operator="containsText" text="OK">
      <formula>NOT(ISERROR(SEARCH("OK",B5)))</formula>
    </cfRule>
  </conditionalFormatting>
  <conditionalFormatting sqref="B5">
    <cfRule type="containsText" dxfId="28" priority="37" operator="containsText" text="ok">
      <formula>NOT(ISERROR(SEARCH("ok",B5)))</formula>
    </cfRule>
  </conditionalFormatting>
  <conditionalFormatting sqref="A5">
    <cfRule type="containsText" dxfId="27" priority="40" operator="containsText" text="OK">
      <formula>NOT(ISERROR(SEARCH("OK",A5)))</formula>
    </cfRule>
  </conditionalFormatting>
  <conditionalFormatting sqref="A5">
    <cfRule type="containsText" dxfId="26" priority="39" operator="containsText" text="ok">
      <formula>NOT(ISERROR(SEARCH("ok",A5)))</formula>
    </cfRule>
  </conditionalFormatting>
  <conditionalFormatting sqref="A31">
    <cfRule type="containsText" dxfId="25" priority="36" operator="containsText" text="OK">
      <formula>NOT(ISERROR(SEARCH("OK",A31)))</formula>
    </cfRule>
  </conditionalFormatting>
  <conditionalFormatting sqref="A31">
    <cfRule type="containsText" dxfId="24" priority="35" operator="containsText" text="ok">
      <formula>NOT(ISERROR(SEARCH("ok",A31)))</formula>
    </cfRule>
  </conditionalFormatting>
  <conditionalFormatting sqref="A32">
    <cfRule type="containsText" dxfId="23" priority="34" operator="containsText" text="OK">
      <formula>NOT(ISERROR(SEARCH("OK",A32)))</formula>
    </cfRule>
  </conditionalFormatting>
  <conditionalFormatting sqref="A32">
    <cfRule type="containsText" dxfId="22" priority="33" operator="containsText" text="ok">
      <formula>NOT(ISERROR(SEARCH("ok",A32)))</formula>
    </cfRule>
  </conditionalFormatting>
  <conditionalFormatting sqref="A33">
    <cfRule type="containsText" dxfId="21" priority="32" operator="containsText" text="OK">
      <formula>NOT(ISERROR(SEARCH("OK",A33)))</formula>
    </cfRule>
  </conditionalFormatting>
  <conditionalFormatting sqref="A33">
    <cfRule type="containsText" dxfId="20" priority="31" operator="containsText" text="ok">
      <formula>NOT(ISERROR(SEARCH("ok",A33)))</formula>
    </cfRule>
  </conditionalFormatting>
  <conditionalFormatting sqref="A34">
    <cfRule type="containsText" dxfId="19" priority="30" operator="containsText" text="OK">
      <formula>NOT(ISERROR(SEARCH("OK",A34)))</formula>
    </cfRule>
  </conditionalFormatting>
  <conditionalFormatting sqref="A34">
    <cfRule type="containsText" dxfId="18" priority="29" operator="containsText" text="ok">
      <formula>NOT(ISERROR(SEARCH("ok",A34)))</formula>
    </cfRule>
  </conditionalFormatting>
  <conditionalFormatting sqref="A35">
    <cfRule type="containsText" dxfId="17" priority="28" operator="containsText" text="OK">
      <formula>NOT(ISERROR(SEARCH("OK",A35)))</formula>
    </cfRule>
  </conditionalFormatting>
  <conditionalFormatting sqref="A35">
    <cfRule type="containsText" dxfId="16" priority="27" operator="containsText" text="ok">
      <formula>NOT(ISERROR(SEARCH("ok",A35)))</formula>
    </cfRule>
  </conditionalFormatting>
  <conditionalFormatting sqref="A38">
    <cfRule type="containsText" dxfId="15" priority="20" operator="containsText" text="OK">
      <formula>NOT(ISERROR(SEARCH("OK",A38)))</formula>
    </cfRule>
  </conditionalFormatting>
  <conditionalFormatting sqref="A38">
    <cfRule type="containsText" dxfId="14" priority="19" operator="containsText" text="ok">
      <formula>NOT(ISERROR(SEARCH("ok",A38)))</formula>
    </cfRule>
  </conditionalFormatting>
  <conditionalFormatting sqref="A36">
    <cfRule type="containsText" dxfId="13" priority="14" operator="containsText" text="OK">
      <formula>NOT(ISERROR(SEARCH("OK",A36)))</formula>
    </cfRule>
  </conditionalFormatting>
  <conditionalFormatting sqref="A36">
    <cfRule type="containsText" dxfId="12" priority="13" operator="containsText" text="ok">
      <formula>NOT(ISERROR(SEARCH("ok",A36)))</formula>
    </cfRule>
  </conditionalFormatting>
  <conditionalFormatting sqref="A37">
    <cfRule type="containsText" dxfId="11" priority="12" operator="containsText" text="OK">
      <formula>NOT(ISERROR(SEARCH("OK",A37)))</formula>
    </cfRule>
  </conditionalFormatting>
  <conditionalFormatting sqref="A37">
    <cfRule type="containsText" dxfId="10" priority="11" operator="containsText" text="ok">
      <formula>NOT(ISERROR(SEARCH("ok",A37)))</formula>
    </cfRule>
  </conditionalFormatting>
  <conditionalFormatting sqref="A43">
    <cfRule type="containsText" dxfId="9" priority="10" operator="containsText" text="OK">
      <formula>NOT(ISERROR(SEARCH("OK",A43)))</formula>
    </cfRule>
  </conditionalFormatting>
  <conditionalFormatting sqref="A43">
    <cfRule type="containsText" dxfId="8" priority="9" operator="containsText" text="ok">
      <formula>NOT(ISERROR(SEARCH("ok",A43)))</formula>
    </cfRule>
  </conditionalFormatting>
  <conditionalFormatting sqref="A44">
    <cfRule type="containsText" dxfId="7" priority="8" operator="containsText" text="OK">
      <formula>NOT(ISERROR(SEARCH("OK",A44)))</formula>
    </cfRule>
  </conditionalFormatting>
  <conditionalFormatting sqref="A44">
    <cfRule type="containsText" dxfId="6" priority="7" operator="containsText" text="ok">
      <formula>NOT(ISERROR(SEARCH("ok",A44)))</formula>
    </cfRule>
  </conditionalFormatting>
  <conditionalFormatting sqref="A53">
    <cfRule type="containsText" dxfId="5" priority="6" operator="containsText" text="OK">
      <formula>NOT(ISERROR(SEARCH("OK",A53)))</formula>
    </cfRule>
  </conditionalFormatting>
  <conditionalFormatting sqref="A53">
    <cfRule type="containsText" dxfId="4" priority="5" operator="containsText" text="ok">
      <formula>NOT(ISERROR(SEARCH("ok",A53)))</formula>
    </cfRule>
  </conditionalFormatting>
  <conditionalFormatting sqref="A54">
    <cfRule type="containsText" dxfId="3" priority="4" operator="containsText" text="OK">
      <formula>NOT(ISERROR(SEARCH("OK",A54)))</formula>
    </cfRule>
  </conditionalFormatting>
  <conditionalFormatting sqref="A54">
    <cfRule type="containsText" dxfId="2" priority="3" operator="containsText" text="ok">
      <formula>NOT(ISERROR(SEARCH("ok",A54)))</formula>
    </cfRule>
  </conditionalFormatting>
  <conditionalFormatting sqref="A51">
    <cfRule type="containsText" dxfId="1" priority="2" operator="containsText" text="OK">
      <formula>NOT(ISERROR(SEARCH("OK",A51)))</formula>
    </cfRule>
  </conditionalFormatting>
  <conditionalFormatting sqref="A51">
    <cfRule type="containsText" dxfId="0" priority="1" operator="containsText" text="ok">
      <formula>NOT(ISERROR(SEARCH("ok",A51)))</formula>
    </cfRule>
  </conditionalFormatting>
  <pageMargins left="0.511811024" right="0.511811024" top="0.78740157499999996" bottom="0.78740157499999996" header="0.31496062000000002" footer="0.31496062000000002"/>
  <pageSetup paperSize="9" scale="82" orientation="landscape" verticalDpi="300" r:id="rId1"/>
  <rowBreaks count="1" manualBreakCount="1">
    <brk id="33" max="16383" man="1"/>
  </rowBreaks>
  <colBreaks count="1" manualBreakCount="1">
    <brk id="1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L107"/>
  <sheetViews>
    <sheetView zoomScale="90" zoomScaleNormal="90" workbookViewId="0">
      <selection activeCell="E12" sqref="E12"/>
    </sheetView>
  </sheetViews>
  <sheetFormatPr defaultRowHeight="14.5" x14ac:dyDescent="0.35"/>
  <cols>
    <col min="1" max="1" width="19.7265625" bestFit="1" customWidth="1"/>
    <col min="2" max="2" width="13.81640625" bestFit="1" customWidth="1"/>
    <col min="3" max="3" width="15.453125" bestFit="1" customWidth="1"/>
    <col min="4" max="4" width="11.7265625" bestFit="1" customWidth="1"/>
    <col min="5" max="5" width="37.1796875" bestFit="1" customWidth="1"/>
    <col min="6" max="6" width="36.7265625" bestFit="1" customWidth="1"/>
  </cols>
  <sheetData>
    <row r="3" spans="1:8" x14ac:dyDescent="0.35">
      <c r="A3" t="s">
        <v>161</v>
      </c>
    </row>
    <row r="4" spans="1:8" x14ac:dyDescent="0.35">
      <c r="A4" t="s">
        <v>162</v>
      </c>
      <c r="B4">
        <v>3200</v>
      </c>
    </row>
    <row r="5" spans="1:8" x14ac:dyDescent="0.35">
      <c r="A5" t="s">
        <v>163</v>
      </c>
      <c r="B5">
        <v>20</v>
      </c>
    </row>
    <row r="6" spans="1:8" x14ac:dyDescent="0.35">
      <c r="A6" t="s">
        <v>164</v>
      </c>
      <c r="B6">
        <v>65</v>
      </c>
    </row>
    <row r="7" spans="1:8" x14ac:dyDescent="0.35">
      <c r="A7" t="s">
        <v>118</v>
      </c>
      <c r="B7">
        <v>70</v>
      </c>
    </row>
    <row r="8" spans="1:8" x14ac:dyDescent="0.35">
      <c r="A8" t="s">
        <v>118</v>
      </c>
      <c r="B8">
        <v>46</v>
      </c>
    </row>
    <row r="9" spans="1:8" x14ac:dyDescent="0.35">
      <c r="A9" t="s">
        <v>118</v>
      </c>
      <c r="B9">
        <v>119</v>
      </c>
    </row>
    <row r="10" spans="1:8" x14ac:dyDescent="0.35">
      <c r="A10" t="s">
        <v>165</v>
      </c>
      <c r="B10">
        <v>10</v>
      </c>
    </row>
    <row r="13" spans="1:8" x14ac:dyDescent="0.35">
      <c r="G13" t="s">
        <v>178</v>
      </c>
    </row>
    <row r="14" spans="1:8" x14ac:dyDescent="0.35">
      <c r="B14">
        <v>14</v>
      </c>
      <c r="C14">
        <v>1</v>
      </c>
      <c r="G14">
        <v>14</v>
      </c>
      <c r="H14">
        <v>1</v>
      </c>
    </row>
    <row r="15" spans="1:8" x14ac:dyDescent="0.35">
      <c r="G15">
        <f>G14/7</f>
        <v>2</v>
      </c>
      <c r="H15" t="s">
        <v>179</v>
      </c>
    </row>
    <row r="16" spans="1:8" x14ac:dyDescent="0.35">
      <c r="B16">
        <v>2000</v>
      </c>
      <c r="C16">
        <v>0.05</v>
      </c>
      <c r="D16" t="s">
        <v>173</v>
      </c>
    </row>
    <row r="17" spans="2:12" x14ac:dyDescent="0.35">
      <c r="B17">
        <v>2000</v>
      </c>
      <c r="C17">
        <v>0.08</v>
      </c>
      <c r="D17" t="s">
        <v>187</v>
      </c>
    </row>
    <row r="19" spans="2:12" x14ac:dyDescent="0.35">
      <c r="F19" t="s">
        <v>176</v>
      </c>
      <c r="G19" t="s">
        <v>179</v>
      </c>
      <c r="H19" t="s">
        <v>182</v>
      </c>
    </row>
    <row r="20" spans="2:12" x14ac:dyDescent="0.35">
      <c r="F20" t="s">
        <v>177</v>
      </c>
      <c r="G20" t="s">
        <v>180</v>
      </c>
      <c r="H20" t="s">
        <v>182</v>
      </c>
    </row>
    <row r="21" spans="2:12" x14ac:dyDescent="0.35">
      <c r="C21" t="s">
        <v>175</v>
      </c>
      <c r="D21" t="s">
        <v>174</v>
      </c>
      <c r="F21" t="s">
        <v>175</v>
      </c>
      <c r="G21" t="s">
        <v>181</v>
      </c>
      <c r="H21" t="s">
        <v>183</v>
      </c>
    </row>
    <row r="22" spans="2:12" x14ac:dyDescent="0.35">
      <c r="C22" t="s">
        <v>176</v>
      </c>
      <c r="F22" t="s">
        <v>184</v>
      </c>
      <c r="G22">
        <v>0.316</v>
      </c>
    </row>
    <row r="23" spans="2:12" x14ac:dyDescent="0.35">
      <c r="C23" t="s">
        <v>177</v>
      </c>
    </row>
    <row r="24" spans="2:12" x14ac:dyDescent="0.35">
      <c r="F24" t="s">
        <v>185</v>
      </c>
      <c r="G24">
        <v>100</v>
      </c>
      <c r="H24">
        <v>160</v>
      </c>
    </row>
    <row r="25" spans="2:12" x14ac:dyDescent="0.35">
      <c r="F25" t="s">
        <v>186</v>
      </c>
      <c r="G25">
        <v>317</v>
      </c>
      <c r="H25">
        <v>507</v>
      </c>
    </row>
    <row r="28" spans="2:12" x14ac:dyDescent="0.35">
      <c r="F28" t="s">
        <v>188</v>
      </c>
      <c r="G28">
        <v>317</v>
      </c>
      <c r="H28">
        <v>507</v>
      </c>
      <c r="J28">
        <v>7000</v>
      </c>
      <c r="K28">
        <v>11000</v>
      </c>
    </row>
    <row r="29" spans="2:12" x14ac:dyDescent="0.35">
      <c r="F29" t="s">
        <v>176</v>
      </c>
      <c r="G29" t="s">
        <v>189</v>
      </c>
      <c r="H29" t="s">
        <v>190</v>
      </c>
      <c r="J29">
        <v>3500</v>
      </c>
      <c r="K29">
        <v>5500</v>
      </c>
    </row>
    <row r="30" spans="2:12" x14ac:dyDescent="0.35">
      <c r="F30" t="s">
        <v>177</v>
      </c>
      <c r="G30" t="s">
        <v>189</v>
      </c>
      <c r="H30" t="s">
        <v>191</v>
      </c>
      <c r="J30">
        <v>2000</v>
      </c>
      <c r="K30">
        <v>3200</v>
      </c>
      <c r="L30" t="s">
        <v>196</v>
      </c>
    </row>
    <row r="32" spans="2:12" ht="15" thickBot="1" x14ac:dyDescent="0.4">
      <c r="H32" t="s">
        <v>192</v>
      </c>
      <c r="J32" t="s">
        <v>193</v>
      </c>
    </row>
    <row r="33" spans="1:10" ht="15" thickBot="1" x14ac:dyDescent="0.4">
      <c r="A33" s="311" t="s">
        <v>197</v>
      </c>
      <c r="B33" s="298"/>
      <c r="C33" s="299"/>
      <c r="H33" t="s">
        <v>194</v>
      </c>
      <c r="I33" t="s">
        <v>175</v>
      </c>
      <c r="J33" t="s">
        <v>195</v>
      </c>
    </row>
    <row r="34" spans="1:10" x14ac:dyDescent="0.35">
      <c r="A34" s="183" t="s">
        <v>198</v>
      </c>
      <c r="B34" s="167" t="s">
        <v>173</v>
      </c>
      <c r="C34" s="300"/>
    </row>
    <row r="35" spans="1:10" x14ac:dyDescent="0.35">
      <c r="A35" s="183" t="s">
        <v>199</v>
      </c>
      <c r="B35" s="167">
        <v>320</v>
      </c>
      <c r="C35" s="300"/>
    </row>
    <row r="36" spans="1:10" x14ac:dyDescent="0.35">
      <c r="A36" s="183" t="s">
        <v>200</v>
      </c>
      <c r="B36" s="167" t="s">
        <v>201</v>
      </c>
      <c r="C36" s="301">
        <v>7400</v>
      </c>
    </row>
    <row r="37" spans="1:10" x14ac:dyDescent="0.35">
      <c r="A37" s="183" t="s">
        <v>202</v>
      </c>
      <c r="B37" s="167" t="s">
        <v>204</v>
      </c>
      <c r="C37" s="301">
        <v>2100</v>
      </c>
    </row>
    <row r="38" spans="1:10" ht="15" thickBot="1" x14ac:dyDescent="0.4">
      <c r="A38" s="183" t="s">
        <v>203</v>
      </c>
      <c r="B38" s="167" t="s">
        <v>204</v>
      </c>
      <c r="C38" s="301">
        <v>3700</v>
      </c>
    </row>
    <row r="39" spans="1:10" ht="15" thickBot="1" x14ac:dyDescent="0.4">
      <c r="A39" s="302"/>
      <c r="B39" s="303"/>
      <c r="C39" s="304">
        <f>SUM(C36:C38)</f>
        <v>13200</v>
      </c>
      <c r="E39" s="310" t="s">
        <v>213</v>
      </c>
    </row>
    <row r="40" spans="1:10" x14ac:dyDescent="0.35">
      <c r="E40" s="307" t="s">
        <v>205</v>
      </c>
    </row>
    <row r="41" spans="1:10" ht="15" thickBot="1" x14ac:dyDescent="0.4">
      <c r="E41" s="308" t="s">
        <v>206</v>
      </c>
    </row>
    <row r="42" spans="1:10" ht="15" thickBot="1" x14ac:dyDescent="0.4">
      <c r="A42" s="311" t="s">
        <v>208</v>
      </c>
      <c r="B42" s="298"/>
      <c r="C42" s="299"/>
      <c r="E42" s="309" t="s">
        <v>207</v>
      </c>
    </row>
    <row r="43" spans="1:10" x14ac:dyDescent="0.35">
      <c r="A43" s="183" t="s">
        <v>198</v>
      </c>
      <c r="B43" s="167" t="s">
        <v>209</v>
      </c>
      <c r="C43" s="300"/>
    </row>
    <row r="44" spans="1:10" x14ac:dyDescent="0.35">
      <c r="A44" s="183" t="s">
        <v>199</v>
      </c>
      <c r="B44" s="167">
        <v>510</v>
      </c>
      <c r="C44" s="300"/>
    </row>
    <row r="45" spans="1:10" x14ac:dyDescent="0.35">
      <c r="A45" s="183" t="s">
        <v>200</v>
      </c>
      <c r="B45" s="167" t="s">
        <v>210</v>
      </c>
      <c r="C45" s="301">
        <v>11800</v>
      </c>
    </row>
    <row r="46" spans="1:10" x14ac:dyDescent="0.35">
      <c r="A46" s="183" t="s">
        <v>202</v>
      </c>
      <c r="B46" s="167" t="s">
        <v>211</v>
      </c>
      <c r="C46" s="301">
        <v>3200</v>
      </c>
    </row>
    <row r="47" spans="1:10" x14ac:dyDescent="0.35">
      <c r="A47" s="183" t="s">
        <v>203</v>
      </c>
      <c r="B47" s="167" t="s">
        <v>211</v>
      </c>
      <c r="C47" s="301">
        <v>5600</v>
      </c>
    </row>
    <row r="48" spans="1:10" ht="15" thickBot="1" x14ac:dyDescent="0.4">
      <c r="A48" s="302"/>
      <c r="B48" s="303"/>
      <c r="C48" s="304">
        <f>SUM(C45:C47)</f>
        <v>20600</v>
      </c>
    </row>
    <row r="49" spans="1:3" x14ac:dyDescent="0.35">
      <c r="A49" s="167"/>
      <c r="B49" s="167"/>
    </row>
    <row r="50" spans="1:3" x14ac:dyDescent="0.35">
      <c r="A50" s="167"/>
      <c r="B50" s="167"/>
    </row>
    <row r="51" spans="1:3" ht="15" thickBot="1" x14ac:dyDescent="0.4"/>
    <row r="52" spans="1:3" ht="15" thickBot="1" x14ac:dyDescent="0.4">
      <c r="A52" s="311" t="s">
        <v>212</v>
      </c>
      <c r="B52" s="298"/>
      <c r="C52" s="299"/>
    </row>
    <row r="53" spans="1:3" x14ac:dyDescent="0.35">
      <c r="A53" s="183" t="s">
        <v>198</v>
      </c>
      <c r="B53" s="167" t="s">
        <v>173</v>
      </c>
      <c r="C53" s="305">
        <v>50000</v>
      </c>
    </row>
    <row r="54" spans="1:3" ht="15" thickBot="1" x14ac:dyDescent="0.4">
      <c r="A54" s="302" t="s">
        <v>198</v>
      </c>
      <c r="B54" s="303" t="s">
        <v>209</v>
      </c>
      <c r="C54" s="306">
        <v>32000</v>
      </c>
    </row>
    <row r="55" spans="1:3" ht="15" thickBot="1" x14ac:dyDescent="0.4"/>
    <row r="56" spans="1:3" ht="15" thickBot="1" x14ac:dyDescent="0.4">
      <c r="A56" s="311" t="s">
        <v>214</v>
      </c>
      <c r="B56" s="298"/>
      <c r="C56" s="299"/>
    </row>
    <row r="57" spans="1:3" ht="15" thickBot="1" x14ac:dyDescent="0.4">
      <c r="A57" s="302" t="s">
        <v>215</v>
      </c>
      <c r="B57" s="303" t="s">
        <v>216</v>
      </c>
      <c r="C57" s="306">
        <v>130000</v>
      </c>
    </row>
    <row r="70" spans="1:3" x14ac:dyDescent="0.35">
      <c r="A70" s="156"/>
      <c r="B70" s="151"/>
      <c r="C70" s="152"/>
    </row>
    <row r="71" spans="1:3" x14ac:dyDescent="0.35">
      <c r="A71" s="156"/>
      <c r="B71" s="151"/>
      <c r="C71" s="152"/>
    </row>
    <row r="72" spans="1:3" x14ac:dyDescent="0.35">
      <c r="A72" s="156"/>
      <c r="B72" s="151"/>
      <c r="C72" s="152"/>
    </row>
    <row r="73" spans="1:3" x14ac:dyDescent="0.35">
      <c r="A73" s="156"/>
      <c r="B73" s="151"/>
      <c r="C73" s="152"/>
    </row>
    <row r="74" spans="1:3" x14ac:dyDescent="0.35">
      <c r="A74" s="156"/>
      <c r="B74" s="151"/>
      <c r="C74" s="152"/>
    </row>
    <row r="75" spans="1:3" x14ac:dyDescent="0.35">
      <c r="A75" s="153"/>
      <c r="B75" s="151"/>
      <c r="C75" s="152"/>
    </row>
    <row r="76" spans="1:3" x14ac:dyDescent="0.35">
      <c r="A76" s="153"/>
      <c r="B76" s="151"/>
      <c r="C76" s="152"/>
    </row>
    <row r="77" spans="1:3" x14ac:dyDescent="0.35">
      <c r="A77" s="156"/>
      <c r="B77" s="151"/>
      <c r="C77" s="152"/>
    </row>
    <row r="78" spans="1:3" x14ac:dyDescent="0.35">
      <c r="A78" s="153"/>
      <c r="B78" s="151"/>
      <c r="C78" s="152"/>
    </row>
    <row r="79" spans="1:3" x14ac:dyDescent="0.35">
      <c r="A79" s="153"/>
      <c r="B79" s="151"/>
      <c r="C79" s="152"/>
    </row>
    <row r="80" spans="1:3" x14ac:dyDescent="0.35">
      <c r="A80" s="153"/>
      <c r="B80" s="151"/>
      <c r="C80" s="152"/>
    </row>
    <row r="81" spans="1:6" x14ac:dyDescent="0.35">
      <c r="A81" s="153"/>
      <c r="B81" s="151"/>
      <c r="C81" s="152"/>
    </row>
    <row r="82" spans="1:6" x14ac:dyDescent="0.35">
      <c r="A82" s="153"/>
      <c r="B82" s="151"/>
      <c r="C82" s="152"/>
    </row>
    <row r="83" spans="1:6" x14ac:dyDescent="0.35">
      <c r="A83" s="153"/>
      <c r="B83" s="151"/>
      <c r="C83" s="152"/>
    </row>
    <row r="86" spans="1:6" x14ac:dyDescent="0.35">
      <c r="A86" s="156"/>
      <c r="B86" s="151"/>
      <c r="C86" s="152"/>
    </row>
    <row r="87" spans="1:6" x14ac:dyDescent="0.35">
      <c r="A87" s="156"/>
      <c r="B87" s="151"/>
      <c r="C87" s="152"/>
    </row>
    <row r="90" spans="1:6" x14ac:dyDescent="0.35">
      <c r="A90" s="314" t="s">
        <v>232</v>
      </c>
      <c r="B90" s="313" t="s">
        <v>233</v>
      </c>
      <c r="C90" s="313"/>
      <c r="D90" s="313"/>
      <c r="E90" s="313" t="s">
        <v>234</v>
      </c>
      <c r="F90" s="313"/>
    </row>
    <row r="91" spans="1:6" x14ac:dyDescent="0.35">
      <c r="A91" s="314" t="s">
        <v>217</v>
      </c>
      <c r="B91" s="313" t="s">
        <v>218</v>
      </c>
      <c r="C91" s="313" t="s">
        <v>219</v>
      </c>
      <c r="D91" s="313" t="s">
        <v>220</v>
      </c>
      <c r="E91" s="313" t="s">
        <v>221</v>
      </c>
      <c r="F91" s="313" t="s">
        <v>222</v>
      </c>
    </row>
    <row r="92" spans="1:6" x14ac:dyDescent="0.35">
      <c r="A92" s="731" t="s">
        <v>223</v>
      </c>
      <c r="B92" s="313" t="s">
        <v>224</v>
      </c>
      <c r="C92" s="313"/>
      <c r="D92" s="313"/>
      <c r="E92" s="313" t="s">
        <v>226</v>
      </c>
      <c r="F92" s="313" t="s">
        <v>225</v>
      </c>
    </row>
    <row r="93" spans="1:6" x14ac:dyDescent="0.35">
      <c r="A93" s="731"/>
      <c r="B93" s="313"/>
      <c r="C93" s="313"/>
      <c r="D93" s="313"/>
      <c r="E93" s="313" t="s">
        <v>227</v>
      </c>
      <c r="F93" s="313"/>
    </row>
    <row r="94" spans="1:6" x14ac:dyDescent="0.35">
      <c r="A94" s="731"/>
      <c r="B94" s="313"/>
      <c r="C94" s="313"/>
      <c r="D94" s="313"/>
      <c r="E94" s="313" t="s">
        <v>228</v>
      </c>
      <c r="F94" s="313"/>
    </row>
    <row r="95" spans="1:6" x14ac:dyDescent="0.35">
      <c r="A95" s="731"/>
      <c r="B95" s="313"/>
      <c r="C95" s="313"/>
      <c r="D95" s="313"/>
      <c r="E95" s="313" t="s">
        <v>229</v>
      </c>
      <c r="F95" s="313"/>
    </row>
    <row r="96" spans="1:6" x14ac:dyDescent="0.35">
      <c r="A96" s="731"/>
      <c r="B96" s="313"/>
      <c r="C96" s="313"/>
      <c r="D96" s="313"/>
      <c r="E96" s="313" t="s">
        <v>230</v>
      </c>
      <c r="F96" s="313"/>
    </row>
    <row r="97" spans="1:6" x14ac:dyDescent="0.35">
      <c r="A97" s="731"/>
      <c r="B97" s="313"/>
      <c r="C97" s="313"/>
      <c r="D97" s="313"/>
      <c r="E97" s="313" t="s">
        <v>231</v>
      </c>
      <c r="F97" s="313"/>
    </row>
    <row r="98" spans="1:6" x14ac:dyDescent="0.35">
      <c r="A98" s="732" t="s">
        <v>235</v>
      </c>
      <c r="B98" s="313" t="s">
        <v>236</v>
      </c>
      <c r="C98" s="313"/>
      <c r="D98" s="313"/>
      <c r="E98" s="313" t="s">
        <v>242</v>
      </c>
      <c r="F98" s="313" t="s">
        <v>241</v>
      </c>
    </row>
    <row r="99" spans="1:6" x14ac:dyDescent="0.35">
      <c r="A99" s="732"/>
      <c r="B99" s="313" t="s">
        <v>237</v>
      </c>
      <c r="C99" s="313"/>
      <c r="D99" s="313"/>
      <c r="E99" s="313" t="s">
        <v>243</v>
      </c>
      <c r="F99" s="313"/>
    </row>
    <row r="100" spans="1:6" x14ac:dyDescent="0.35">
      <c r="A100" s="732"/>
      <c r="B100" s="313" t="s">
        <v>238</v>
      </c>
      <c r="C100" s="313"/>
      <c r="D100" s="313"/>
      <c r="E100" s="313" t="s">
        <v>244</v>
      </c>
      <c r="F100" s="313"/>
    </row>
    <row r="101" spans="1:6" x14ac:dyDescent="0.35">
      <c r="A101" s="732"/>
      <c r="B101" s="313" t="s">
        <v>239</v>
      </c>
      <c r="C101" s="313"/>
      <c r="D101" s="313"/>
      <c r="E101" s="313" t="s">
        <v>245</v>
      </c>
      <c r="F101" s="313"/>
    </row>
    <row r="102" spans="1:6" x14ac:dyDescent="0.35">
      <c r="A102" s="732"/>
      <c r="B102" s="313" t="s">
        <v>240</v>
      </c>
      <c r="C102" s="313"/>
      <c r="D102" s="313"/>
      <c r="E102" s="313" t="s">
        <v>246</v>
      </c>
      <c r="F102" s="313"/>
    </row>
    <row r="103" spans="1:6" x14ac:dyDescent="0.35">
      <c r="A103" s="732"/>
      <c r="B103" s="313"/>
      <c r="C103" s="313"/>
      <c r="D103" s="313"/>
      <c r="E103" s="313" t="s">
        <v>247</v>
      </c>
      <c r="F103" s="313"/>
    </row>
    <row r="104" spans="1:6" x14ac:dyDescent="0.35">
      <c r="A104" s="732"/>
      <c r="B104" s="313"/>
      <c r="C104" s="313"/>
      <c r="D104" s="313"/>
      <c r="E104" s="313" t="s">
        <v>248</v>
      </c>
      <c r="F104" s="313"/>
    </row>
    <row r="105" spans="1:6" x14ac:dyDescent="0.35">
      <c r="A105" s="732" t="s">
        <v>251</v>
      </c>
      <c r="B105" s="313"/>
      <c r="C105" s="313"/>
      <c r="D105" s="313"/>
      <c r="E105" s="313" t="s">
        <v>249</v>
      </c>
      <c r="F105" s="313"/>
    </row>
    <row r="106" spans="1:6" x14ac:dyDescent="0.35">
      <c r="A106" s="732"/>
      <c r="B106" s="313"/>
      <c r="C106" s="313"/>
      <c r="D106" s="313"/>
      <c r="E106" s="313" t="s">
        <v>250</v>
      </c>
      <c r="F106" s="313"/>
    </row>
    <row r="107" spans="1:6" x14ac:dyDescent="0.35">
      <c r="A107" s="315" t="s">
        <v>252</v>
      </c>
      <c r="B107" s="141" t="s">
        <v>253</v>
      </c>
      <c r="C107" s="141"/>
      <c r="D107" s="141"/>
      <c r="E107" s="141"/>
      <c r="F107" s="141"/>
    </row>
  </sheetData>
  <mergeCells count="3">
    <mergeCell ref="A92:A97"/>
    <mergeCell ref="A98:A104"/>
    <mergeCell ref="A105:A10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24"/>
  <sheetViews>
    <sheetView topLeftCell="Y1" workbookViewId="0">
      <selection activeCell="L13" sqref="L13:L16"/>
    </sheetView>
  </sheetViews>
  <sheetFormatPr defaultRowHeight="14.5" x14ac:dyDescent="0.35"/>
  <cols>
    <col min="1" max="1" width="10.7265625" bestFit="1" customWidth="1"/>
    <col min="2" max="2" width="24.1796875" customWidth="1"/>
    <col min="3" max="3" width="12.7265625" bestFit="1" customWidth="1"/>
    <col min="5" max="5" width="10.7265625" bestFit="1" customWidth="1"/>
    <col min="6" max="6" width="24.26953125" bestFit="1" customWidth="1"/>
    <col min="7" max="7" width="12.7265625" bestFit="1" customWidth="1"/>
    <col min="9" max="9" width="10.7265625" bestFit="1" customWidth="1"/>
    <col min="10" max="10" width="24.81640625" bestFit="1" customWidth="1"/>
    <col min="11" max="11" width="13.81640625" bestFit="1" customWidth="1"/>
    <col min="13" max="13" width="10.7265625" bestFit="1" customWidth="1"/>
    <col min="14" max="14" width="25.7265625" bestFit="1" customWidth="1"/>
    <col min="15" max="15" width="13.81640625" bestFit="1" customWidth="1"/>
    <col min="17" max="17" width="10.7265625" bestFit="1" customWidth="1"/>
    <col min="18" max="18" width="25.7265625" bestFit="1" customWidth="1"/>
    <col min="19" max="19" width="13.81640625" bestFit="1" customWidth="1"/>
    <col min="21" max="21" width="10.7265625" bestFit="1" customWidth="1"/>
    <col min="22" max="22" width="25.7265625" bestFit="1" customWidth="1"/>
    <col min="23" max="23" width="13.81640625" bestFit="1" customWidth="1"/>
    <col min="25" max="25" width="10.7265625" bestFit="1" customWidth="1"/>
    <col min="26" max="26" width="23.81640625" bestFit="1" customWidth="1"/>
    <col min="27" max="27" width="12.7265625" bestFit="1" customWidth="1"/>
    <col min="29" max="29" width="10.7265625" bestFit="1" customWidth="1"/>
    <col min="30" max="30" width="27.54296875" bestFit="1" customWidth="1"/>
    <col min="31" max="31" width="13.81640625" bestFit="1" customWidth="1"/>
    <col min="33" max="33" width="10.7265625" bestFit="1" customWidth="1"/>
    <col min="34" max="34" width="23.81640625" bestFit="1" customWidth="1"/>
    <col min="35" max="35" width="13.81640625" bestFit="1" customWidth="1"/>
  </cols>
  <sheetData>
    <row r="1" spans="1:35" ht="15" thickBot="1" x14ac:dyDescent="0.4">
      <c r="A1" s="733" t="s">
        <v>351</v>
      </c>
      <c r="B1" s="734"/>
      <c r="C1" s="735"/>
      <c r="E1" s="733" t="s">
        <v>369</v>
      </c>
      <c r="F1" s="734"/>
      <c r="G1" s="735"/>
      <c r="I1" s="733" t="s">
        <v>425</v>
      </c>
      <c r="J1" s="734"/>
      <c r="K1" s="735"/>
      <c r="M1" s="733" t="s">
        <v>440</v>
      </c>
      <c r="N1" s="734"/>
      <c r="O1" s="735"/>
      <c r="Q1" s="733" t="s">
        <v>444</v>
      </c>
      <c r="R1" s="734"/>
      <c r="S1" s="735"/>
      <c r="U1" s="733" t="s">
        <v>446</v>
      </c>
      <c r="V1" s="734"/>
      <c r="W1" s="735"/>
      <c r="Y1" s="733" t="s">
        <v>448</v>
      </c>
      <c r="Z1" s="734"/>
      <c r="AA1" s="735"/>
      <c r="AC1" s="733" t="s">
        <v>462</v>
      </c>
      <c r="AD1" s="734"/>
      <c r="AE1" s="735"/>
      <c r="AG1" s="733" t="s">
        <v>466</v>
      </c>
      <c r="AH1" s="734"/>
      <c r="AI1" s="735"/>
    </row>
    <row r="2" spans="1:35" x14ac:dyDescent="0.35">
      <c r="A2" s="444">
        <v>45027</v>
      </c>
      <c r="B2" s="298" t="s">
        <v>352</v>
      </c>
      <c r="C2" s="445">
        <v>24051.759999999998</v>
      </c>
      <c r="E2" s="444">
        <v>45050</v>
      </c>
      <c r="F2" s="298" t="s">
        <v>368</v>
      </c>
      <c r="G2" s="445">
        <v>1360.94</v>
      </c>
      <c r="I2" s="444">
        <v>45078</v>
      </c>
      <c r="J2" s="298" t="s">
        <v>418</v>
      </c>
      <c r="K2" s="445">
        <v>1687.52</v>
      </c>
      <c r="M2" s="446">
        <v>45111</v>
      </c>
      <c r="N2" s="167" t="s">
        <v>352</v>
      </c>
      <c r="O2" s="301">
        <v>36765.03</v>
      </c>
      <c r="Q2" s="446">
        <v>45139</v>
      </c>
      <c r="R2" s="167" t="s">
        <v>352</v>
      </c>
      <c r="S2" s="301">
        <v>41710.5</v>
      </c>
      <c r="U2" s="446">
        <v>45187</v>
      </c>
      <c r="V2" s="167" t="s">
        <v>352</v>
      </c>
      <c r="W2" s="301">
        <v>40644.410000000003</v>
      </c>
      <c r="Y2" s="446">
        <v>45208</v>
      </c>
      <c r="Z2" s="167" t="s">
        <v>450</v>
      </c>
      <c r="AA2" s="301">
        <v>1750</v>
      </c>
      <c r="AC2" s="446">
        <v>45237</v>
      </c>
      <c r="AD2" s="167" t="s">
        <v>352</v>
      </c>
      <c r="AE2" s="301">
        <v>40828.9</v>
      </c>
      <c r="AG2" s="446">
        <v>45264</v>
      </c>
      <c r="AH2" s="167" t="s">
        <v>352</v>
      </c>
      <c r="AI2" s="301">
        <v>38320.720000000001</v>
      </c>
    </row>
    <row r="3" spans="1:35" x14ac:dyDescent="0.35">
      <c r="A3" s="446">
        <v>45029</v>
      </c>
      <c r="B3" s="167" t="s">
        <v>359</v>
      </c>
      <c r="C3" s="301">
        <v>1041.25</v>
      </c>
      <c r="E3" s="183"/>
      <c r="F3" s="167"/>
      <c r="G3" s="300"/>
      <c r="I3" s="183"/>
      <c r="J3" s="167"/>
      <c r="K3" s="300"/>
      <c r="M3" s="446">
        <v>45112</v>
      </c>
      <c r="N3" s="167" t="s">
        <v>422</v>
      </c>
      <c r="O3" s="301">
        <v>1674.58</v>
      </c>
      <c r="Q3" s="446">
        <v>45141</v>
      </c>
      <c r="R3" s="167" t="s">
        <v>422</v>
      </c>
      <c r="S3" s="301">
        <v>1980.61</v>
      </c>
      <c r="U3" s="446">
        <v>45188</v>
      </c>
      <c r="V3" s="167" t="s">
        <v>422</v>
      </c>
      <c r="W3" s="301">
        <v>1972.59</v>
      </c>
      <c r="Y3" s="446"/>
      <c r="Z3" s="167" t="s">
        <v>451</v>
      </c>
      <c r="AA3" s="301">
        <v>172.04</v>
      </c>
      <c r="AC3" s="446">
        <v>45238</v>
      </c>
      <c r="AD3" s="167" t="s">
        <v>422</v>
      </c>
      <c r="AE3" s="301">
        <v>1973.98</v>
      </c>
      <c r="AG3" s="446">
        <v>45265</v>
      </c>
      <c r="AH3" s="167" t="s">
        <v>422</v>
      </c>
      <c r="AI3" s="301">
        <v>1955.1</v>
      </c>
    </row>
    <row r="4" spans="1:35" x14ac:dyDescent="0.35">
      <c r="A4" s="183"/>
      <c r="B4" s="167"/>
      <c r="C4" s="300"/>
      <c r="E4" s="446">
        <v>45057</v>
      </c>
      <c r="F4" s="167" t="s">
        <v>352</v>
      </c>
      <c r="G4" s="301">
        <v>30438.57</v>
      </c>
      <c r="I4" s="446">
        <v>45078</v>
      </c>
      <c r="J4" s="167" t="s">
        <v>419</v>
      </c>
      <c r="K4" s="301">
        <v>2100</v>
      </c>
      <c r="M4" s="446"/>
      <c r="N4" s="167"/>
      <c r="O4" s="301"/>
      <c r="Q4" s="446"/>
      <c r="R4" s="167"/>
      <c r="S4" s="301"/>
      <c r="U4" s="446"/>
      <c r="V4" s="167"/>
      <c r="W4" s="301"/>
      <c r="Y4" s="446"/>
      <c r="Z4" s="167"/>
      <c r="AA4" s="301"/>
      <c r="AC4" s="446"/>
      <c r="AD4" s="167"/>
      <c r="AE4" s="301"/>
      <c r="AG4" s="446"/>
      <c r="AH4" s="167"/>
      <c r="AI4" s="301"/>
    </row>
    <row r="5" spans="1:35" x14ac:dyDescent="0.35">
      <c r="A5" s="446">
        <v>45034</v>
      </c>
      <c r="B5" s="167" t="s">
        <v>363</v>
      </c>
      <c r="C5" s="301">
        <v>14600</v>
      </c>
      <c r="E5" s="446">
        <v>45061</v>
      </c>
      <c r="F5" s="167" t="s">
        <v>359</v>
      </c>
      <c r="G5" s="301">
        <v>1358.14</v>
      </c>
      <c r="I5" s="446">
        <v>45079</v>
      </c>
      <c r="J5" s="167" t="s">
        <v>423</v>
      </c>
      <c r="K5" s="301">
        <v>258.06</v>
      </c>
      <c r="M5" s="446">
        <v>45127</v>
      </c>
      <c r="N5" s="167" t="s">
        <v>363</v>
      </c>
      <c r="O5" s="301">
        <v>16790</v>
      </c>
      <c r="Q5" s="446">
        <v>45152</v>
      </c>
      <c r="R5" s="167" t="s">
        <v>361</v>
      </c>
      <c r="S5" s="301">
        <v>43032.68</v>
      </c>
      <c r="U5" s="446"/>
      <c r="V5" s="167"/>
      <c r="W5" s="301"/>
      <c r="Y5" s="446">
        <v>45209</v>
      </c>
      <c r="Z5" s="167" t="s">
        <v>352</v>
      </c>
      <c r="AA5" s="301">
        <v>43129.54</v>
      </c>
      <c r="AC5" s="446">
        <v>45243</v>
      </c>
      <c r="AD5" s="167" t="s">
        <v>460</v>
      </c>
      <c r="AE5" s="301">
        <v>603</v>
      </c>
      <c r="AG5" s="446">
        <v>45264</v>
      </c>
      <c r="AH5" s="547" t="s">
        <v>454</v>
      </c>
      <c r="AI5" s="301">
        <v>19162.5</v>
      </c>
    </row>
    <row r="6" spans="1:35" x14ac:dyDescent="0.35">
      <c r="A6" s="183"/>
      <c r="B6" s="167" t="s">
        <v>364</v>
      </c>
      <c r="C6" s="301">
        <v>2526.1</v>
      </c>
      <c r="E6" s="183"/>
      <c r="F6" s="167"/>
      <c r="G6" s="300"/>
      <c r="I6" s="183"/>
      <c r="J6" s="167"/>
      <c r="K6" s="300"/>
      <c r="M6" s="446">
        <v>45128</v>
      </c>
      <c r="N6" s="167" t="s">
        <v>421</v>
      </c>
      <c r="O6" s="301">
        <v>2894.4</v>
      </c>
      <c r="Q6" s="446">
        <v>45154</v>
      </c>
      <c r="R6" s="167" t="s">
        <v>427</v>
      </c>
      <c r="S6" s="301">
        <v>1990.57</v>
      </c>
      <c r="U6" s="446"/>
      <c r="V6" s="167"/>
      <c r="W6" s="301"/>
      <c r="Y6" s="446">
        <v>45212</v>
      </c>
      <c r="Z6" s="167" t="s">
        <v>422</v>
      </c>
      <c r="AA6" s="301">
        <v>1991.3</v>
      </c>
      <c r="AC6" s="446">
        <v>45247</v>
      </c>
      <c r="AD6" s="167" t="s">
        <v>422</v>
      </c>
      <c r="AE6" s="301">
        <v>172.04</v>
      </c>
      <c r="AG6" s="446"/>
      <c r="AH6" s="547" t="s">
        <v>455</v>
      </c>
      <c r="AI6" s="301">
        <v>3363.15</v>
      </c>
    </row>
    <row r="7" spans="1:35" x14ac:dyDescent="0.35">
      <c r="A7" s="183"/>
      <c r="B7" s="167"/>
      <c r="C7" s="300"/>
      <c r="E7" s="446">
        <v>45075</v>
      </c>
      <c r="F7" s="167" t="s">
        <v>361</v>
      </c>
      <c r="G7" s="301">
        <v>38483.64</v>
      </c>
      <c r="I7" s="446">
        <v>45078</v>
      </c>
      <c r="J7" s="547" t="s">
        <v>362</v>
      </c>
      <c r="K7" s="301">
        <v>20175</v>
      </c>
      <c r="M7" s="446"/>
      <c r="O7" s="301"/>
      <c r="Q7" s="446"/>
      <c r="S7" s="301"/>
      <c r="U7" s="446"/>
      <c r="W7" s="301"/>
      <c r="Y7" s="446"/>
      <c r="AA7" s="301"/>
      <c r="AC7" s="446"/>
      <c r="AE7" s="301"/>
      <c r="AG7" s="446"/>
      <c r="AI7" s="301"/>
    </row>
    <row r="8" spans="1:35" x14ac:dyDescent="0.35">
      <c r="A8" s="446">
        <v>45034</v>
      </c>
      <c r="B8" s="167" t="s">
        <v>362</v>
      </c>
      <c r="C8" s="301">
        <v>17485</v>
      </c>
      <c r="E8" s="183"/>
      <c r="F8" s="167" t="s">
        <v>417</v>
      </c>
      <c r="G8" s="301"/>
      <c r="I8" s="446">
        <v>45082</v>
      </c>
      <c r="J8" s="167" t="s">
        <v>420</v>
      </c>
      <c r="K8" s="301">
        <v>2365.61</v>
      </c>
      <c r="L8" s="308"/>
      <c r="M8" s="576">
        <v>45124</v>
      </c>
      <c r="N8" s="547" t="s">
        <v>362</v>
      </c>
      <c r="O8" s="301">
        <v>20175</v>
      </c>
      <c r="P8" s="308"/>
      <c r="Q8" s="446">
        <v>45160</v>
      </c>
      <c r="R8" s="547" t="s">
        <v>362</v>
      </c>
      <c r="S8" s="301">
        <v>17485</v>
      </c>
      <c r="U8" s="446"/>
      <c r="V8" s="547"/>
      <c r="W8" s="301"/>
      <c r="Y8" s="446">
        <v>45210</v>
      </c>
      <c r="Z8" s="547" t="s">
        <v>454</v>
      </c>
      <c r="AA8" s="301">
        <v>14600</v>
      </c>
      <c r="AC8" s="446">
        <v>45247</v>
      </c>
      <c r="AD8" s="167" t="s">
        <v>361</v>
      </c>
      <c r="AE8" s="301">
        <v>40549.25</v>
      </c>
      <c r="AG8" s="446">
        <v>45287</v>
      </c>
      <c r="AH8" s="167" t="s">
        <v>361</v>
      </c>
      <c r="AI8" s="301">
        <v>37679.69</v>
      </c>
    </row>
    <row r="9" spans="1:35" x14ac:dyDescent="0.35">
      <c r="A9" s="183"/>
      <c r="B9" s="167" t="s">
        <v>364</v>
      </c>
      <c r="C9" s="301">
        <v>2083.16</v>
      </c>
      <c r="E9" s="183"/>
      <c r="F9" s="167"/>
      <c r="G9" s="301"/>
      <c r="I9" s="446"/>
      <c r="K9" s="301"/>
      <c r="L9" s="308"/>
      <c r="M9" s="446">
        <v>45128</v>
      </c>
      <c r="N9" s="167" t="s">
        <v>420</v>
      </c>
      <c r="O9" s="301">
        <v>2365.61</v>
      </c>
      <c r="P9" s="308"/>
      <c r="Q9" s="446">
        <v>45162</v>
      </c>
      <c r="R9" s="167" t="s">
        <v>420</v>
      </c>
      <c r="S9" s="301">
        <v>2078.9499999999998</v>
      </c>
      <c r="U9" s="446"/>
      <c r="V9" s="167"/>
      <c r="W9" s="301"/>
      <c r="Y9" s="446">
        <v>45212</v>
      </c>
      <c r="Z9" s="547" t="s">
        <v>455</v>
      </c>
      <c r="AA9" s="301">
        <v>2576.83</v>
      </c>
      <c r="AC9" s="446">
        <v>45251</v>
      </c>
      <c r="AD9" s="167" t="s">
        <v>427</v>
      </c>
      <c r="AE9" s="301">
        <v>1962.27</v>
      </c>
      <c r="AG9" s="446"/>
      <c r="AH9" s="167" t="s">
        <v>427</v>
      </c>
      <c r="AI9" s="301"/>
    </row>
    <row r="10" spans="1:35" x14ac:dyDescent="0.35">
      <c r="A10" s="183"/>
      <c r="B10" s="167"/>
      <c r="C10" s="300"/>
      <c r="E10" s="446"/>
      <c r="F10" s="167"/>
      <c r="G10" s="301"/>
      <c r="I10" s="446">
        <v>45079</v>
      </c>
      <c r="J10" s="167" t="s">
        <v>363</v>
      </c>
      <c r="K10" s="301">
        <v>16060</v>
      </c>
      <c r="L10" s="308"/>
      <c r="M10" s="575"/>
      <c r="O10" s="301"/>
      <c r="P10" s="308"/>
      <c r="T10" s="183"/>
      <c r="U10" s="183"/>
      <c r="X10" s="183"/>
      <c r="Y10" s="183"/>
      <c r="AA10" s="300"/>
      <c r="AC10" s="183"/>
      <c r="AE10" s="300"/>
      <c r="AG10" s="183"/>
      <c r="AI10" s="300"/>
    </row>
    <row r="11" spans="1:35" x14ac:dyDescent="0.35">
      <c r="A11" s="446">
        <v>45044</v>
      </c>
      <c r="B11" s="167" t="s">
        <v>361</v>
      </c>
      <c r="C11" s="301">
        <v>30809.03</v>
      </c>
      <c r="E11" s="446"/>
      <c r="F11" s="547"/>
      <c r="G11" s="301"/>
      <c r="I11" s="446">
        <v>45082</v>
      </c>
      <c r="J11" s="167" t="s">
        <v>421</v>
      </c>
      <c r="K11" s="301">
        <v>2771.63</v>
      </c>
      <c r="M11" s="446">
        <v>45128</v>
      </c>
      <c r="N11" s="167" t="s">
        <v>361</v>
      </c>
      <c r="O11" s="301">
        <v>36774.25</v>
      </c>
      <c r="Q11" s="446">
        <v>45161</v>
      </c>
      <c r="R11" s="167" t="s">
        <v>363</v>
      </c>
      <c r="S11" s="301">
        <v>14600</v>
      </c>
      <c r="U11" s="446"/>
      <c r="V11" s="167"/>
      <c r="W11" s="301"/>
      <c r="Y11" s="446">
        <v>45210</v>
      </c>
      <c r="Z11" s="167" t="s">
        <v>362</v>
      </c>
      <c r="AA11" s="301">
        <v>17485</v>
      </c>
      <c r="AC11" s="446">
        <v>45247</v>
      </c>
      <c r="AD11" s="167" t="s">
        <v>450</v>
      </c>
      <c r="AE11" s="301">
        <v>2450</v>
      </c>
      <c r="AG11" s="446"/>
      <c r="AH11" s="167"/>
      <c r="AI11" s="301"/>
    </row>
    <row r="12" spans="1:35" x14ac:dyDescent="0.35">
      <c r="A12" s="183"/>
      <c r="B12" s="167" t="s">
        <v>365</v>
      </c>
      <c r="C12" s="301"/>
      <c r="E12" s="446"/>
      <c r="F12" s="167"/>
      <c r="G12" s="301"/>
      <c r="I12" s="446"/>
      <c r="J12" s="167"/>
      <c r="K12" s="301"/>
      <c r="M12" s="446">
        <v>45131</v>
      </c>
      <c r="N12" s="167" t="s">
        <v>427</v>
      </c>
      <c r="O12" s="301">
        <v>1674.65</v>
      </c>
      <c r="Q12" s="446">
        <v>45162</v>
      </c>
      <c r="R12" s="167" t="s">
        <v>421</v>
      </c>
      <c r="S12" s="301">
        <v>2576.83</v>
      </c>
      <c r="U12" s="446"/>
      <c r="V12" s="167"/>
      <c r="W12" s="301"/>
      <c r="Y12" s="446">
        <v>45215</v>
      </c>
      <c r="Z12" s="547" t="s">
        <v>455</v>
      </c>
      <c r="AA12" s="301">
        <v>2078.9499999999998</v>
      </c>
      <c r="AC12" s="446">
        <v>45252</v>
      </c>
      <c r="AD12" s="167" t="s">
        <v>451</v>
      </c>
      <c r="AE12" s="301">
        <v>172.04</v>
      </c>
      <c r="AG12" s="446"/>
      <c r="AH12" s="167"/>
      <c r="AI12" s="301"/>
    </row>
    <row r="13" spans="1:35" x14ac:dyDescent="0.35">
      <c r="A13" s="183"/>
      <c r="B13" s="167"/>
      <c r="C13" s="301"/>
      <c r="E13" s="446"/>
      <c r="G13" s="301"/>
      <c r="I13" s="446">
        <v>45086</v>
      </c>
      <c r="J13" s="167" t="s">
        <v>352</v>
      </c>
      <c r="K13" s="301">
        <v>30175.64</v>
      </c>
      <c r="M13" s="446"/>
      <c r="O13" s="301"/>
      <c r="Q13" s="446"/>
      <c r="S13" s="301"/>
      <c r="U13" s="446"/>
      <c r="W13" s="301"/>
      <c r="Y13" s="446"/>
      <c r="AA13" s="301"/>
      <c r="AC13" s="446"/>
      <c r="AE13" s="301"/>
      <c r="AG13" s="446"/>
      <c r="AI13" s="301"/>
    </row>
    <row r="14" spans="1:35" x14ac:dyDescent="0.35">
      <c r="A14" s="183"/>
      <c r="B14" s="167"/>
      <c r="C14" s="301"/>
      <c r="E14" s="446"/>
      <c r="F14" s="167"/>
      <c r="G14" s="301"/>
      <c r="I14" s="446">
        <v>45091</v>
      </c>
      <c r="J14" s="167" t="s">
        <v>422</v>
      </c>
      <c r="K14" s="301">
        <v>1356.16</v>
      </c>
      <c r="M14" s="446">
        <v>45131</v>
      </c>
      <c r="N14" s="167" t="s">
        <v>419</v>
      </c>
      <c r="O14" s="301">
        <v>2100</v>
      </c>
      <c r="Q14" s="446">
        <v>45162</v>
      </c>
      <c r="R14" s="167" t="s">
        <v>419</v>
      </c>
      <c r="S14" s="301">
        <v>1750</v>
      </c>
      <c r="U14" s="446"/>
      <c r="V14" s="167"/>
      <c r="W14" s="301"/>
      <c r="Y14" s="446"/>
      <c r="Z14" s="167"/>
      <c r="AA14" s="301"/>
      <c r="AC14" s="446">
        <v>45252</v>
      </c>
      <c r="AD14" s="167" t="s">
        <v>362</v>
      </c>
      <c r="AE14" s="301">
        <v>25555</v>
      </c>
      <c r="AG14" s="446"/>
      <c r="AH14" s="167"/>
      <c r="AI14" s="301"/>
    </row>
    <row r="15" spans="1:35" x14ac:dyDescent="0.35">
      <c r="A15" s="183"/>
      <c r="B15" s="167"/>
      <c r="C15" s="301"/>
      <c r="E15" s="446"/>
      <c r="F15" s="167"/>
      <c r="G15" s="301"/>
      <c r="I15" s="446"/>
      <c r="J15" s="167"/>
      <c r="K15" s="301"/>
      <c r="M15" s="446">
        <v>45133</v>
      </c>
      <c r="N15" s="167" t="s">
        <v>423</v>
      </c>
      <c r="O15" s="301">
        <v>172.04</v>
      </c>
      <c r="Q15" s="446">
        <v>45166</v>
      </c>
      <c r="R15" s="167" t="s">
        <v>423</v>
      </c>
      <c r="S15" s="301">
        <v>172.04</v>
      </c>
      <c r="U15" s="446"/>
      <c r="V15" s="167"/>
      <c r="W15" s="301"/>
      <c r="Y15" s="446"/>
      <c r="Z15" s="167"/>
      <c r="AA15" s="301"/>
      <c r="AC15" s="446">
        <v>45252</v>
      </c>
      <c r="AD15" s="547" t="s">
        <v>455</v>
      </c>
      <c r="AE15" s="301">
        <v>2909.44</v>
      </c>
      <c r="AG15" s="446"/>
      <c r="AH15" s="547"/>
      <c r="AI15" s="301"/>
    </row>
    <row r="16" spans="1:35" x14ac:dyDescent="0.35">
      <c r="A16" s="183"/>
      <c r="B16" s="167"/>
      <c r="C16" s="301"/>
      <c r="E16" s="446"/>
      <c r="F16" s="167"/>
      <c r="G16" s="301"/>
      <c r="I16" s="446">
        <v>45098</v>
      </c>
      <c r="J16" s="167" t="s">
        <v>361</v>
      </c>
      <c r="K16" s="301">
        <v>29445.200000000001</v>
      </c>
      <c r="M16" s="446"/>
      <c r="O16" s="301"/>
      <c r="Q16" s="446"/>
      <c r="S16" s="301"/>
      <c r="U16" s="446"/>
      <c r="W16" s="301"/>
      <c r="Y16" s="446"/>
      <c r="AA16" s="301"/>
      <c r="AC16" s="446"/>
      <c r="AE16" s="301"/>
      <c r="AG16" s="446"/>
      <c r="AI16" s="301"/>
    </row>
    <row r="17" spans="1:35" x14ac:dyDescent="0.35">
      <c r="A17" s="183"/>
      <c r="B17" s="167"/>
      <c r="C17" s="301"/>
      <c r="E17" s="446"/>
      <c r="F17" s="167"/>
      <c r="G17" s="301"/>
      <c r="I17" s="446">
        <v>45100</v>
      </c>
      <c r="J17" s="167" t="s">
        <v>427</v>
      </c>
      <c r="K17" s="301">
        <v>1350.67</v>
      </c>
      <c r="M17" s="446"/>
      <c r="N17" s="167"/>
      <c r="O17" s="301"/>
      <c r="Q17" s="446">
        <v>45167</v>
      </c>
      <c r="R17" s="167" t="s">
        <v>430</v>
      </c>
      <c r="S17" s="301">
        <v>43050.27</v>
      </c>
      <c r="U17" s="446"/>
      <c r="V17" s="167"/>
      <c r="W17" s="301"/>
      <c r="Y17" s="446"/>
      <c r="Z17" s="167"/>
      <c r="AA17" s="301"/>
      <c r="AC17" s="446"/>
      <c r="AE17" s="301"/>
      <c r="AG17" s="446"/>
      <c r="AI17" s="301"/>
    </row>
    <row r="18" spans="1:35" x14ac:dyDescent="0.35">
      <c r="A18" s="183"/>
      <c r="B18" s="167"/>
      <c r="C18" s="301"/>
      <c r="E18" s="446"/>
      <c r="F18" s="167"/>
      <c r="G18" s="301"/>
      <c r="I18" s="183"/>
      <c r="J18" s="167"/>
      <c r="K18" s="301"/>
      <c r="M18" s="183"/>
      <c r="N18" s="167"/>
      <c r="O18" s="301"/>
      <c r="Q18" s="446">
        <v>45169</v>
      </c>
      <c r="R18" s="167" t="s">
        <v>431</v>
      </c>
      <c r="S18" s="301">
        <v>1990.7</v>
      </c>
      <c r="U18" s="446"/>
      <c r="V18" s="167"/>
      <c r="W18" s="301"/>
      <c r="Y18" s="446"/>
      <c r="Z18" s="167"/>
      <c r="AA18" s="301"/>
      <c r="AC18" s="446"/>
      <c r="AE18" s="301"/>
      <c r="AG18" s="446"/>
      <c r="AI18" s="301"/>
    </row>
    <row r="19" spans="1:35" x14ac:dyDescent="0.35">
      <c r="A19" s="183"/>
      <c r="B19" s="167"/>
      <c r="C19" s="301"/>
      <c r="E19" s="183"/>
      <c r="G19" s="301"/>
      <c r="I19" s="446">
        <v>45100</v>
      </c>
      <c r="J19" s="167" t="s">
        <v>430</v>
      </c>
      <c r="K19" s="301">
        <v>7333.65</v>
      </c>
      <c r="M19" s="446"/>
      <c r="O19" s="301"/>
      <c r="Q19" s="446"/>
      <c r="S19" s="301"/>
      <c r="U19" s="446"/>
      <c r="W19" s="301"/>
      <c r="Y19" s="446"/>
      <c r="AA19" s="301"/>
      <c r="AC19" s="446"/>
      <c r="AD19" s="547"/>
      <c r="AE19" s="301"/>
      <c r="AG19" s="446"/>
      <c r="AH19" s="547"/>
      <c r="AI19" s="301"/>
    </row>
    <row r="20" spans="1:35" x14ac:dyDescent="0.35">
      <c r="A20" s="183"/>
      <c r="B20" s="167"/>
      <c r="C20" s="301"/>
      <c r="E20" s="183"/>
      <c r="F20" s="167"/>
      <c r="G20" s="301"/>
      <c r="I20" s="446">
        <v>45105</v>
      </c>
      <c r="J20" s="167" t="s">
        <v>431</v>
      </c>
      <c r="K20" s="301">
        <v>377.78</v>
      </c>
      <c r="M20" s="446"/>
      <c r="O20" s="301"/>
      <c r="Q20" s="446"/>
      <c r="S20" s="301"/>
      <c r="U20" s="446"/>
      <c r="W20" s="301"/>
      <c r="Y20" s="446"/>
      <c r="AA20" s="301"/>
      <c r="AC20" s="446"/>
      <c r="AD20" s="547"/>
      <c r="AE20" s="301"/>
      <c r="AG20" s="446"/>
      <c r="AH20" s="547"/>
      <c r="AI20" s="301"/>
    </row>
    <row r="21" spans="1:35" ht="15" thickBot="1" x14ac:dyDescent="0.4">
      <c r="A21" s="302"/>
      <c r="B21" s="303"/>
      <c r="C21" s="447"/>
      <c r="E21" s="302"/>
      <c r="F21" s="303"/>
      <c r="G21" s="447"/>
      <c r="I21" s="302"/>
      <c r="J21" s="303"/>
      <c r="K21" s="447"/>
      <c r="M21" s="302"/>
      <c r="N21" s="303"/>
      <c r="O21" s="447"/>
      <c r="Q21" s="302"/>
      <c r="R21" s="303"/>
      <c r="S21" s="447"/>
      <c r="U21" s="302"/>
      <c r="V21" s="303"/>
      <c r="W21" s="447"/>
      <c r="Y21" s="302"/>
      <c r="Z21" s="303"/>
      <c r="AA21" s="447"/>
      <c r="AC21" s="302"/>
      <c r="AD21" s="303"/>
      <c r="AE21" s="447"/>
      <c r="AG21" s="302"/>
      <c r="AH21" s="303"/>
      <c r="AI21" s="447"/>
    </row>
    <row r="22" spans="1:35" ht="15" thickBot="1" x14ac:dyDescent="0.4">
      <c r="A22" s="733" t="s">
        <v>4</v>
      </c>
      <c r="B22" s="735"/>
      <c r="C22" s="450">
        <f>SUM(C2:C21)</f>
        <v>92596.299999999988</v>
      </c>
      <c r="E22" s="733" t="s">
        <v>4</v>
      </c>
      <c r="F22" s="735"/>
      <c r="G22" s="450">
        <f>SUM(G2:G21)</f>
        <v>71641.290000000008</v>
      </c>
      <c r="I22" s="733" t="s">
        <v>4</v>
      </c>
      <c r="J22" s="735"/>
      <c r="K22" s="450">
        <f>SUM(K2:K21)</f>
        <v>115456.91999999998</v>
      </c>
      <c r="M22" s="733" t="s">
        <v>4</v>
      </c>
      <c r="N22" s="735"/>
      <c r="O22" s="450">
        <f>SUM(O2:O21)</f>
        <v>121385.56</v>
      </c>
      <c r="Q22" s="733" t="s">
        <v>4</v>
      </c>
      <c r="R22" s="735"/>
      <c r="S22" s="450">
        <f>SUM(S2:S21)</f>
        <v>172418.15000000002</v>
      </c>
      <c r="U22" s="733" t="s">
        <v>4</v>
      </c>
      <c r="V22" s="735"/>
      <c r="W22" s="450">
        <f>SUM(W2:W21)</f>
        <v>42617</v>
      </c>
      <c r="Y22" s="733" t="s">
        <v>4</v>
      </c>
      <c r="Z22" s="735"/>
      <c r="AA22" s="450">
        <f>SUM(AA2:AA21)</f>
        <v>83783.66</v>
      </c>
      <c r="AC22" s="733" t="s">
        <v>4</v>
      </c>
      <c r="AD22" s="735"/>
      <c r="AE22" s="450">
        <f>SUM(AE2:AE21)</f>
        <v>117175.92000000001</v>
      </c>
      <c r="AG22" s="733" t="s">
        <v>4</v>
      </c>
      <c r="AH22" s="735"/>
      <c r="AI22" s="450">
        <f>SUM(AI2:AI21)</f>
        <v>100481.16</v>
      </c>
    </row>
    <row r="23" spans="1:35" ht="15" thickBot="1" x14ac:dyDescent="0.4"/>
    <row r="24" spans="1:35" ht="15" thickBot="1" x14ac:dyDescent="0.4">
      <c r="A24" s="449" t="s">
        <v>347</v>
      </c>
      <c r="B24" s="448">
        <v>0.02</v>
      </c>
      <c r="C24" s="451">
        <f>C22*B24</f>
        <v>1851.9259999999997</v>
      </c>
      <c r="E24" s="449" t="s">
        <v>347</v>
      </c>
      <c r="F24" s="448">
        <v>0.02</v>
      </c>
      <c r="G24" s="451">
        <f>G22*F24</f>
        <v>1432.8258000000003</v>
      </c>
      <c r="I24" s="449" t="s">
        <v>347</v>
      </c>
      <c r="J24" s="448">
        <v>0.02</v>
      </c>
      <c r="K24" s="451">
        <f>K22*J24</f>
        <v>2309.1383999999998</v>
      </c>
      <c r="M24" s="449" t="s">
        <v>347</v>
      </c>
      <c r="N24" s="448">
        <v>0.02</v>
      </c>
      <c r="O24" s="451">
        <f>O22*N24</f>
        <v>2427.7112000000002</v>
      </c>
      <c r="Q24" s="449" t="s">
        <v>347</v>
      </c>
      <c r="R24" s="448">
        <v>0.02</v>
      </c>
      <c r="S24" s="451">
        <f>S22*R24</f>
        <v>3448.3630000000007</v>
      </c>
      <c r="U24" s="449" t="s">
        <v>347</v>
      </c>
      <c r="V24" s="448">
        <v>0.02</v>
      </c>
      <c r="W24" s="451">
        <f>W22*V24</f>
        <v>852.34</v>
      </c>
      <c r="Y24" s="449" t="s">
        <v>347</v>
      </c>
      <c r="Z24" s="448">
        <v>0.02</v>
      </c>
      <c r="AA24" s="451">
        <f>AA22*Z24</f>
        <v>1675.6732000000002</v>
      </c>
      <c r="AC24" s="449" t="s">
        <v>347</v>
      </c>
      <c r="AD24" s="448">
        <v>0.02</v>
      </c>
      <c r="AE24" s="451">
        <f>AE22*AD24</f>
        <v>2343.5184000000004</v>
      </c>
      <c r="AG24" s="449" t="s">
        <v>347</v>
      </c>
      <c r="AH24" s="448">
        <v>0.02</v>
      </c>
      <c r="AI24" s="451">
        <f>AI22*AH24</f>
        <v>2009.6232000000002</v>
      </c>
    </row>
  </sheetData>
  <mergeCells count="18">
    <mergeCell ref="AG1:AI1"/>
    <mergeCell ref="AG22:AH22"/>
    <mergeCell ref="AC1:AE1"/>
    <mergeCell ref="AC22:AD22"/>
    <mergeCell ref="M1:O1"/>
    <mergeCell ref="M22:N22"/>
    <mergeCell ref="Y1:AA1"/>
    <mergeCell ref="Y22:Z22"/>
    <mergeCell ref="U1:W1"/>
    <mergeCell ref="U22:V22"/>
    <mergeCell ref="Q1:S1"/>
    <mergeCell ref="Q22:R22"/>
    <mergeCell ref="A1:C1"/>
    <mergeCell ref="A22:B22"/>
    <mergeCell ref="E1:G1"/>
    <mergeCell ref="E22:F22"/>
    <mergeCell ref="I1:K1"/>
    <mergeCell ref="I22:J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8"/>
  <sheetViews>
    <sheetView view="pageBreakPreview" zoomScaleNormal="100" zoomScaleSheetLayoutView="100" workbookViewId="0">
      <selection activeCell="D13" sqref="D13"/>
    </sheetView>
  </sheetViews>
  <sheetFormatPr defaultRowHeight="14.5" x14ac:dyDescent="0.35"/>
  <cols>
    <col min="2" max="2" width="12.7265625" bestFit="1" customWidth="1"/>
    <col min="5" max="5" width="9.54296875" bestFit="1" customWidth="1"/>
    <col min="6" max="6" width="10.54296875" bestFit="1" customWidth="1"/>
  </cols>
  <sheetData>
    <row r="1" spans="1:7" x14ac:dyDescent="0.35">
      <c r="A1" t="s">
        <v>295</v>
      </c>
      <c r="B1" t="s">
        <v>294</v>
      </c>
      <c r="C1" s="405" t="s">
        <v>293</v>
      </c>
      <c r="D1" t="s">
        <v>292</v>
      </c>
      <c r="E1" t="s">
        <v>291</v>
      </c>
      <c r="F1" t="s">
        <v>290</v>
      </c>
    </row>
    <row r="2" spans="1:7" x14ac:dyDescent="0.35">
      <c r="A2" t="s">
        <v>283</v>
      </c>
      <c r="B2">
        <v>5.85</v>
      </c>
      <c r="C2" s="404">
        <f t="shared" ref="C2:C8" si="0">B2+5%</f>
        <v>5.8999999999999995</v>
      </c>
      <c r="D2" s="402">
        <v>5.4509999999999996</v>
      </c>
      <c r="E2" s="182">
        <f t="shared" ref="E2:E8" si="1">D2*C2</f>
        <v>32.160899999999998</v>
      </c>
      <c r="F2" s="182">
        <f t="shared" ref="F2:F8" si="2">E2*25</f>
        <v>804.02249999999992</v>
      </c>
    </row>
    <row r="3" spans="1:7" x14ac:dyDescent="0.35">
      <c r="A3" t="s">
        <v>284</v>
      </c>
      <c r="B3">
        <v>5.85</v>
      </c>
      <c r="C3" s="404">
        <f t="shared" si="0"/>
        <v>5.8999999999999995</v>
      </c>
      <c r="D3" s="402">
        <v>5.6429999999999998</v>
      </c>
      <c r="E3" s="182">
        <f t="shared" si="1"/>
        <v>33.293699999999994</v>
      </c>
      <c r="F3" s="182">
        <f t="shared" si="2"/>
        <v>832.34249999999986</v>
      </c>
    </row>
    <row r="4" spans="1:7" x14ac:dyDescent="0.35">
      <c r="A4" t="s">
        <v>285</v>
      </c>
      <c r="B4">
        <v>6.43</v>
      </c>
      <c r="C4" s="404">
        <f t="shared" si="0"/>
        <v>6.4799999999999995</v>
      </c>
      <c r="D4">
        <v>5.7126999999999999</v>
      </c>
      <c r="E4" s="182">
        <f t="shared" si="1"/>
        <v>37.018295999999999</v>
      </c>
      <c r="F4" s="182">
        <f t="shared" si="2"/>
        <v>925.45740000000001</v>
      </c>
    </row>
    <row r="5" spans="1:7" x14ac:dyDescent="0.35">
      <c r="A5" t="s">
        <v>286</v>
      </c>
      <c r="B5">
        <v>6.43</v>
      </c>
      <c r="C5" s="404">
        <f t="shared" si="0"/>
        <v>6.4799999999999995</v>
      </c>
      <c r="D5">
        <v>5.5057999999999998</v>
      </c>
      <c r="E5" s="182">
        <f t="shared" si="1"/>
        <v>35.677583999999996</v>
      </c>
      <c r="F5" s="182">
        <f t="shared" si="2"/>
        <v>891.93959999999993</v>
      </c>
    </row>
    <row r="6" spans="1:7" x14ac:dyDescent="0.35">
      <c r="A6" t="s">
        <v>287</v>
      </c>
      <c r="B6">
        <v>6.43</v>
      </c>
      <c r="C6" s="404">
        <f t="shared" si="0"/>
        <v>6.4799999999999995</v>
      </c>
      <c r="D6">
        <v>5.3574000000000002</v>
      </c>
      <c r="E6" s="182">
        <f t="shared" si="1"/>
        <v>34.715952000000001</v>
      </c>
      <c r="F6" s="182">
        <f t="shared" si="2"/>
        <v>867.89880000000005</v>
      </c>
    </row>
    <row r="7" spans="1:7" x14ac:dyDescent="0.35">
      <c r="A7" t="s">
        <v>288</v>
      </c>
      <c r="B7">
        <v>6.75</v>
      </c>
      <c r="C7" s="404">
        <f t="shared" si="0"/>
        <v>6.8</v>
      </c>
      <c r="D7">
        <v>5.1394000000000002</v>
      </c>
      <c r="E7" s="182">
        <f t="shared" si="1"/>
        <v>34.947920000000003</v>
      </c>
      <c r="F7" s="182">
        <f t="shared" si="2"/>
        <v>873.69800000000009</v>
      </c>
    </row>
    <row r="8" spans="1:7" x14ac:dyDescent="0.35">
      <c r="A8" t="s">
        <v>289</v>
      </c>
      <c r="B8">
        <v>6.92</v>
      </c>
      <c r="C8" s="404">
        <f t="shared" si="0"/>
        <v>6.97</v>
      </c>
      <c r="D8">
        <v>5.0255000000000001</v>
      </c>
      <c r="E8" s="182">
        <f t="shared" si="1"/>
        <v>35.027735</v>
      </c>
      <c r="F8" s="182">
        <f t="shared" si="2"/>
        <v>875.69337499999995</v>
      </c>
    </row>
    <row r="9" spans="1:7" x14ac:dyDescent="0.35">
      <c r="A9" t="s">
        <v>333</v>
      </c>
      <c r="D9" s="402"/>
    </row>
    <row r="10" spans="1:7" x14ac:dyDescent="0.35">
      <c r="A10" t="s">
        <v>334</v>
      </c>
    </row>
    <row r="11" spans="1:7" x14ac:dyDescent="0.35">
      <c r="A11" s="440">
        <v>44866</v>
      </c>
      <c r="B11">
        <v>6.45</v>
      </c>
    </row>
    <row r="12" spans="1:7" x14ac:dyDescent="0.35">
      <c r="A12" s="440">
        <v>44927</v>
      </c>
      <c r="B12">
        <v>6.21</v>
      </c>
    </row>
    <row r="16" spans="1:7" x14ac:dyDescent="0.35">
      <c r="A16" s="401">
        <v>44634</v>
      </c>
      <c r="B16" s="1">
        <v>26082.35</v>
      </c>
      <c r="C16" s="1">
        <f>B16/750</f>
        <v>34.776466666666664</v>
      </c>
      <c r="D16">
        <v>5.0647000000000002</v>
      </c>
      <c r="E16" s="182">
        <f>C16/D16</f>
        <v>6.8664415792972262</v>
      </c>
      <c r="F16">
        <v>5.0255000000000001</v>
      </c>
      <c r="G16" s="182">
        <f>C16/F16</f>
        <v>6.9200013265678368</v>
      </c>
    </row>
    <row r="17" spans="1:11" x14ac:dyDescent="0.35">
      <c r="A17" s="401">
        <v>44622</v>
      </c>
      <c r="B17" s="1">
        <v>26018.21</v>
      </c>
      <c r="C17" s="1">
        <f t="shared" ref="C17:C24" si="3">B17/750</f>
        <v>34.690946666666669</v>
      </c>
      <c r="D17">
        <v>5.1346999999999996</v>
      </c>
      <c r="E17" s="182">
        <f t="shared" ref="E17:E24" si="4">C17/D17</f>
        <v>6.7561779006887788</v>
      </c>
      <c r="F17">
        <v>5.1394000000000002</v>
      </c>
      <c r="G17" s="182">
        <f t="shared" ref="G17:G24" si="5">C17/F17</f>
        <v>6.7499993514158589</v>
      </c>
    </row>
    <row r="18" spans="1:11" x14ac:dyDescent="0.35">
      <c r="A18" s="401">
        <v>44593</v>
      </c>
      <c r="B18" s="1">
        <v>25836.06</v>
      </c>
      <c r="C18" s="1">
        <f t="shared" si="3"/>
        <v>34.448080000000004</v>
      </c>
      <c r="D18" s="402">
        <v>5.2809999999999997</v>
      </c>
      <c r="E18" s="182">
        <f t="shared" si="4"/>
        <v>6.5230221548949077</v>
      </c>
      <c r="F18">
        <v>5.3574000000000002</v>
      </c>
      <c r="G18" s="182">
        <f t="shared" si="5"/>
        <v>6.4299996266845865</v>
      </c>
    </row>
    <row r="19" spans="1:11" x14ac:dyDescent="0.35">
      <c r="A19" s="401">
        <v>44579</v>
      </c>
      <c r="B19" s="1">
        <v>26551.72</v>
      </c>
      <c r="C19" s="1">
        <f t="shared" si="3"/>
        <v>35.402293333333333</v>
      </c>
      <c r="D19">
        <v>5.5213000000000001</v>
      </c>
      <c r="E19" s="182">
        <f t="shared" si="4"/>
        <v>6.411948876774189</v>
      </c>
      <c r="F19">
        <v>5.5057999999999998</v>
      </c>
      <c r="G19" s="182">
        <f t="shared" si="5"/>
        <v>6.4299998789155683</v>
      </c>
    </row>
    <row r="20" spans="1:11" x14ac:dyDescent="0.35">
      <c r="A20" s="401">
        <v>44922</v>
      </c>
      <c r="B20" s="1">
        <v>27291</v>
      </c>
      <c r="C20" s="1">
        <f t="shared" si="3"/>
        <v>36.387999999999998</v>
      </c>
      <c r="D20" s="402">
        <v>5.665</v>
      </c>
      <c r="E20" s="182">
        <f t="shared" si="4"/>
        <v>6.423300970873786</v>
      </c>
      <c r="F20" s="402">
        <v>5.66</v>
      </c>
      <c r="G20" s="182">
        <f t="shared" si="5"/>
        <v>6.4289752650176677</v>
      </c>
    </row>
    <row r="21" spans="1:11" x14ac:dyDescent="0.35">
      <c r="A21" s="401">
        <v>44911</v>
      </c>
      <c r="B21" s="1">
        <v>27549.5</v>
      </c>
      <c r="C21" s="1">
        <f t="shared" si="3"/>
        <v>36.732666666666667</v>
      </c>
      <c r="D21">
        <v>5.6962999999999999</v>
      </c>
      <c r="E21" s="182">
        <f t="shared" si="4"/>
        <v>6.4485133624750572</v>
      </c>
      <c r="F21">
        <v>5.7126999999999999</v>
      </c>
      <c r="G21" s="182">
        <f t="shared" si="5"/>
        <v>6.430000991941931</v>
      </c>
    </row>
    <row r="22" spans="1:11" x14ac:dyDescent="0.35">
      <c r="A22" s="401">
        <v>44888</v>
      </c>
      <c r="B22" s="1">
        <v>24500.240000000002</v>
      </c>
      <c r="C22" s="1">
        <f t="shared" si="3"/>
        <v>32.666986666666666</v>
      </c>
      <c r="D22">
        <v>5.6456</v>
      </c>
      <c r="E22" s="182">
        <f t="shared" si="4"/>
        <v>5.7862736762552549</v>
      </c>
      <c r="F22">
        <v>5.5841000000000003</v>
      </c>
      <c r="G22" s="182">
        <f t="shared" si="5"/>
        <v>5.8500002984664787</v>
      </c>
    </row>
    <row r="23" spans="1:11" x14ac:dyDescent="0.35">
      <c r="A23" s="401">
        <v>44866</v>
      </c>
      <c r="B23" s="1">
        <v>24758.66</v>
      </c>
      <c r="C23" s="1">
        <f t="shared" si="3"/>
        <v>33.011546666666668</v>
      </c>
      <c r="D23">
        <v>5.6694000000000004</v>
      </c>
      <c r="E23" s="182">
        <f t="shared" si="4"/>
        <v>5.8227584341670484</v>
      </c>
      <c r="F23" s="402">
        <v>5.6429999999999998</v>
      </c>
      <c r="G23" s="182">
        <f t="shared" si="5"/>
        <v>5.8499994092976557</v>
      </c>
    </row>
    <row r="24" spans="1:11" x14ac:dyDescent="0.35">
      <c r="A24" s="401">
        <v>44852</v>
      </c>
      <c r="B24" s="1">
        <v>23916.26</v>
      </c>
      <c r="C24" s="1">
        <f t="shared" si="3"/>
        <v>31.888346666666664</v>
      </c>
      <c r="D24">
        <v>5.5193000000000003</v>
      </c>
      <c r="E24" s="182">
        <f t="shared" si="4"/>
        <v>5.7776070636976904</v>
      </c>
      <c r="F24" s="402">
        <v>5.4509999999999996</v>
      </c>
      <c r="G24" s="182">
        <f t="shared" si="5"/>
        <v>5.8499993884914083</v>
      </c>
    </row>
    <row r="26" spans="1:11" x14ac:dyDescent="0.35">
      <c r="G26" s="403"/>
      <c r="H26" s="403"/>
      <c r="I26" s="403"/>
      <c r="J26" s="403"/>
    </row>
    <row r="27" spans="1:11" x14ac:dyDescent="0.35">
      <c r="G27" s="403">
        <v>5.85</v>
      </c>
      <c r="H27" s="403">
        <v>6.43</v>
      </c>
      <c r="I27" s="403">
        <v>6.75</v>
      </c>
      <c r="J27" s="403">
        <v>6.92</v>
      </c>
    </row>
    <row r="28" spans="1:11" x14ac:dyDescent="0.35">
      <c r="H28">
        <f>H27/G27</f>
        <v>1.0991452991452992</v>
      </c>
      <c r="I28">
        <f>I27/H27</f>
        <v>1.0497667185069985</v>
      </c>
      <c r="J28">
        <f>J27/I27</f>
        <v>1.0251851851851852</v>
      </c>
      <c r="K28">
        <f>J27/G27</f>
        <v>1.1829059829059829</v>
      </c>
    </row>
    <row r="29" spans="1:11" x14ac:dyDescent="0.35">
      <c r="H29" s="398">
        <f>H28-1</f>
        <v>9.9145299145299237E-2</v>
      </c>
      <c r="I29" s="398">
        <f>I28-1</f>
        <v>4.9766718506998542E-2</v>
      </c>
      <c r="J29" s="398">
        <f>J28-1</f>
        <v>2.5185185185185199E-2</v>
      </c>
      <c r="K29" s="398">
        <f>K28-1</f>
        <v>0.18290598290598292</v>
      </c>
    </row>
    <row r="32" spans="1:11" x14ac:dyDescent="0.35">
      <c r="G32" t="s">
        <v>283</v>
      </c>
      <c r="H32">
        <v>5.85</v>
      </c>
    </row>
    <row r="33" spans="2:8" x14ac:dyDescent="0.35">
      <c r="G33" t="s">
        <v>284</v>
      </c>
      <c r="H33">
        <v>5.85</v>
      </c>
    </row>
    <row r="34" spans="2:8" x14ac:dyDescent="0.35">
      <c r="G34" t="s">
        <v>285</v>
      </c>
      <c r="H34">
        <v>6.43</v>
      </c>
    </row>
    <row r="35" spans="2:8" x14ac:dyDescent="0.35">
      <c r="G35" t="s">
        <v>286</v>
      </c>
      <c r="H35">
        <v>6.43</v>
      </c>
    </row>
    <row r="36" spans="2:8" x14ac:dyDescent="0.35">
      <c r="G36" t="s">
        <v>287</v>
      </c>
      <c r="H36">
        <v>6.43</v>
      </c>
    </row>
    <row r="37" spans="2:8" x14ac:dyDescent="0.35">
      <c r="B37" s="186"/>
      <c r="G37" t="s">
        <v>288</v>
      </c>
      <c r="H37">
        <v>6.75</v>
      </c>
    </row>
    <row r="38" spans="2:8" x14ac:dyDescent="0.35">
      <c r="B38" s="412"/>
      <c r="G38" t="s">
        <v>288</v>
      </c>
      <c r="H38">
        <v>6.92</v>
      </c>
    </row>
  </sheetData>
  <pageMargins left="0.511811024" right="0.511811024" top="0.78740157499999996" bottom="0.78740157499999996" header="0.31496062000000002" footer="0.31496062000000002"/>
  <pageSetup paperSize="9" scale="8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35"/>
  <sheetViews>
    <sheetView view="pageBreakPreview" zoomScale="60" zoomScaleNormal="100" workbookViewId="0">
      <selection activeCell="C37" sqref="C37"/>
    </sheetView>
  </sheetViews>
  <sheetFormatPr defaultRowHeight="14.5" x14ac:dyDescent="0.35"/>
  <cols>
    <col min="1" max="1" width="14" bestFit="1" customWidth="1"/>
    <col min="2" max="2" width="13.81640625" bestFit="1" customWidth="1"/>
    <col min="3" max="3" width="15.453125" bestFit="1" customWidth="1"/>
    <col min="4" max="4" width="13.81640625" bestFit="1" customWidth="1"/>
    <col min="6" max="6" width="13.81640625" bestFit="1" customWidth="1"/>
    <col min="7" max="7" width="16.1796875" bestFit="1" customWidth="1"/>
    <col min="8" max="8" width="13.81640625" bestFit="1" customWidth="1"/>
    <col min="10" max="11" width="13.81640625" bestFit="1" customWidth="1"/>
    <col min="13" max="13" width="17.26953125" bestFit="1" customWidth="1"/>
    <col min="14" max="14" width="13.81640625" bestFit="1" customWidth="1"/>
  </cols>
  <sheetData>
    <row r="1" spans="1:14" ht="15" thickBot="1" x14ac:dyDescent="0.4">
      <c r="A1" t="s">
        <v>297</v>
      </c>
      <c r="B1" s="738" t="s">
        <v>313</v>
      </c>
      <c r="C1" s="739"/>
      <c r="D1" s="739"/>
      <c r="E1" s="739"/>
      <c r="F1" s="739"/>
      <c r="G1" s="739"/>
      <c r="H1" s="740"/>
      <c r="J1" s="736" t="s">
        <v>311</v>
      </c>
      <c r="K1" s="737"/>
      <c r="M1" s="736" t="s">
        <v>312</v>
      </c>
      <c r="N1" s="737"/>
    </row>
    <row r="2" spans="1:14" x14ac:dyDescent="0.35">
      <c r="A2" s="187" t="s">
        <v>298</v>
      </c>
      <c r="B2" s="187">
        <v>420</v>
      </c>
      <c r="C2" s="187">
        <v>360</v>
      </c>
      <c r="D2" s="420">
        <v>240</v>
      </c>
      <c r="E2" s="187"/>
      <c r="F2" s="415">
        <v>360</v>
      </c>
      <c r="G2" s="432">
        <v>240</v>
      </c>
      <c r="H2" s="420">
        <v>180</v>
      </c>
      <c r="I2" s="187"/>
      <c r="J2" s="187">
        <v>420</v>
      </c>
      <c r="K2" s="424">
        <v>420</v>
      </c>
      <c r="L2" s="187"/>
      <c r="M2" s="187">
        <v>420</v>
      </c>
      <c r="N2" s="415">
        <v>360</v>
      </c>
    </row>
    <row r="3" spans="1:14" x14ac:dyDescent="0.35">
      <c r="A3" s="187" t="s">
        <v>299</v>
      </c>
      <c r="B3" s="414">
        <v>0.2</v>
      </c>
      <c r="C3" s="414">
        <v>0.2</v>
      </c>
      <c r="D3" s="422">
        <v>0.4</v>
      </c>
      <c r="E3" s="187"/>
      <c r="F3" s="416">
        <v>0.2</v>
      </c>
      <c r="G3" s="433">
        <v>0.2</v>
      </c>
      <c r="H3" s="422">
        <v>0.5</v>
      </c>
      <c r="I3" s="187"/>
      <c r="J3" s="414">
        <v>0.2</v>
      </c>
      <c r="K3" s="423">
        <v>0.3</v>
      </c>
      <c r="L3" s="187"/>
      <c r="M3" s="414">
        <v>0.2</v>
      </c>
      <c r="N3" s="416">
        <v>0.2</v>
      </c>
    </row>
    <row r="4" spans="1:14" x14ac:dyDescent="0.35">
      <c r="A4" s="187" t="s">
        <v>300</v>
      </c>
      <c r="B4" s="413">
        <v>47800</v>
      </c>
      <c r="C4" s="413">
        <v>47800</v>
      </c>
      <c r="D4" s="421">
        <v>95600</v>
      </c>
      <c r="E4" s="187"/>
      <c r="F4" s="417">
        <v>47800</v>
      </c>
      <c r="G4" s="434">
        <v>47800</v>
      </c>
      <c r="H4" s="421">
        <v>119500</v>
      </c>
      <c r="I4" s="187"/>
      <c r="J4" s="413">
        <v>47800</v>
      </c>
      <c r="K4" s="419">
        <v>71700</v>
      </c>
      <c r="L4" s="187"/>
      <c r="M4" s="413">
        <v>47800</v>
      </c>
      <c r="N4" s="417">
        <v>47800</v>
      </c>
    </row>
    <row r="5" spans="1:14" x14ac:dyDescent="0.35">
      <c r="A5" s="187" t="s">
        <v>301</v>
      </c>
      <c r="B5" s="413">
        <v>191200</v>
      </c>
      <c r="C5" s="413">
        <v>191200</v>
      </c>
      <c r="D5" s="421">
        <v>143400</v>
      </c>
      <c r="E5" s="187"/>
      <c r="F5" s="417">
        <v>191200</v>
      </c>
      <c r="G5" s="434">
        <v>191200</v>
      </c>
      <c r="H5" s="421">
        <v>119500</v>
      </c>
      <c r="I5" s="187"/>
      <c r="J5" s="413">
        <v>191200</v>
      </c>
      <c r="K5" s="419">
        <v>167300</v>
      </c>
      <c r="L5" s="187"/>
      <c r="M5" s="413">
        <v>191200</v>
      </c>
      <c r="N5" s="417">
        <v>191200</v>
      </c>
    </row>
    <row r="6" spans="1:14" x14ac:dyDescent="0.35">
      <c r="A6" s="187" t="s">
        <v>303</v>
      </c>
      <c r="B6" s="413">
        <v>1881.4</v>
      </c>
      <c r="C6" s="413">
        <v>2089.44</v>
      </c>
      <c r="D6" s="421">
        <v>1124.04</v>
      </c>
      <c r="E6" s="187"/>
      <c r="F6" s="417">
        <v>1541.75</v>
      </c>
      <c r="G6" s="434">
        <v>1832.48</v>
      </c>
      <c r="H6" s="421">
        <v>935.95</v>
      </c>
      <c r="I6" s="187"/>
      <c r="J6" s="413">
        <v>1745.95</v>
      </c>
      <c r="K6" s="419">
        <v>1213.72</v>
      </c>
      <c r="L6" s="187"/>
      <c r="M6" s="413">
        <v>1928.51</v>
      </c>
      <c r="N6" s="417">
        <v>1582.02</v>
      </c>
    </row>
    <row r="7" spans="1:14" x14ac:dyDescent="0.35">
      <c r="A7" s="187" t="s">
        <v>310</v>
      </c>
      <c r="B7" s="413">
        <v>483.47</v>
      </c>
      <c r="C7" s="413">
        <v>560.25</v>
      </c>
      <c r="D7" s="421">
        <v>624.42999999999995</v>
      </c>
      <c r="E7" s="187"/>
      <c r="F7" s="417">
        <v>1496.53</v>
      </c>
      <c r="G7" s="434">
        <v>1787.26</v>
      </c>
      <c r="H7" s="421">
        <v>901.07</v>
      </c>
      <c r="I7" s="187"/>
      <c r="J7" s="413">
        <v>483.15</v>
      </c>
      <c r="K7" s="419">
        <v>1172.18</v>
      </c>
      <c r="L7" s="187"/>
      <c r="M7" s="413">
        <v>483.58</v>
      </c>
      <c r="N7" s="417">
        <v>1536.8</v>
      </c>
    </row>
    <row r="8" spans="1:14" x14ac:dyDescent="0.35">
      <c r="A8" s="187" t="s">
        <v>302</v>
      </c>
      <c r="B8" s="187" t="s">
        <v>309</v>
      </c>
      <c r="C8" s="187" t="s">
        <v>308</v>
      </c>
      <c r="D8" s="420" t="s">
        <v>307</v>
      </c>
      <c r="E8" s="187"/>
      <c r="F8" s="415" t="s">
        <v>306</v>
      </c>
      <c r="G8" s="432" t="s">
        <v>304</v>
      </c>
      <c r="H8" s="420" t="s">
        <v>305</v>
      </c>
      <c r="I8" s="187"/>
      <c r="J8" s="187" t="s">
        <v>309</v>
      </c>
      <c r="K8" s="418" t="s">
        <v>306</v>
      </c>
      <c r="L8" s="187"/>
      <c r="M8" s="187" t="s">
        <v>309</v>
      </c>
      <c r="N8" s="415" t="s">
        <v>306</v>
      </c>
    </row>
    <row r="10" spans="1:14" x14ac:dyDescent="0.35">
      <c r="D10" s="425">
        <v>360</v>
      </c>
    </row>
    <row r="11" spans="1:14" x14ac:dyDescent="0.35">
      <c r="D11" s="426">
        <v>0.2</v>
      </c>
    </row>
    <row r="12" spans="1:14" x14ac:dyDescent="0.35">
      <c r="D12" s="427">
        <v>47800</v>
      </c>
    </row>
    <row r="13" spans="1:14" x14ac:dyDescent="0.35">
      <c r="D13" s="427">
        <v>191200</v>
      </c>
    </row>
    <row r="14" spans="1:14" x14ac:dyDescent="0.35">
      <c r="D14" s="427">
        <v>1247.3399999999999</v>
      </c>
    </row>
    <row r="15" spans="1:14" x14ac:dyDescent="0.35">
      <c r="D15" s="427">
        <v>557.83000000000004</v>
      </c>
    </row>
    <row r="16" spans="1:14" x14ac:dyDescent="0.35">
      <c r="D16" s="428" t="s">
        <v>307</v>
      </c>
    </row>
    <row r="18" spans="2:14" ht="15" thickBot="1" x14ac:dyDescent="0.4"/>
    <row r="19" spans="2:14" ht="15" thickBot="1" x14ac:dyDescent="0.4">
      <c r="B19" s="437" t="s">
        <v>314</v>
      </c>
      <c r="C19" s="435"/>
      <c r="D19" s="436"/>
    </row>
    <row r="20" spans="2:14" x14ac:dyDescent="0.35">
      <c r="B20" s="187">
        <v>420</v>
      </c>
      <c r="C20" s="187">
        <v>360</v>
      </c>
      <c r="D20" s="20">
        <v>240</v>
      </c>
      <c r="E20" s="20"/>
      <c r="F20" s="20">
        <v>360</v>
      </c>
      <c r="G20" s="20">
        <v>240</v>
      </c>
      <c r="H20" s="20">
        <v>180</v>
      </c>
      <c r="I20" s="20"/>
      <c r="J20" s="20">
        <v>420</v>
      </c>
      <c r="K20" s="429">
        <v>420</v>
      </c>
      <c r="L20" s="20"/>
      <c r="M20" s="20">
        <v>420</v>
      </c>
      <c r="N20" s="20">
        <v>360</v>
      </c>
    </row>
    <row r="21" spans="2:14" x14ac:dyDescent="0.35">
      <c r="B21" s="414">
        <v>0.2</v>
      </c>
      <c r="C21" s="414">
        <v>0.2</v>
      </c>
      <c r="D21" s="430">
        <v>0.4</v>
      </c>
      <c r="E21" s="20"/>
      <c r="F21" s="430">
        <v>0.2</v>
      </c>
      <c r="G21" s="430">
        <v>0.2</v>
      </c>
      <c r="H21" s="430">
        <v>0.5</v>
      </c>
      <c r="I21" s="20"/>
      <c r="J21" s="430">
        <v>0.2</v>
      </c>
      <c r="K21" s="430">
        <v>0.3</v>
      </c>
      <c r="L21" s="20"/>
      <c r="M21" s="430">
        <v>0.2</v>
      </c>
      <c r="N21" s="430">
        <v>0.2</v>
      </c>
    </row>
    <row r="22" spans="2:14" x14ac:dyDescent="0.35">
      <c r="B22" s="413">
        <v>55000</v>
      </c>
      <c r="C22" s="413">
        <v>55000</v>
      </c>
      <c r="D22" s="431">
        <v>100000</v>
      </c>
      <c r="E22" s="20"/>
      <c r="F22" s="413">
        <v>55000</v>
      </c>
      <c r="G22" s="413">
        <v>55000</v>
      </c>
      <c r="H22" s="431">
        <v>125000</v>
      </c>
      <c r="I22" s="20"/>
      <c r="J22" s="413">
        <v>55000</v>
      </c>
      <c r="K22" s="431">
        <v>75000</v>
      </c>
      <c r="L22" s="20"/>
      <c r="M22" s="413">
        <v>55000</v>
      </c>
      <c r="N22" s="413">
        <v>55000</v>
      </c>
    </row>
    <row r="23" spans="2:14" x14ac:dyDescent="0.35">
      <c r="B23" s="409">
        <v>195000</v>
      </c>
      <c r="C23" s="409">
        <v>195000</v>
      </c>
      <c r="D23" s="438">
        <v>150000</v>
      </c>
      <c r="E23" s="439"/>
      <c r="F23" s="409">
        <v>195000</v>
      </c>
      <c r="G23" s="409">
        <v>195000</v>
      </c>
      <c r="H23" s="438">
        <v>125000</v>
      </c>
      <c r="I23" s="439"/>
      <c r="J23" s="409">
        <v>195000</v>
      </c>
      <c r="K23" s="438">
        <v>125000</v>
      </c>
      <c r="L23" s="439"/>
      <c r="M23" s="409">
        <v>195000</v>
      </c>
      <c r="N23" s="409">
        <v>195000</v>
      </c>
    </row>
    <row r="24" spans="2:14" x14ac:dyDescent="0.35">
      <c r="B24" s="413">
        <v>1918.7</v>
      </c>
      <c r="C24" s="413">
        <v>2130.88</v>
      </c>
      <c r="D24" s="431">
        <v>1174.6199999999999</v>
      </c>
      <c r="E24" s="20"/>
      <c r="F24" s="431">
        <v>1572.31</v>
      </c>
      <c r="G24" s="431">
        <v>1868.81</v>
      </c>
      <c r="H24" s="431">
        <v>977.87</v>
      </c>
      <c r="I24" s="20"/>
      <c r="J24" s="431">
        <v>1780.56</v>
      </c>
      <c r="K24" s="431">
        <v>1268.43</v>
      </c>
      <c r="L24" s="20"/>
      <c r="M24" s="431">
        <v>1966.75</v>
      </c>
      <c r="N24" s="431">
        <v>1613.37</v>
      </c>
    </row>
    <row r="25" spans="2:14" x14ac:dyDescent="0.35">
      <c r="B25" s="413">
        <v>492.57</v>
      </c>
      <c r="C25" s="413">
        <v>570.89</v>
      </c>
      <c r="D25" s="431">
        <v>652.02</v>
      </c>
      <c r="E25" s="20"/>
      <c r="F25" s="431">
        <v>1525.78</v>
      </c>
      <c r="G25" s="431">
        <v>1822.28</v>
      </c>
      <c r="H25" s="431">
        <v>942.02</v>
      </c>
      <c r="I25" s="20"/>
      <c r="J25" s="431">
        <v>492.24</v>
      </c>
      <c r="K25" s="431">
        <v>1224.98</v>
      </c>
      <c r="L25" s="20"/>
      <c r="M25" s="431">
        <v>492.69</v>
      </c>
      <c r="N25" s="431">
        <v>1566.84</v>
      </c>
    </row>
    <row r="26" spans="2:14" x14ac:dyDescent="0.35">
      <c r="B26" s="187" t="s">
        <v>309</v>
      </c>
      <c r="C26" s="187" t="s">
        <v>308</v>
      </c>
      <c r="D26" s="20" t="s">
        <v>307</v>
      </c>
      <c r="E26" s="20"/>
      <c r="F26" s="20" t="s">
        <v>306</v>
      </c>
      <c r="G26" s="20" t="s">
        <v>304</v>
      </c>
      <c r="H26" s="20" t="s">
        <v>305</v>
      </c>
      <c r="I26" s="20"/>
      <c r="J26" s="20" t="s">
        <v>309</v>
      </c>
      <c r="K26" s="20" t="s">
        <v>306</v>
      </c>
      <c r="L26" s="20"/>
      <c r="M26" s="20" t="s">
        <v>309</v>
      </c>
      <c r="N26" s="20" t="s">
        <v>309</v>
      </c>
    </row>
    <row r="27" spans="2:14" ht="15" thickBot="1" x14ac:dyDescent="0.4"/>
    <row r="28" spans="2:14" ht="15" thickBot="1" x14ac:dyDescent="0.4">
      <c r="B28" s="437" t="s">
        <v>315</v>
      </c>
      <c r="C28" s="435"/>
      <c r="D28" s="436"/>
    </row>
    <row r="29" spans="2:14" x14ac:dyDescent="0.35">
      <c r="B29" s="187">
        <v>420</v>
      </c>
      <c r="C29" s="187">
        <v>360</v>
      </c>
      <c r="D29" s="20">
        <v>240</v>
      </c>
      <c r="E29" s="20"/>
      <c r="F29" s="20">
        <v>360</v>
      </c>
      <c r="G29" s="20">
        <v>240</v>
      </c>
      <c r="H29" s="20">
        <v>180</v>
      </c>
      <c r="I29" s="20"/>
      <c r="J29" s="20">
        <v>420</v>
      </c>
      <c r="K29" s="429">
        <v>420</v>
      </c>
      <c r="L29" s="20"/>
      <c r="M29" s="20">
        <v>420</v>
      </c>
      <c r="N29" s="20">
        <v>360</v>
      </c>
    </row>
    <row r="30" spans="2:14" x14ac:dyDescent="0.35">
      <c r="B30" s="414">
        <v>0.2</v>
      </c>
      <c r="C30" s="414">
        <v>0.2</v>
      </c>
      <c r="D30" s="430">
        <v>0.4</v>
      </c>
      <c r="E30" s="20"/>
      <c r="F30" s="430">
        <v>0.2</v>
      </c>
      <c r="G30" s="430">
        <v>0.2</v>
      </c>
      <c r="H30" s="430">
        <v>0.5</v>
      </c>
      <c r="I30" s="20"/>
      <c r="J30" s="430">
        <v>0.2</v>
      </c>
      <c r="K30" s="430">
        <v>0.3</v>
      </c>
      <c r="L30" s="20"/>
      <c r="M30" s="430">
        <v>0.2</v>
      </c>
      <c r="N30" s="430">
        <v>0.2</v>
      </c>
    </row>
    <row r="31" spans="2:14" x14ac:dyDescent="0.35">
      <c r="B31" s="413">
        <v>50000</v>
      </c>
      <c r="C31" s="413">
        <v>50000</v>
      </c>
      <c r="D31" s="431">
        <v>100000</v>
      </c>
      <c r="E31" s="20"/>
      <c r="F31" s="413">
        <v>50000</v>
      </c>
      <c r="G31" s="413">
        <v>50000</v>
      </c>
      <c r="H31" s="431">
        <v>125000</v>
      </c>
      <c r="I31" s="20"/>
      <c r="J31" s="413">
        <v>50000</v>
      </c>
      <c r="K31" s="431">
        <v>75000</v>
      </c>
      <c r="L31" s="20"/>
      <c r="M31" s="413">
        <v>50000</v>
      </c>
      <c r="N31" s="413">
        <v>50000</v>
      </c>
    </row>
    <row r="32" spans="2:14" x14ac:dyDescent="0.35">
      <c r="B32" s="409">
        <v>200000</v>
      </c>
      <c r="C32" s="409">
        <v>200000</v>
      </c>
      <c r="D32" s="438">
        <v>150000</v>
      </c>
      <c r="E32" s="439"/>
      <c r="F32" s="409">
        <v>200000</v>
      </c>
      <c r="G32" s="409">
        <v>200000</v>
      </c>
      <c r="H32" s="438">
        <v>125000</v>
      </c>
      <c r="I32" s="439"/>
      <c r="J32" s="409">
        <v>200000</v>
      </c>
      <c r="K32" s="438">
        <v>125000</v>
      </c>
      <c r="L32" s="439"/>
      <c r="M32" s="409">
        <v>200000</v>
      </c>
      <c r="N32" s="409">
        <v>200000</v>
      </c>
    </row>
    <row r="33" spans="2:14" x14ac:dyDescent="0.35">
      <c r="B33" s="413">
        <v>1966.84</v>
      </c>
      <c r="C33" s="413">
        <v>2184.4499999999998</v>
      </c>
      <c r="D33" s="431">
        <v>1174.6199999999999</v>
      </c>
      <c r="E33" s="20"/>
      <c r="F33" s="431">
        <v>1611.56</v>
      </c>
      <c r="G33" s="431">
        <v>1915.66</v>
      </c>
      <c r="H33" s="431">
        <v>977.87</v>
      </c>
      <c r="I33" s="20"/>
      <c r="J33" s="431">
        <v>1825.15</v>
      </c>
      <c r="K33" s="431">
        <v>1268.43</v>
      </c>
      <c r="L33" s="20"/>
      <c r="M33" s="431">
        <v>2016.12</v>
      </c>
      <c r="N33" s="431">
        <v>1653.68</v>
      </c>
    </row>
    <row r="34" spans="2:14" x14ac:dyDescent="0.35">
      <c r="B34" s="413">
        <v>504.57</v>
      </c>
      <c r="C34" s="413">
        <v>584.87</v>
      </c>
      <c r="D34" s="431">
        <v>652.02</v>
      </c>
      <c r="E34" s="20"/>
      <c r="F34" s="431">
        <v>1564.26</v>
      </c>
      <c r="G34" s="431">
        <v>1868.36</v>
      </c>
      <c r="H34" s="431">
        <v>942.02</v>
      </c>
      <c r="I34" s="20"/>
      <c r="J34" s="431">
        <v>504.23</v>
      </c>
      <c r="K34" s="431">
        <v>1224.98</v>
      </c>
      <c r="L34" s="20"/>
      <c r="M34" s="431">
        <v>504.68</v>
      </c>
      <c r="N34" s="431">
        <v>1606.38</v>
      </c>
    </row>
    <row r="35" spans="2:14" x14ac:dyDescent="0.35">
      <c r="B35" s="187" t="s">
        <v>309</v>
      </c>
      <c r="C35" s="187" t="s">
        <v>308</v>
      </c>
      <c r="D35" s="20" t="s">
        <v>307</v>
      </c>
      <c r="E35" s="20"/>
      <c r="F35" s="20" t="s">
        <v>306</v>
      </c>
      <c r="G35" s="20" t="s">
        <v>304</v>
      </c>
      <c r="H35" s="20" t="s">
        <v>305</v>
      </c>
      <c r="I35" s="20"/>
      <c r="J35" s="20" t="s">
        <v>309</v>
      </c>
      <c r="K35" s="20" t="s">
        <v>306</v>
      </c>
      <c r="L35" s="20"/>
      <c r="M35" s="20" t="s">
        <v>309</v>
      </c>
      <c r="N35" s="20" t="s">
        <v>309</v>
      </c>
    </row>
  </sheetData>
  <mergeCells count="3">
    <mergeCell ref="J1:K1"/>
    <mergeCell ref="M1:N1"/>
    <mergeCell ref="B1:H1"/>
  </mergeCells>
  <pageMargins left="0.511811024" right="0.511811024" top="0.78740157499999996" bottom="0.78740157499999996" header="0.31496062000000002" footer="0.31496062000000002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3</vt:i4>
      </vt:variant>
    </vt:vector>
  </HeadingPairs>
  <TitlesOfParts>
    <vt:vector size="26" baseType="lpstr">
      <vt:lpstr>Cliente Custos</vt:lpstr>
      <vt:lpstr>Custo ARGAMASSA</vt:lpstr>
      <vt:lpstr>Custo Prod.</vt:lpstr>
      <vt:lpstr>Entrada de materiais</vt:lpstr>
      <vt:lpstr>Saída de materiais</vt:lpstr>
      <vt:lpstr>Estoque</vt:lpstr>
      <vt:lpstr>Caixa</vt:lpstr>
      <vt:lpstr>Vendas - JAN</vt:lpstr>
      <vt:lpstr>Vendas - FEV</vt:lpstr>
      <vt:lpstr>Vendas - MAR</vt:lpstr>
      <vt:lpstr>Vendas - ABR</vt:lpstr>
      <vt:lpstr>Vendas - MAI</vt:lpstr>
      <vt:lpstr>Vendas - JUN</vt:lpstr>
      <vt:lpstr>Vendas - JUL</vt:lpstr>
      <vt:lpstr>Vendas - AGO</vt:lpstr>
      <vt:lpstr>Vendas - SET</vt:lpstr>
      <vt:lpstr>Vendas - OUT</vt:lpstr>
      <vt:lpstr>Vendas - NOV</vt:lpstr>
      <vt:lpstr>Vendas - DEZ</vt:lpstr>
      <vt:lpstr>Cachoeirinha</vt:lpstr>
      <vt:lpstr>A2</vt:lpstr>
      <vt:lpstr>Dolar</vt:lpstr>
      <vt:lpstr>Tab Caixa</vt:lpstr>
      <vt:lpstr>'Custo ARGAMASSA'!Area_de_impressao</vt:lpstr>
      <vt:lpstr>'Custo Prod.'!Area_de_impressao</vt:lpstr>
      <vt:lpstr>Dolar!Area_de_impressao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Paloma</dc:creator>
  <cp:lastModifiedBy>Mecon Construtora</cp:lastModifiedBy>
  <cp:lastPrinted>2023-06-06T23:32:58Z</cp:lastPrinted>
  <dcterms:created xsi:type="dcterms:W3CDTF">2018-06-13T16:24:03Z</dcterms:created>
  <dcterms:modified xsi:type="dcterms:W3CDTF">2026-06-29T12:25:21Z</dcterms:modified>
</cp:coreProperties>
</file>